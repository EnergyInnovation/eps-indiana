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IN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261</v>
      </c>
      <c r="C4" t="inlineStr">
        <is>
          <t>AGC Division of APGI Inc</t>
        </is>
      </c>
      <c r="D4" t="inlineStr">
        <is>
          <t>A</t>
        </is>
      </c>
      <c r="E4" t="inlineStr">
        <is>
          <t>Bundled</t>
        </is>
      </c>
      <c r="F4" t="inlineStr">
        <is>
          <t>O</t>
        </is>
      </c>
      <c r="G4" t="inlineStr">
        <is>
          <t>IN</t>
        </is>
      </c>
      <c r="H4" t="inlineStr">
        <is>
          <t>Investor Owned</t>
        </is>
      </c>
      <c r="I4" t="inlineStr">
        <is>
          <t>MISO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159579.9</v>
      </c>
      <c r="Q4" t="n">
        <v>2639245</v>
      </c>
      <c r="R4" t="n">
        <v>2</v>
      </c>
      <c r="S4" t="n">
        <v>0</v>
      </c>
      <c r="T4" t="n">
        <v>0</v>
      </c>
      <c r="U4" t="n">
        <v>0</v>
      </c>
      <c r="V4" t="n">
        <v>159579.9</v>
      </c>
      <c r="W4" t="n">
        <v>2639245</v>
      </c>
      <c r="X4" t="n">
        <v>2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636</v>
      </c>
      <c r="C5" t="inlineStr">
        <is>
          <t>City of Anderson - (IN)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IN</t>
        </is>
      </c>
      <c r="H5" t="inlineStr">
        <is>
          <t>Municipal</t>
        </is>
      </c>
      <c r="I5" t="inlineStr">
        <is>
          <t>PJM</t>
        </is>
      </c>
      <c r="J5" t="n">
        <v>38475.9</v>
      </c>
      <c r="K5" t="n">
        <v>300134</v>
      </c>
      <c r="L5" t="n">
        <v>29533</v>
      </c>
      <c r="M5" t="n">
        <v>29869.7</v>
      </c>
      <c r="N5" t="n">
        <v>269337</v>
      </c>
      <c r="O5" t="n">
        <v>3875</v>
      </c>
      <c r="P5" t="n">
        <v>24779.1</v>
      </c>
      <c r="Q5" t="n">
        <v>282496</v>
      </c>
      <c r="R5" t="n">
        <v>58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93124.7</v>
      </c>
      <c r="W5" t="n">
        <v>851967</v>
      </c>
      <c r="X5" t="n">
        <v>33466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994</v>
      </c>
      <c r="C6" t="inlineStr">
        <is>
          <t>City of Auburn - (IN)</t>
        </is>
      </c>
      <c r="D6" t="inlineStr">
        <is>
          <t>A</t>
        </is>
      </c>
      <c r="E6" t="inlineStr">
        <is>
          <t>Bundled</t>
        </is>
      </c>
      <c r="F6" t="inlineStr">
        <is>
          <t>O</t>
        </is>
      </c>
      <c r="G6" t="inlineStr">
        <is>
          <t>IN</t>
        </is>
      </c>
      <c r="H6" t="inlineStr">
        <is>
          <t>Municipal</t>
        </is>
      </c>
      <c r="I6" t="inlineStr">
        <is>
          <t>PJM</t>
        </is>
      </c>
      <c r="J6" t="n">
        <v>5464.4</v>
      </c>
      <c r="K6" t="n">
        <v>64148</v>
      </c>
      <c r="L6" t="n">
        <v>6813</v>
      </c>
      <c r="M6" t="n">
        <v>2367</v>
      </c>
      <c r="N6" t="n">
        <v>28735</v>
      </c>
      <c r="O6" t="n">
        <v>1008</v>
      </c>
      <c r="P6" t="n">
        <v>44960</v>
      </c>
      <c r="Q6" t="n">
        <v>256272</v>
      </c>
      <c r="R6" t="n">
        <v>119</v>
      </c>
      <c r="S6" t="inlineStr">
        <is>
          <t>.</t>
        </is>
      </c>
      <c r="T6" t="inlineStr">
        <is>
          <t>.</t>
        </is>
      </c>
      <c r="U6" t="inlineStr">
        <is>
          <t>.</t>
        </is>
      </c>
      <c r="V6" t="n">
        <v>52791.4</v>
      </c>
      <c r="W6" t="n">
        <v>349155</v>
      </c>
      <c r="X6" t="n">
        <v>7940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1283</v>
      </c>
      <c r="C7" t="inlineStr">
        <is>
          <t>Bartholomew County Rural E M C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IN</t>
        </is>
      </c>
      <c r="H7" t="inlineStr">
        <is>
          <t>Cooperative</t>
        </is>
      </c>
      <c r="I7" t="inlineStr">
        <is>
          <t>MISO</t>
        </is>
      </c>
      <c r="J7" t="n">
        <v>22940.4</v>
      </c>
      <c r="K7" t="n">
        <v>155960</v>
      </c>
      <c r="L7" t="n">
        <v>11427</v>
      </c>
      <c r="M7" t="n">
        <v>6318.2</v>
      </c>
      <c r="N7" t="n">
        <v>47841</v>
      </c>
      <c r="O7" t="n">
        <v>731</v>
      </c>
      <c r="P7" t="n">
        <v>21346.2</v>
      </c>
      <c r="Q7" t="n">
        <v>225890</v>
      </c>
      <c r="R7" t="n">
        <v>12</v>
      </c>
      <c r="S7" t="n">
        <v>0</v>
      </c>
      <c r="T7" t="n">
        <v>0</v>
      </c>
      <c r="U7" t="n">
        <v>0</v>
      </c>
      <c r="V7" t="n">
        <v>50604.8</v>
      </c>
      <c r="W7" t="n">
        <v>429691</v>
      </c>
      <c r="X7" t="n">
        <v>12170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1896</v>
      </c>
      <c r="C8" t="inlineStr">
        <is>
          <t>City of Bluffton - (IN)</t>
        </is>
      </c>
      <c r="D8" t="inlineStr">
        <is>
          <t>A</t>
        </is>
      </c>
      <c r="E8" t="inlineStr">
        <is>
          <t>Bundled</t>
        </is>
      </c>
      <c r="F8" t="inlineStr">
        <is>
          <t>O</t>
        </is>
      </c>
      <c r="G8" t="inlineStr">
        <is>
          <t>IN</t>
        </is>
      </c>
      <c r="H8" t="inlineStr">
        <is>
          <t>Municipal</t>
        </is>
      </c>
      <c r="I8" t="inlineStr">
        <is>
          <t>PJM</t>
        </is>
      </c>
      <c r="J8" t="n">
        <v>5023</v>
      </c>
      <c r="K8" t="n">
        <v>48379</v>
      </c>
      <c r="L8" t="n">
        <v>5007</v>
      </c>
      <c r="M8" t="n">
        <v>3456</v>
      </c>
      <c r="N8" t="n">
        <v>32106</v>
      </c>
      <c r="O8" t="n">
        <v>1013</v>
      </c>
      <c r="P8" t="n">
        <v>17706</v>
      </c>
      <c r="Q8" t="n">
        <v>204465</v>
      </c>
      <c r="R8" t="n">
        <v>34</v>
      </c>
      <c r="S8" t="inlineStr">
        <is>
          <t>.</t>
        </is>
      </c>
      <c r="T8" t="inlineStr">
        <is>
          <t>.</t>
        </is>
      </c>
      <c r="U8" t="inlineStr">
        <is>
          <t>.</t>
        </is>
      </c>
      <c r="V8" t="n">
        <v>26185</v>
      </c>
      <c r="W8" t="n">
        <v>284950</v>
      </c>
      <c r="X8" t="n">
        <v>6054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4508</v>
      </c>
      <c r="C9" t="inlineStr">
        <is>
          <t>Crawfordsville Elec, Lgt &amp; Pwr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IN</t>
        </is>
      </c>
      <c r="H9" t="inlineStr">
        <is>
          <t>Municipal</t>
        </is>
      </c>
      <c r="I9" t="inlineStr">
        <is>
          <t>MISO</t>
        </is>
      </c>
      <c r="J9" t="n">
        <v>11550.6</v>
      </c>
      <c r="K9" t="n">
        <v>84808</v>
      </c>
      <c r="L9" t="n">
        <v>8615</v>
      </c>
      <c r="M9" t="n">
        <v>5147.7</v>
      </c>
      <c r="N9" t="n">
        <v>38468</v>
      </c>
      <c r="O9" t="n">
        <v>1489</v>
      </c>
      <c r="P9" t="n">
        <v>27581.3</v>
      </c>
      <c r="Q9" t="n">
        <v>250829</v>
      </c>
      <c r="R9" t="n">
        <v>89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44279.6</v>
      </c>
      <c r="W9" t="n">
        <v>374105</v>
      </c>
      <c r="X9" t="n">
        <v>10193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4848</v>
      </c>
      <c r="C10" t="inlineStr">
        <is>
          <t>Daviess Martin County R E M C</t>
        </is>
      </c>
      <c r="D10" t="inlineStr">
        <is>
          <t>A</t>
        </is>
      </c>
      <c r="E10" t="inlineStr">
        <is>
          <t>Bundled</t>
        </is>
      </c>
      <c r="F10" t="inlineStr">
        <is>
          <t>O</t>
        </is>
      </c>
      <c r="G10" t="inlineStr">
        <is>
          <t>IN</t>
        </is>
      </c>
      <c r="H10" t="inlineStr">
        <is>
          <t>Cooperative</t>
        </is>
      </c>
      <c r="I10" t="inlineStr">
        <is>
          <t>MISO</t>
        </is>
      </c>
      <c r="J10" t="n">
        <v>18346</v>
      </c>
      <c r="K10" t="n">
        <v>121109</v>
      </c>
      <c r="L10" t="n">
        <v>7975</v>
      </c>
      <c r="M10" t="n">
        <v>4484</v>
      </c>
      <c r="N10" t="n">
        <v>31743</v>
      </c>
      <c r="O10" t="n">
        <v>551</v>
      </c>
      <c r="P10" t="n">
        <v>20633</v>
      </c>
      <c r="Q10" t="n">
        <v>251524</v>
      </c>
      <c r="R10" t="n">
        <v>3</v>
      </c>
      <c r="S10" t="inlineStr">
        <is>
          <t>.</t>
        </is>
      </c>
      <c r="T10" t="inlineStr">
        <is>
          <t>.</t>
        </is>
      </c>
      <c r="U10" t="inlineStr">
        <is>
          <t>.</t>
        </is>
      </c>
      <c r="V10" t="n">
        <v>43463</v>
      </c>
      <c r="W10" t="n">
        <v>404376</v>
      </c>
      <c r="X10" t="n">
        <v>8529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4960</v>
      </c>
      <c r="C11" t="inlineStr">
        <is>
          <t>Decatur County Rural E M C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IN</t>
        </is>
      </c>
      <c r="H11" t="inlineStr">
        <is>
          <t>Cooperative</t>
        </is>
      </c>
      <c r="I11" t="inlineStr">
        <is>
          <t>MISO</t>
        </is>
      </c>
      <c r="J11" t="n">
        <v>17960.6</v>
      </c>
      <c r="K11" t="n">
        <v>113442</v>
      </c>
      <c r="L11" t="n">
        <v>8088</v>
      </c>
      <c r="M11" t="n">
        <v>4648.3</v>
      </c>
      <c r="N11" t="n">
        <v>37182</v>
      </c>
      <c r="O11" t="n">
        <v>213</v>
      </c>
      <c r="P11" t="n">
        <v>17903</v>
      </c>
      <c r="Q11" t="n">
        <v>200436</v>
      </c>
      <c r="R11" t="n">
        <v>6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40511.9</v>
      </c>
      <c r="W11" t="n">
        <v>351060</v>
      </c>
      <c r="X11" t="n">
        <v>8307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5394</v>
      </c>
      <c r="C12" t="inlineStr">
        <is>
          <t>Dubois Rural Electric Coop Inc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IN</t>
        </is>
      </c>
      <c r="H12" t="inlineStr">
        <is>
          <t>Cooperative</t>
        </is>
      </c>
      <c r="I12" t="inlineStr">
        <is>
          <t>MISO</t>
        </is>
      </c>
      <c r="J12" t="n">
        <v>24189</v>
      </c>
      <c r="K12" t="n">
        <v>168200</v>
      </c>
      <c r="L12" t="n">
        <v>13419</v>
      </c>
      <c r="M12" t="n">
        <v>2695</v>
      </c>
      <c r="N12" t="n">
        <v>19640</v>
      </c>
      <c r="O12" t="n">
        <v>982</v>
      </c>
      <c r="P12" t="n">
        <v>10675</v>
      </c>
      <c r="Q12" t="n">
        <v>102774</v>
      </c>
      <c r="R12" t="n">
        <v>93</v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37559</v>
      </c>
      <c r="W12" t="n">
        <v>290614</v>
      </c>
      <c r="X12" t="n">
        <v>14494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6707</v>
      </c>
      <c r="C13" t="inlineStr">
        <is>
          <t>City of Frankfort - (IN)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IN</t>
        </is>
      </c>
      <c r="H13" t="inlineStr">
        <is>
          <t>Municipal</t>
        </is>
      </c>
      <c r="I13" t="inlineStr">
        <is>
          <t>MISO</t>
        </is>
      </c>
      <c r="J13" t="n">
        <v>8966</v>
      </c>
      <c r="K13" t="n">
        <v>74481</v>
      </c>
      <c r="L13" t="n">
        <v>7820</v>
      </c>
      <c r="M13" t="n">
        <v>6958</v>
      </c>
      <c r="N13" t="n">
        <v>59705</v>
      </c>
      <c r="O13" t="n">
        <v>1596</v>
      </c>
      <c r="P13" t="n">
        <v>20866</v>
      </c>
      <c r="Q13" t="n">
        <v>231024</v>
      </c>
      <c r="R13" t="n">
        <v>56</v>
      </c>
      <c r="S13" t="inlineStr">
        <is>
          <t>.</t>
        </is>
      </c>
      <c r="T13" t="inlineStr">
        <is>
          <t>.</t>
        </is>
      </c>
      <c r="U13" t="inlineStr">
        <is>
          <t>.</t>
        </is>
      </c>
      <c r="V13" t="n">
        <v>36790</v>
      </c>
      <c r="W13" t="n">
        <v>365210</v>
      </c>
      <c r="X13" t="n">
        <v>9472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7627</v>
      </c>
      <c r="C14" t="inlineStr">
        <is>
          <t>City of Greenfield - (IN)</t>
        </is>
      </c>
      <c r="D14" t="inlineStr">
        <is>
          <t>A</t>
        </is>
      </c>
      <c r="E14" t="inlineStr">
        <is>
          <t>Bundled</t>
        </is>
      </c>
      <c r="F14" t="inlineStr">
        <is>
          <t>O</t>
        </is>
      </c>
      <c r="G14" t="inlineStr">
        <is>
          <t>IN</t>
        </is>
      </c>
      <c r="H14" t="inlineStr">
        <is>
          <t>Municipal</t>
        </is>
      </c>
      <c r="I14" t="inlineStr">
        <is>
          <t>MISO</t>
        </is>
      </c>
      <c r="J14" t="n">
        <v>14420</v>
      </c>
      <c r="K14" t="n">
        <v>109792</v>
      </c>
      <c r="L14" t="n">
        <v>11858</v>
      </c>
      <c r="M14" t="n">
        <v>11534</v>
      </c>
      <c r="N14" t="n">
        <v>92837</v>
      </c>
      <c r="O14" t="n">
        <v>1187</v>
      </c>
      <c r="P14" t="n">
        <v>16478</v>
      </c>
      <c r="Q14" t="n">
        <v>155681</v>
      </c>
      <c r="R14" t="n">
        <v>10</v>
      </c>
      <c r="S14" t="inlineStr">
        <is>
          <t>.</t>
        </is>
      </c>
      <c r="T14" t="inlineStr">
        <is>
          <t>.</t>
        </is>
      </c>
      <c r="U14" t="inlineStr">
        <is>
          <t>.</t>
        </is>
      </c>
      <c r="V14" t="n">
        <v>42432</v>
      </c>
      <c r="W14" t="n">
        <v>358310</v>
      </c>
      <c r="X14" t="n">
        <v>13055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8000</v>
      </c>
      <c r="C15" t="inlineStr">
        <is>
          <t>NineStar Connect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IN</t>
        </is>
      </c>
      <c r="H15" t="inlineStr">
        <is>
          <t>Cooperative</t>
        </is>
      </c>
      <c r="I15" t="inlineStr">
        <is>
          <t>MISO</t>
        </is>
      </c>
      <c r="J15" t="n">
        <v>41374</v>
      </c>
      <c r="K15" t="n">
        <v>263797</v>
      </c>
      <c r="L15" t="n">
        <v>17770</v>
      </c>
      <c r="M15" t="n">
        <v>6808.7</v>
      </c>
      <c r="N15" t="n">
        <v>49559</v>
      </c>
      <c r="O15" t="n">
        <v>1084</v>
      </c>
      <c r="P15" t="n">
        <v>2940</v>
      </c>
      <c r="Q15" t="n">
        <v>23383</v>
      </c>
      <c r="R15" t="n">
        <v>82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51122.7</v>
      </c>
      <c r="W15" t="n">
        <v>336739</v>
      </c>
      <c r="X15" t="n">
        <v>18936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8179</v>
      </c>
      <c r="C16" t="inlineStr">
        <is>
          <t>Harrison County Rural E M C</t>
        </is>
      </c>
      <c r="D16" t="inlineStr">
        <is>
          <t>A</t>
        </is>
      </c>
      <c r="E16" t="inlineStr">
        <is>
          <t>Bundled</t>
        </is>
      </c>
      <c r="F16" t="inlineStr">
        <is>
          <t>O</t>
        </is>
      </c>
      <c r="G16" t="inlineStr">
        <is>
          <t>IN</t>
        </is>
      </c>
      <c r="H16" t="inlineStr">
        <is>
          <t>Cooperative</t>
        </is>
      </c>
      <c r="I16" t="inlineStr">
        <is>
          <t>MISO</t>
        </is>
      </c>
      <c r="J16" t="n">
        <v>48864.1</v>
      </c>
      <c r="K16" t="n">
        <v>351945</v>
      </c>
      <c r="L16" t="n">
        <v>23221</v>
      </c>
      <c r="M16" t="n">
        <v>10524</v>
      </c>
      <c r="N16" t="n">
        <v>80263</v>
      </c>
      <c r="O16" t="n">
        <v>1451</v>
      </c>
      <c r="P16" t="n">
        <v>7020</v>
      </c>
      <c r="Q16" t="n">
        <v>61322</v>
      </c>
      <c r="R16" t="n">
        <v>19</v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66408.10000000001</v>
      </c>
      <c r="W16" t="n">
        <v>493530</v>
      </c>
      <c r="X16" t="n">
        <v>24691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8447</v>
      </c>
      <c r="C17" t="inlineStr">
        <is>
          <t>Hendricks County Rural E M C</t>
        </is>
      </c>
      <c r="D17" t="inlineStr">
        <is>
          <t>A</t>
        </is>
      </c>
      <c r="E17" t="inlineStr">
        <is>
          <t>Bundled</t>
        </is>
      </c>
      <c r="F17" t="inlineStr">
        <is>
          <t>O</t>
        </is>
      </c>
      <c r="G17" t="inlineStr">
        <is>
          <t>IN</t>
        </is>
      </c>
      <c r="H17" t="inlineStr">
        <is>
          <t>Cooperative</t>
        </is>
      </c>
      <c r="I17" t="inlineStr">
        <is>
          <t>MISO</t>
        </is>
      </c>
      <c r="J17" t="n">
        <v>72234.39999999999</v>
      </c>
      <c r="K17" t="n">
        <v>522062</v>
      </c>
      <c r="L17" t="n">
        <v>37638</v>
      </c>
      <c r="M17" t="n">
        <v>31901.2</v>
      </c>
      <c r="N17" t="n">
        <v>295743</v>
      </c>
      <c r="O17" t="n">
        <v>1047</v>
      </c>
      <c r="P17" t="n">
        <v>5749.1</v>
      </c>
      <c r="Q17" t="n">
        <v>66334</v>
      </c>
      <c r="R17" t="n">
        <v>5</v>
      </c>
      <c r="S17" t="inlineStr">
        <is>
          <t>.</t>
        </is>
      </c>
      <c r="T17" t="inlineStr">
        <is>
          <t>.</t>
        </is>
      </c>
      <c r="U17" t="inlineStr">
        <is>
          <t>.</t>
        </is>
      </c>
      <c r="V17" t="n">
        <v>109884.7</v>
      </c>
      <c r="W17" t="n">
        <v>884139</v>
      </c>
      <c r="X17" t="n">
        <v>38690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9273</v>
      </c>
      <c r="C18" t="inlineStr">
        <is>
          <t>AES Indiana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IN</t>
        </is>
      </c>
      <c r="H18" t="inlineStr">
        <is>
          <t>Investor Owned</t>
        </is>
      </c>
      <c r="I18" t="inlineStr">
        <is>
          <t>MISO</t>
        </is>
      </c>
      <c r="J18" t="n">
        <v>694095.2</v>
      </c>
      <c r="K18" t="n">
        <v>5048596</v>
      </c>
      <c r="L18" t="n">
        <v>469499</v>
      </c>
      <c r="M18" t="n">
        <v>253634.5</v>
      </c>
      <c r="N18" t="n">
        <v>1774798</v>
      </c>
      <c r="O18" t="n">
        <v>55587</v>
      </c>
      <c r="P18" t="n">
        <v>615907.2</v>
      </c>
      <c r="Q18" t="n">
        <v>6041240</v>
      </c>
      <c r="R18" t="n">
        <v>5716</v>
      </c>
      <c r="S18" t="n">
        <v>0</v>
      </c>
      <c r="T18" t="n">
        <v>0</v>
      </c>
      <c r="U18" t="inlineStr">
        <is>
          <t>.</t>
        </is>
      </c>
      <c r="V18" t="n">
        <v>1563636.9</v>
      </c>
      <c r="W18" t="n">
        <v>12864634</v>
      </c>
      <c r="X18" t="n">
        <v>530802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9324</v>
      </c>
      <c r="C19" t="inlineStr">
        <is>
          <t>Indiana Michigan Power Co</t>
        </is>
      </c>
      <c r="D19" t="inlineStr">
        <is>
          <t>A</t>
        </is>
      </c>
      <c r="E19" t="inlineStr">
        <is>
          <t>Bundled</t>
        </is>
      </c>
      <c r="F19" t="inlineStr">
        <is>
          <t>O</t>
        </is>
      </c>
      <c r="G19" t="inlineStr">
        <is>
          <t>IN</t>
        </is>
      </c>
      <c r="H19" t="inlineStr">
        <is>
          <t>Investor Owned</t>
        </is>
      </c>
      <c r="I19" t="inlineStr">
        <is>
          <t>PJM</t>
        </is>
      </c>
      <c r="J19" t="n">
        <v>683413.4</v>
      </c>
      <c r="K19" t="n">
        <v>4191016</v>
      </c>
      <c r="L19" t="n">
        <v>422062</v>
      </c>
      <c r="M19" t="n">
        <v>508594.8</v>
      </c>
      <c r="N19" t="n">
        <v>4274678</v>
      </c>
      <c r="O19" t="n">
        <v>56229</v>
      </c>
      <c r="P19" t="n">
        <v>551230.3</v>
      </c>
      <c r="Q19" t="n">
        <v>6532162</v>
      </c>
      <c r="R19" t="n">
        <v>3992</v>
      </c>
      <c r="S19" t="n">
        <v>0</v>
      </c>
      <c r="T19" t="n">
        <v>0</v>
      </c>
      <c r="U19" t="n">
        <v>0</v>
      </c>
      <c r="V19" t="n">
        <v>1743238.5</v>
      </c>
      <c r="W19" t="n">
        <v>14997856</v>
      </c>
      <c r="X19" t="n">
        <v>482283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9576</v>
      </c>
      <c r="C20" t="inlineStr">
        <is>
          <t>Jackson County Rural E M C - (IN)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IN</t>
        </is>
      </c>
      <c r="H20" t="inlineStr">
        <is>
          <t>Cooperative</t>
        </is>
      </c>
      <c r="I20" t="inlineStr">
        <is>
          <t>MISO</t>
        </is>
      </c>
      <c r="J20" t="n">
        <v>55727</v>
      </c>
      <c r="K20" t="n">
        <v>363693</v>
      </c>
      <c r="L20" t="n">
        <v>24215</v>
      </c>
      <c r="M20" t="n">
        <v>6687</v>
      </c>
      <c r="N20" t="n">
        <v>50263</v>
      </c>
      <c r="O20" t="n">
        <v>1160</v>
      </c>
      <c r="P20" t="n">
        <v>4609</v>
      </c>
      <c r="Q20" t="n">
        <v>43890</v>
      </c>
      <c r="R20" t="n">
        <v>24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67023</v>
      </c>
      <c r="W20" t="n">
        <v>457846</v>
      </c>
      <c r="X20" t="n">
        <v>25399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9613</v>
      </c>
      <c r="C21" t="inlineStr">
        <is>
          <t>City of Lebanon - (IN)</t>
        </is>
      </c>
      <c r="D21" t="inlineStr">
        <is>
          <t>A</t>
        </is>
      </c>
      <c r="E21" t="inlineStr">
        <is>
          <t>Bundled</t>
        </is>
      </c>
      <c r="F21" t="inlineStr">
        <is>
          <t>O</t>
        </is>
      </c>
      <c r="G21" t="inlineStr">
        <is>
          <t>IN</t>
        </is>
      </c>
      <c r="H21" t="inlineStr">
        <is>
          <t>Municipal</t>
        </is>
      </c>
      <c r="I21" t="inlineStr">
        <is>
          <t>MISO</t>
        </is>
      </c>
      <c r="J21" t="n">
        <v>9591.200000000001</v>
      </c>
      <c r="K21" t="n">
        <v>76278</v>
      </c>
      <c r="L21" t="n">
        <v>8076</v>
      </c>
      <c r="M21" t="n">
        <v>4025.7</v>
      </c>
      <c r="N21" t="n">
        <v>29665</v>
      </c>
      <c r="O21" t="n">
        <v>1340</v>
      </c>
      <c r="P21" t="n">
        <v>14944.2</v>
      </c>
      <c r="Q21" t="n">
        <v>142004</v>
      </c>
      <c r="R21" t="n">
        <v>146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28561.1</v>
      </c>
      <c r="W21" t="n">
        <v>247947</v>
      </c>
      <c r="X21" t="n">
        <v>9562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9665</v>
      </c>
      <c r="C22" t="inlineStr">
        <is>
          <t>Jasper County Rural E M C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IN</t>
        </is>
      </c>
      <c r="H22" t="inlineStr">
        <is>
          <t>Cooperative</t>
        </is>
      </c>
      <c r="I22" t="inlineStr">
        <is>
          <t>MISO</t>
        </is>
      </c>
      <c r="J22" t="n">
        <v>15658.4</v>
      </c>
      <c r="K22" t="n">
        <v>102072</v>
      </c>
      <c r="L22" t="n">
        <v>7745</v>
      </c>
      <c r="M22" t="n">
        <v>15344.1</v>
      </c>
      <c r="N22" t="n">
        <v>126305</v>
      </c>
      <c r="O22" t="n">
        <v>965</v>
      </c>
      <c r="P22" t="n">
        <v>3584.6</v>
      </c>
      <c r="Q22" t="n">
        <v>47550</v>
      </c>
      <c r="R22" t="n">
        <v>2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34587.1</v>
      </c>
      <c r="W22" t="n">
        <v>275927</v>
      </c>
      <c r="X22" t="n">
        <v>8712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9667</v>
      </c>
      <c r="C23" t="inlineStr">
        <is>
          <t>City of Jasper - (IN)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IN</t>
        </is>
      </c>
      <c r="H23" t="inlineStr">
        <is>
          <t>Municipal</t>
        </is>
      </c>
      <c r="I23" t="inlineStr">
        <is>
          <t>MISO</t>
        </is>
      </c>
      <c r="J23" t="n">
        <v>8002.2</v>
      </c>
      <c r="K23" t="n">
        <v>71530</v>
      </c>
      <c r="L23" t="n">
        <v>6568</v>
      </c>
      <c r="M23" t="n">
        <v>11284.9</v>
      </c>
      <c r="N23" t="n">
        <v>107550</v>
      </c>
      <c r="O23" t="n">
        <v>1250</v>
      </c>
      <c r="P23" t="n">
        <v>11042.5</v>
      </c>
      <c r="Q23" t="n">
        <v>98194</v>
      </c>
      <c r="R23" t="n">
        <v>81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30329.6</v>
      </c>
      <c r="W23" t="n">
        <v>277274</v>
      </c>
      <c r="X23" t="n">
        <v>7899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9778</v>
      </c>
      <c r="C24" t="inlineStr">
        <is>
          <t>Johnson County Rural E M C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IN</t>
        </is>
      </c>
      <c r="H24" t="inlineStr">
        <is>
          <t>Cooperative</t>
        </is>
      </c>
      <c r="I24" t="inlineStr">
        <is>
          <t>MISO</t>
        </is>
      </c>
      <c r="J24" t="n">
        <v>50787.7</v>
      </c>
      <c r="K24" t="n">
        <v>368238</v>
      </c>
      <c r="L24" t="n">
        <v>28279</v>
      </c>
      <c r="M24" t="n">
        <v>15389.8</v>
      </c>
      <c r="N24" t="n">
        <v>116190</v>
      </c>
      <c r="O24" t="n">
        <v>3180</v>
      </c>
      <c r="P24" t="n">
        <v>7619.3</v>
      </c>
      <c r="Q24" t="n">
        <v>96748</v>
      </c>
      <c r="R24" t="n">
        <v>42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73796.8</v>
      </c>
      <c r="W24" t="n">
        <v>581176</v>
      </c>
      <c r="X24" t="n">
        <v>31501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9999</v>
      </c>
      <c r="C25" t="inlineStr">
        <is>
          <t>Kankakee Valley Rural E M C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IN</t>
        </is>
      </c>
      <c r="H25" t="inlineStr">
        <is>
          <t>Cooperative</t>
        </is>
      </c>
      <c r="I25" t="inlineStr">
        <is>
          <t>MISO</t>
        </is>
      </c>
      <c r="J25" t="n">
        <v>33202.9</v>
      </c>
      <c r="K25" t="n">
        <v>218432</v>
      </c>
      <c r="L25" t="n">
        <v>18994</v>
      </c>
      <c r="M25" t="n">
        <v>8353.700000000001</v>
      </c>
      <c r="N25" t="n">
        <v>54191</v>
      </c>
      <c r="O25" t="n">
        <v>2647</v>
      </c>
      <c r="P25" t="n">
        <v>2750.7</v>
      </c>
      <c r="Q25" t="n">
        <v>24748</v>
      </c>
      <c r="R25" t="n">
        <v>12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44307.3</v>
      </c>
      <c r="W25" t="n">
        <v>297371</v>
      </c>
      <c r="X25" t="n">
        <v>21653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10448</v>
      </c>
      <c r="C26" t="inlineStr">
        <is>
          <t>Kosciusko County Rural E M C</t>
        </is>
      </c>
      <c r="D26" t="inlineStr">
        <is>
          <t>A</t>
        </is>
      </c>
      <c r="E26" t="inlineStr">
        <is>
          <t>Bundled</t>
        </is>
      </c>
      <c r="F26" t="inlineStr">
        <is>
          <t>O</t>
        </is>
      </c>
      <c r="G26" t="inlineStr">
        <is>
          <t>IN</t>
        </is>
      </c>
      <c r="H26" t="inlineStr">
        <is>
          <t>Cooperative</t>
        </is>
      </c>
      <c r="I26" t="inlineStr">
        <is>
          <t>MISO</t>
        </is>
      </c>
      <c r="J26" t="n">
        <v>24889.6</v>
      </c>
      <c r="K26" t="n">
        <v>187587</v>
      </c>
      <c r="L26" t="n">
        <v>17435</v>
      </c>
      <c r="M26" t="inlineStr">
        <is>
          <t>.</t>
        </is>
      </c>
      <c r="N26" t="inlineStr">
        <is>
          <t>.</t>
        </is>
      </c>
      <c r="O26" t="inlineStr">
        <is>
          <t>.</t>
        </is>
      </c>
      <c r="P26" t="n">
        <v>27723.8</v>
      </c>
      <c r="Q26" t="n">
        <v>260404</v>
      </c>
      <c r="R26" t="n">
        <v>1568</v>
      </c>
      <c r="S26" t="inlineStr">
        <is>
          <t>.</t>
        </is>
      </c>
      <c r="T26" t="inlineStr">
        <is>
          <t>.</t>
        </is>
      </c>
      <c r="U26" t="inlineStr">
        <is>
          <t>.</t>
        </is>
      </c>
      <c r="V26" t="n">
        <v>52613.4</v>
      </c>
      <c r="W26" t="n">
        <v>447991</v>
      </c>
      <c r="X26" t="n">
        <v>19003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11142</v>
      </c>
      <c r="C27" t="inlineStr">
        <is>
          <t>City of Logansport - (IN)</t>
        </is>
      </c>
      <c r="D27" t="inlineStr">
        <is>
          <t>A</t>
        </is>
      </c>
      <c r="E27" t="inlineStr">
        <is>
          <t>Bundled</t>
        </is>
      </c>
      <c r="F27" t="inlineStr">
        <is>
          <t>O</t>
        </is>
      </c>
      <c r="G27" t="inlineStr">
        <is>
          <t>IN</t>
        </is>
      </c>
      <c r="H27" t="inlineStr">
        <is>
          <t>Municipal</t>
        </is>
      </c>
      <c r="I27" t="inlineStr">
        <is>
          <t>MISO</t>
        </is>
      </c>
      <c r="J27" t="n">
        <v>11069</v>
      </c>
      <c r="K27" t="n">
        <v>101243</v>
      </c>
      <c r="L27" t="n">
        <v>11350</v>
      </c>
      <c r="M27" t="n">
        <v>7196</v>
      </c>
      <c r="N27" t="n">
        <v>71870</v>
      </c>
      <c r="O27" t="n">
        <v>1464</v>
      </c>
      <c r="P27" t="n">
        <v>18109</v>
      </c>
      <c r="Q27" t="n">
        <v>240286</v>
      </c>
      <c r="R27" t="n">
        <v>71</v>
      </c>
      <c r="S27" t="inlineStr">
        <is>
          <t>.</t>
        </is>
      </c>
      <c r="T27" t="inlineStr">
        <is>
          <t>.</t>
        </is>
      </c>
      <c r="U27" t="inlineStr">
        <is>
          <t>.</t>
        </is>
      </c>
      <c r="V27" t="n">
        <v>36374</v>
      </c>
      <c r="W27" t="n">
        <v>413399</v>
      </c>
      <c r="X27" t="n">
        <v>12885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12377</v>
      </c>
      <c r="C28" t="inlineStr">
        <is>
          <t>Midwest Energy Cooperative - (MI)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IN</t>
        </is>
      </c>
      <c r="H28" t="inlineStr">
        <is>
          <t>Cooperative</t>
        </is>
      </c>
      <c r="I28" t="inlineStr">
        <is>
          <t>PJM</t>
        </is>
      </c>
      <c r="J28" t="n">
        <v>729.3</v>
      </c>
      <c r="K28" t="n">
        <v>3806</v>
      </c>
      <c r="L28" t="n">
        <v>310</v>
      </c>
      <c r="M28" t="n">
        <v>468.3</v>
      </c>
      <c r="N28" t="n">
        <v>2695</v>
      </c>
      <c r="O28" t="n">
        <v>55</v>
      </c>
      <c r="P28" t="inlineStr">
        <is>
          <t>.</t>
        </is>
      </c>
      <c r="Q28" t="inlineStr">
        <is>
          <t>.</t>
        </is>
      </c>
      <c r="R28" t="inlineStr">
        <is>
          <t>.</t>
        </is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1197.6</v>
      </c>
      <c r="W28" t="n">
        <v>6501</v>
      </c>
      <c r="X28" t="n">
        <v>365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12674</v>
      </c>
      <c r="C29" t="inlineStr">
        <is>
          <t>City of Mishawaka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IN</t>
        </is>
      </c>
      <c r="H29" t="inlineStr">
        <is>
          <t>Municipal</t>
        </is>
      </c>
      <c r="I29" t="inlineStr">
        <is>
          <t>PJM</t>
        </is>
      </c>
      <c r="J29" t="n">
        <v>18613.7</v>
      </c>
      <c r="K29" t="n">
        <v>180338</v>
      </c>
      <c r="L29" t="n">
        <v>25071</v>
      </c>
      <c r="M29" t="n">
        <v>38709.7</v>
      </c>
      <c r="N29" t="n">
        <v>355874</v>
      </c>
      <c r="O29" t="n">
        <v>3801</v>
      </c>
      <c r="P29" t="inlineStr">
        <is>
          <t>.</t>
        </is>
      </c>
      <c r="Q29" t="inlineStr">
        <is>
          <t>.</t>
        </is>
      </c>
      <c r="R29" t="inlineStr">
        <is>
          <t>.</t>
        </is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57323.4</v>
      </c>
      <c r="W29" t="n">
        <v>536212</v>
      </c>
      <c r="X29" t="n">
        <v>28872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12929</v>
      </c>
      <c r="C30" t="inlineStr">
        <is>
          <t>South Central Indiana REMC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IN</t>
        </is>
      </c>
      <c r="H30" t="inlineStr">
        <is>
          <t>Cooperative</t>
        </is>
      </c>
      <c r="I30" t="inlineStr">
        <is>
          <t>MISO</t>
        </is>
      </c>
      <c r="J30" t="n">
        <v>79935</v>
      </c>
      <c r="K30" t="n">
        <v>450962</v>
      </c>
      <c r="L30" t="n">
        <v>34901</v>
      </c>
      <c r="M30" t="n">
        <v>8168</v>
      </c>
      <c r="N30" t="n">
        <v>56312</v>
      </c>
      <c r="O30" t="n">
        <v>592</v>
      </c>
      <c r="P30" t="n">
        <v>9171</v>
      </c>
      <c r="Q30" t="n">
        <v>82227</v>
      </c>
      <c r="R30" t="n">
        <v>11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97274</v>
      </c>
      <c r="W30" t="n">
        <v>589501</v>
      </c>
      <c r="X30" t="n">
        <v>35504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13647</v>
      </c>
      <c r="C31" t="inlineStr">
        <is>
          <t>Noble County R E M C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IN</t>
        </is>
      </c>
      <c r="H31" t="inlineStr">
        <is>
          <t>Cooperative</t>
        </is>
      </c>
      <c r="I31" t="inlineStr">
        <is>
          <t>PJM</t>
        </is>
      </c>
      <c r="J31" t="n">
        <v>17971.4</v>
      </c>
      <c r="K31" t="n">
        <v>132778</v>
      </c>
      <c r="L31" t="n">
        <v>10986</v>
      </c>
      <c r="M31" t="n">
        <v>2466</v>
      </c>
      <c r="N31" t="n">
        <v>19151</v>
      </c>
      <c r="O31" t="n">
        <v>542</v>
      </c>
      <c r="P31" t="n">
        <v>5438.1</v>
      </c>
      <c r="Q31" t="n">
        <v>50327</v>
      </c>
      <c r="R31" t="n">
        <v>139</v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25875.5</v>
      </c>
      <c r="W31" t="n">
        <v>202256</v>
      </c>
      <c r="X31" t="n">
        <v>11667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13756</v>
      </c>
      <c r="C32" t="inlineStr">
        <is>
          <t>Northern Indiana Pub Serv Co</t>
        </is>
      </c>
      <c r="D32" t="inlineStr">
        <is>
          <t>A</t>
        </is>
      </c>
      <c r="E32" t="inlineStr">
        <is>
          <t>Bundled</t>
        </is>
      </c>
      <c r="F32" t="inlineStr">
        <is>
          <t>O</t>
        </is>
      </c>
      <c r="G32" t="inlineStr">
        <is>
          <t>IN</t>
        </is>
      </c>
      <c r="H32" t="inlineStr">
        <is>
          <t>Investor Owned</t>
        </is>
      </c>
      <c r="I32" t="inlineStr">
        <is>
          <t>MISO</t>
        </is>
      </c>
      <c r="J32" t="n">
        <v>649930.9</v>
      </c>
      <c r="K32" t="n">
        <v>3404882</v>
      </c>
      <c r="L32" t="n">
        <v>430648</v>
      </c>
      <c r="M32" t="n">
        <v>633805.1</v>
      </c>
      <c r="N32" t="n">
        <v>3765256</v>
      </c>
      <c r="O32" t="n">
        <v>59920</v>
      </c>
      <c r="P32" t="n">
        <v>500011.7</v>
      </c>
      <c r="Q32" t="n">
        <v>7984846</v>
      </c>
      <c r="R32" t="n">
        <v>2131</v>
      </c>
      <c r="S32" t="n">
        <v>2200.9</v>
      </c>
      <c r="T32" t="n">
        <v>17876</v>
      </c>
      <c r="U32" t="n">
        <v>1</v>
      </c>
      <c r="V32" t="n">
        <v>1785948.6</v>
      </c>
      <c r="W32" t="n">
        <v>15172860</v>
      </c>
      <c r="X32" t="n">
        <v>492700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14599</v>
      </c>
      <c r="C33" t="inlineStr">
        <is>
          <t>Paulding-Putman Elec Coop, Inc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IN</t>
        </is>
      </c>
      <c r="H33" t="inlineStr">
        <is>
          <t>Cooperative</t>
        </is>
      </c>
      <c r="I33" t="inlineStr">
        <is>
          <t>PJM</t>
        </is>
      </c>
      <c r="J33" t="n">
        <v>7106.4</v>
      </c>
      <c r="K33" t="n">
        <v>50892</v>
      </c>
      <c r="L33" t="n">
        <v>3851</v>
      </c>
      <c r="M33" t="n">
        <v>1978.6</v>
      </c>
      <c r="N33" t="n">
        <v>22751</v>
      </c>
      <c r="O33" t="n">
        <v>203</v>
      </c>
      <c r="P33" t="n">
        <v>5312.1</v>
      </c>
      <c r="Q33" t="n">
        <v>32670</v>
      </c>
      <c r="R33" t="n">
        <v>7</v>
      </c>
      <c r="S33" t="n">
        <v>0</v>
      </c>
      <c r="T33" t="n">
        <v>0</v>
      </c>
      <c r="U33" t="n">
        <v>0</v>
      </c>
      <c r="V33" t="n">
        <v>14397.1</v>
      </c>
      <c r="W33" t="n">
        <v>106313</v>
      </c>
      <c r="X33" t="n">
        <v>4061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14839</v>
      </c>
      <c r="C34" t="inlineStr">
        <is>
          <t>City of Peru - (IN)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IN</t>
        </is>
      </c>
      <c r="H34" t="inlineStr">
        <is>
          <t>Municipal</t>
        </is>
      </c>
      <c r="I34" t="inlineStr">
        <is>
          <t>MISO</t>
        </is>
      </c>
      <c r="J34" t="n">
        <v>12168</v>
      </c>
      <c r="K34" t="n">
        <v>88532</v>
      </c>
      <c r="L34" t="n">
        <v>9062</v>
      </c>
      <c r="M34" t="n">
        <v>9498</v>
      </c>
      <c r="N34" t="n">
        <v>73187</v>
      </c>
      <c r="O34" t="n">
        <v>1517</v>
      </c>
      <c r="P34" t="n">
        <v>7734</v>
      </c>
      <c r="Q34" t="n">
        <v>68191</v>
      </c>
      <c r="R34" t="n">
        <v>12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29400</v>
      </c>
      <c r="W34" t="n">
        <v>229910</v>
      </c>
      <c r="X34" t="n">
        <v>10591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15470</v>
      </c>
      <c r="C35" t="inlineStr">
        <is>
          <t>Duke Energy Indiana, LLC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IN</t>
        </is>
      </c>
      <c r="H35" t="inlineStr">
        <is>
          <t>Investor Owned</t>
        </is>
      </c>
      <c r="I35" t="inlineStr">
        <is>
          <t>MISO</t>
        </is>
      </c>
      <c r="J35" t="n">
        <v>1149061</v>
      </c>
      <c r="K35" t="n">
        <v>9014130</v>
      </c>
      <c r="L35" t="n">
        <v>796265</v>
      </c>
      <c r="M35" t="n">
        <v>818253</v>
      </c>
      <c r="N35" t="n">
        <v>8229148</v>
      </c>
      <c r="O35" t="n">
        <v>110116</v>
      </c>
      <c r="P35" t="n">
        <v>724778</v>
      </c>
      <c r="Q35" t="n">
        <v>9197328</v>
      </c>
      <c r="R35" t="n">
        <v>2630</v>
      </c>
      <c r="S35" t="n">
        <v>0</v>
      </c>
      <c r="T35" t="n">
        <v>0</v>
      </c>
      <c r="U35" t="n">
        <v>0</v>
      </c>
      <c r="V35" t="n">
        <v>2692092</v>
      </c>
      <c r="W35" t="n">
        <v>26440606</v>
      </c>
      <c r="X35" t="n">
        <v>909011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15989</v>
      </c>
      <c r="C36" t="inlineStr">
        <is>
          <t>City of Richmond - (IN)</t>
        </is>
      </c>
      <c r="D36" t="inlineStr">
        <is>
          <t>A</t>
        </is>
      </c>
      <c r="E36" t="inlineStr">
        <is>
          <t>Bundled</t>
        </is>
      </c>
      <c r="F36" t="inlineStr">
        <is>
          <t>O</t>
        </is>
      </c>
      <c r="G36" t="inlineStr">
        <is>
          <t>IN</t>
        </is>
      </c>
      <c r="H36" t="inlineStr">
        <is>
          <t>Municipal</t>
        </is>
      </c>
      <c r="I36" t="inlineStr">
        <is>
          <t>PJM</t>
        </is>
      </c>
      <c r="J36" t="n">
        <v>23498.3</v>
      </c>
      <c r="K36" t="n">
        <v>179056</v>
      </c>
      <c r="L36" t="n">
        <v>16310</v>
      </c>
      <c r="M36" t="n">
        <v>21886.4</v>
      </c>
      <c r="N36" t="n">
        <v>167969</v>
      </c>
      <c r="O36" t="n">
        <v>4889</v>
      </c>
      <c r="P36" t="n">
        <v>51493.3</v>
      </c>
      <c r="Q36" t="n">
        <v>526028</v>
      </c>
      <c r="R36" t="n">
        <v>129</v>
      </c>
      <c r="S36" t="inlineStr">
        <is>
          <t>.</t>
        </is>
      </c>
      <c r="T36" t="inlineStr">
        <is>
          <t>.</t>
        </is>
      </c>
      <c r="U36" t="inlineStr">
        <is>
          <t>.</t>
        </is>
      </c>
      <c r="V36" t="n">
        <v>96878</v>
      </c>
      <c r="W36" t="n">
        <v>873053</v>
      </c>
      <c r="X36" t="n">
        <v>21328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17038</v>
      </c>
      <c r="C37" t="inlineStr">
        <is>
          <t>RushShelby Energy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IN</t>
        </is>
      </c>
      <c r="H37" t="inlineStr">
        <is>
          <t>Cooperative</t>
        </is>
      </c>
      <c r="I37" t="inlineStr">
        <is>
          <t>MISO</t>
        </is>
      </c>
      <c r="J37" t="n">
        <v>34432</v>
      </c>
      <c r="K37" t="n">
        <v>203882</v>
      </c>
      <c r="L37" t="n">
        <v>14761</v>
      </c>
      <c r="M37" t="n">
        <v>6635</v>
      </c>
      <c r="N37" t="n">
        <v>48631</v>
      </c>
      <c r="O37" t="n">
        <v>267</v>
      </c>
      <c r="P37" t="n">
        <v>15849</v>
      </c>
      <c r="Q37" t="n">
        <v>185616</v>
      </c>
      <c r="R37" t="n">
        <v>13</v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56916</v>
      </c>
      <c r="W37" t="n">
        <v>438129</v>
      </c>
      <c r="X37" t="n">
        <v>15041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17599</v>
      </c>
      <c r="C38" t="inlineStr">
        <is>
          <t>Southeastern Indiana R E M C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IN</t>
        </is>
      </c>
      <c r="H38" t="inlineStr">
        <is>
          <t>Cooperative</t>
        </is>
      </c>
      <c r="I38" t="inlineStr">
        <is>
          <t>MISO</t>
        </is>
      </c>
      <c r="J38" t="n">
        <v>54061.7</v>
      </c>
      <c r="K38" t="n">
        <v>355150</v>
      </c>
      <c r="L38" t="n">
        <v>26172</v>
      </c>
      <c r="M38" t="n">
        <v>9962.4</v>
      </c>
      <c r="N38" t="n">
        <v>71536</v>
      </c>
      <c r="O38" t="n">
        <v>2343</v>
      </c>
      <c r="P38" t="n">
        <v>7245.5</v>
      </c>
      <c r="Q38" t="n">
        <v>84169</v>
      </c>
      <c r="R38" t="n">
        <v>10</v>
      </c>
      <c r="S38" t="inlineStr">
        <is>
          <t>.</t>
        </is>
      </c>
      <c r="T38" t="inlineStr">
        <is>
          <t>.</t>
        </is>
      </c>
      <c r="U38" t="inlineStr">
        <is>
          <t>.</t>
        </is>
      </c>
      <c r="V38" t="n">
        <v>71269.60000000001</v>
      </c>
      <c r="W38" t="n">
        <v>510855</v>
      </c>
      <c r="X38" t="n">
        <v>28525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17633</v>
      </c>
      <c r="C39" t="inlineStr">
        <is>
          <t>Southern Indiana Gas &amp; Elec Co</t>
        </is>
      </c>
      <c r="D39" t="inlineStr">
        <is>
          <t>A</t>
        </is>
      </c>
      <c r="E39" t="inlineStr">
        <is>
          <t>Bundled</t>
        </is>
      </c>
      <c r="F39" t="inlineStr">
        <is>
          <t>O</t>
        </is>
      </c>
      <c r="G39" t="inlineStr">
        <is>
          <t>IN</t>
        </is>
      </c>
      <c r="H39" t="inlineStr">
        <is>
          <t>Investor Owned</t>
        </is>
      </c>
      <c r="I39" t="inlineStr">
        <is>
          <t>MISO</t>
        </is>
      </c>
      <c r="J39" t="n">
        <v>249368.5</v>
      </c>
      <c r="K39" t="n">
        <v>1423253</v>
      </c>
      <c r="L39" t="n">
        <v>133795</v>
      </c>
      <c r="M39" t="n">
        <v>182118.8</v>
      </c>
      <c r="N39" t="n">
        <v>1161784</v>
      </c>
      <c r="O39" t="n">
        <v>19466</v>
      </c>
      <c r="P39" t="n">
        <v>191142</v>
      </c>
      <c r="Q39" t="n">
        <v>2233775</v>
      </c>
      <c r="R39" t="n">
        <v>110</v>
      </c>
      <c r="S39" t="inlineStr">
        <is>
          <t>.</t>
        </is>
      </c>
      <c r="T39" t="inlineStr">
        <is>
          <t>.</t>
        </is>
      </c>
      <c r="U39" t="inlineStr">
        <is>
          <t>.</t>
        </is>
      </c>
      <c r="V39" t="n">
        <v>622629.3</v>
      </c>
      <c r="W39" t="n">
        <v>4818812</v>
      </c>
      <c r="X39" t="n">
        <v>153371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18940</v>
      </c>
      <c r="C40" t="inlineStr">
        <is>
          <t>Tipmont Rural Elec Member Corp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IN</t>
        </is>
      </c>
      <c r="H40" t="inlineStr">
        <is>
          <t>Cooperative</t>
        </is>
      </c>
      <c r="I40" t="inlineStr">
        <is>
          <t>MISO</t>
        </is>
      </c>
      <c r="J40" t="n">
        <v>53519.9</v>
      </c>
      <c r="K40" t="n">
        <v>332963</v>
      </c>
      <c r="L40" t="n">
        <v>28885</v>
      </c>
      <c r="M40" t="n">
        <v>16471.4</v>
      </c>
      <c r="N40" t="n">
        <v>124149</v>
      </c>
      <c r="O40" t="n">
        <v>1962</v>
      </c>
      <c r="P40" t="n">
        <v>8789</v>
      </c>
      <c r="Q40" t="n">
        <v>100771</v>
      </c>
      <c r="R40" t="n">
        <v>5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78780.3</v>
      </c>
      <c r="W40" t="n">
        <v>557883</v>
      </c>
      <c r="X40" t="n">
        <v>30852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19445</v>
      </c>
      <c r="C41" t="inlineStr">
        <is>
          <t>Southern Indiana R E C, Inc</t>
        </is>
      </c>
      <c r="D41" t="inlineStr">
        <is>
          <t>A</t>
        </is>
      </c>
      <c r="E41" t="inlineStr">
        <is>
          <t>Bundled</t>
        </is>
      </c>
      <c r="F41" t="inlineStr">
        <is>
          <t>O</t>
        </is>
      </c>
      <c r="G41" t="inlineStr">
        <is>
          <t>IN</t>
        </is>
      </c>
      <c r="H41" t="inlineStr">
        <is>
          <t>Cooperative</t>
        </is>
      </c>
      <c r="I41" t="inlineStr">
        <is>
          <t>MISO</t>
        </is>
      </c>
      <c r="J41" t="n">
        <v>16381</v>
      </c>
      <c r="K41" t="n">
        <v>104163</v>
      </c>
      <c r="L41" t="n">
        <v>8936</v>
      </c>
      <c r="M41" t="n">
        <v>4447</v>
      </c>
      <c r="N41" t="n">
        <v>33782</v>
      </c>
      <c r="O41" t="n">
        <v>622</v>
      </c>
      <c r="P41" t="n">
        <v>22573</v>
      </c>
      <c r="Q41" t="n">
        <v>290286</v>
      </c>
      <c r="R41" t="n">
        <v>32</v>
      </c>
      <c r="S41" t="inlineStr">
        <is>
          <t>.</t>
        </is>
      </c>
      <c r="T41" t="inlineStr">
        <is>
          <t>.</t>
        </is>
      </c>
      <c r="U41" t="inlineStr">
        <is>
          <t>.</t>
        </is>
      </c>
      <c r="V41" t="n">
        <v>43401</v>
      </c>
      <c r="W41" t="n">
        <v>428231</v>
      </c>
      <c r="X41" t="n">
        <v>9590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19667</v>
      </c>
      <c r="C42" t="inlineStr">
        <is>
          <t>Utilities Dist-Western IN REMC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IN</t>
        </is>
      </c>
      <c r="H42" t="inlineStr">
        <is>
          <t>Cooperative</t>
        </is>
      </c>
      <c r="I42" t="inlineStr">
        <is>
          <t>MISO</t>
        </is>
      </c>
      <c r="J42" t="n">
        <v>38859.3</v>
      </c>
      <c r="K42" t="n">
        <v>241346</v>
      </c>
      <c r="L42" t="n">
        <v>18898</v>
      </c>
      <c r="M42" t="n">
        <v>6186.9</v>
      </c>
      <c r="N42" t="n">
        <v>42638</v>
      </c>
      <c r="O42" t="n">
        <v>1062</v>
      </c>
      <c r="P42" t="n">
        <v>4051.9</v>
      </c>
      <c r="Q42" t="n">
        <v>40758</v>
      </c>
      <c r="R42" t="n">
        <v>15</v>
      </c>
      <c r="S42" t="n">
        <v>0</v>
      </c>
      <c r="T42" t="n">
        <v>0</v>
      </c>
      <c r="U42" t="n">
        <v>0</v>
      </c>
      <c r="V42" t="n">
        <v>49098.1</v>
      </c>
      <c r="W42" t="n">
        <v>324742</v>
      </c>
      <c r="X42" t="n">
        <v>19975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20216</v>
      </c>
      <c r="C43" t="inlineStr">
        <is>
          <t>Whitewater Valley Rural EMC</t>
        </is>
      </c>
      <c r="D43" t="inlineStr">
        <is>
          <t>A</t>
        </is>
      </c>
      <c r="E43" t="inlineStr">
        <is>
          <t>Bundled</t>
        </is>
      </c>
      <c r="F43" t="inlineStr">
        <is>
          <t>O</t>
        </is>
      </c>
      <c r="G43" t="inlineStr">
        <is>
          <t>IN</t>
        </is>
      </c>
      <c r="H43" t="inlineStr">
        <is>
          <t>Cooperative</t>
        </is>
      </c>
      <c r="I43" t="inlineStr">
        <is>
          <t>MISO</t>
        </is>
      </c>
      <c r="J43" t="n">
        <v>25598</v>
      </c>
      <c r="K43" t="n">
        <v>161691</v>
      </c>
      <c r="L43" t="n">
        <v>11998</v>
      </c>
      <c r="M43" t="n">
        <v>4774</v>
      </c>
      <c r="N43" t="n">
        <v>37094</v>
      </c>
      <c r="O43" t="n">
        <v>193</v>
      </c>
      <c r="P43" t="n">
        <v>4286</v>
      </c>
      <c r="Q43" t="n">
        <v>49751</v>
      </c>
      <c r="R43" t="n">
        <v>8</v>
      </c>
      <c r="S43" t="n">
        <v>0</v>
      </c>
      <c r="T43" t="n">
        <v>0</v>
      </c>
      <c r="U43" t="n">
        <v>0</v>
      </c>
      <c r="V43" t="n">
        <v>34658</v>
      </c>
      <c r="W43" t="n">
        <v>248536</v>
      </c>
      <c r="X43" t="n">
        <v>12199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20603</v>
      </c>
      <c r="C44" t="inlineStr">
        <is>
          <t>Northeastern Rural E M C</t>
        </is>
      </c>
      <c r="D44" t="inlineStr">
        <is>
          <t>A</t>
        </is>
      </c>
      <c r="E44" t="inlineStr">
        <is>
          <t>Bundled</t>
        </is>
      </c>
      <c r="F44" t="inlineStr">
        <is>
          <t>O</t>
        </is>
      </c>
      <c r="G44" t="inlineStr">
        <is>
          <t>IN</t>
        </is>
      </c>
      <c r="H44" t="inlineStr">
        <is>
          <t>Cooperative</t>
        </is>
      </c>
      <c r="I44" t="inlineStr">
        <is>
          <t>PJM</t>
        </is>
      </c>
      <c r="J44" t="n">
        <v>54890</v>
      </c>
      <c r="K44" t="n">
        <v>366913</v>
      </c>
      <c r="L44" t="n">
        <v>30610</v>
      </c>
      <c r="M44" t="n">
        <v>23599</v>
      </c>
      <c r="N44" t="n">
        <v>185453</v>
      </c>
      <c r="O44" t="n">
        <v>2096</v>
      </c>
      <c r="P44" t="n">
        <v>52811</v>
      </c>
      <c r="Q44" t="n">
        <v>1160541</v>
      </c>
      <c r="R44" t="n">
        <v>7</v>
      </c>
      <c r="S44" t="inlineStr">
        <is>
          <t>.</t>
        </is>
      </c>
      <c r="T44" t="inlineStr">
        <is>
          <t>.</t>
        </is>
      </c>
      <c r="U44" t="inlineStr">
        <is>
          <t>.</t>
        </is>
      </c>
      <c r="V44" t="n">
        <v>131300</v>
      </c>
      <c r="W44" t="n">
        <v>1712907</v>
      </c>
      <c r="X44" t="n">
        <v>32713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22822</v>
      </c>
      <c r="C45" t="inlineStr">
        <is>
          <t>Clark County Rural E M C - (IN)</t>
        </is>
      </c>
      <c r="D45" t="inlineStr">
        <is>
          <t>A</t>
        </is>
      </c>
      <c r="E45" t="inlineStr">
        <is>
          <t>Bundled</t>
        </is>
      </c>
      <c r="F45" t="inlineStr">
        <is>
          <t>O</t>
        </is>
      </c>
      <c r="G45" t="inlineStr">
        <is>
          <t>IN</t>
        </is>
      </c>
      <c r="H45" t="inlineStr">
        <is>
          <t>Cooperative</t>
        </is>
      </c>
      <c r="I45" t="inlineStr">
        <is>
          <t>MISO</t>
        </is>
      </c>
      <c r="J45" t="n">
        <v>57146.4</v>
      </c>
      <c r="K45" t="n">
        <v>390573</v>
      </c>
      <c r="L45" t="n">
        <v>27103</v>
      </c>
      <c r="M45" t="n">
        <v>8526.4</v>
      </c>
      <c r="N45" t="n">
        <v>71124</v>
      </c>
      <c r="O45" t="n">
        <v>1348</v>
      </c>
      <c r="P45" t="n">
        <v>5546</v>
      </c>
      <c r="Q45" t="n">
        <v>50276</v>
      </c>
      <c r="R45" t="n">
        <v>134</v>
      </c>
      <c r="S45" t="inlineStr">
        <is>
          <t>.</t>
        </is>
      </c>
      <c r="T45" t="inlineStr">
        <is>
          <t>.</t>
        </is>
      </c>
      <c r="U45" t="inlineStr">
        <is>
          <t>.</t>
        </is>
      </c>
      <c r="V45" t="n">
        <v>71218.8</v>
      </c>
      <c r="W45" t="n">
        <v>511973</v>
      </c>
      <c r="X45" t="n">
        <v>28585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24753</v>
      </c>
      <c r="C46" t="inlineStr">
        <is>
          <t>Boone County Rural EMC</t>
        </is>
      </c>
      <c r="D46" t="inlineStr">
        <is>
          <t>A</t>
        </is>
      </c>
      <c r="E46" t="inlineStr">
        <is>
          <t>Bundled</t>
        </is>
      </c>
      <c r="F46" t="inlineStr">
        <is>
          <t>O</t>
        </is>
      </c>
      <c r="G46" t="inlineStr">
        <is>
          <t>IN</t>
        </is>
      </c>
      <c r="H46" t="inlineStr">
        <is>
          <t>Cooperative</t>
        </is>
      </c>
      <c r="I46" t="inlineStr">
        <is>
          <t>MISO</t>
        </is>
      </c>
      <c r="J46" t="n">
        <v>43497</v>
      </c>
      <c r="K46" t="n">
        <v>263418</v>
      </c>
      <c r="L46" t="n">
        <v>18371</v>
      </c>
      <c r="M46" t="n">
        <v>28779</v>
      </c>
      <c r="N46" t="n">
        <v>241117</v>
      </c>
      <c r="O46" t="n">
        <v>672</v>
      </c>
      <c r="P46" t="inlineStr">
        <is>
          <t>.</t>
        </is>
      </c>
      <c r="Q46" t="inlineStr">
        <is>
          <t>.</t>
        </is>
      </c>
      <c r="R46" t="inlineStr">
        <is>
          <t>.</t>
        </is>
      </c>
      <c r="S46" t="inlineStr">
        <is>
          <t>.</t>
        </is>
      </c>
      <c r="T46" t="inlineStr">
        <is>
          <t>.</t>
        </is>
      </c>
      <c r="U46" t="inlineStr">
        <is>
          <t>.</t>
        </is>
      </c>
      <c r="V46" t="n">
        <v>72276</v>
      </c>
      <c r="W46" t="n">
        <v>504535</v>
      </c>
      <c r="X46" t="n">
        <v>19043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25295</v>
      </c>
      <c r="C47" t="inlineStr">
        <is>
          <t>Western Indiana Energy REMC</t>
        </is>
      </c>
      <c r="D47" t="inlineStr">
        <is>
          <t>A</t>
        </is>
      </c>
      <c r="E47" t="inlineStr">
        <is>
          <t>Bundled</t>
        </is>
      </c>
      <c r="F47" t="inlineStr">
        <is>
          <t>O</t>
        </is>
      </c>
      <c r="G47" t="inlineStr">
        <is>
          <t>IN</t>
        </is>
      </c>
      <c r="H47" t="inlineStr">
        <is>
          <t>Cooperative</t>
        </is>
      </c>
      <c r="I47" t="inlineStr">
        <is>
          <t>MISO</t>
        </is>
      </c>
      <c r="J47" t="n">
        <v>30415.4</v>
      </c>
      <c r="K47" t="n">
        <v>211398</v>
      </c>
      <c r="L47" t="n">
        <v>15017</v>
      </c>
      <c r="M47" t="n">
        <v>15235.9</v>
      </c>
      <c r="N47" t="n">
        <v>116997</v>
      </c>
      <c r="O47" t="n">
        <v>2381</v>
      </c>
      <c r="P47" t="n">
        <v>28797.2</v>
      </c>
      <c r="Q47" t="n">
        <v>277437</v>
      </c>
      <c r="R47" t="n">
        <v>41</v>
      </c>
      <c r="S47" t="inlineStr">
        <is>
          <t>.</t>
        </is>
      </c>
      <c r="T47" t="inlineStr">
        <is>
          <t>.</t>
        </is>
      </c>
      <c r="U47" t="inlineStr">
        <is>
          <t>.</t>
        </is>
      </c>
      <c r="V47" t="n">
        <v>74448.5</v>
      </c>
      <c r="W47" t="n">
        <v>605832</v>
      </c>
      <c r="X47" t="n">
        <v>17439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27599</v>
      </c>
      <c r="C48" t="inlineStr">
        <is>
          <t>Carroll-White REMC</t>
        </is>
      </c>
      <c r="D48" t="inlineStr">
        <is>
          <t>A</t>
        </is>
      </c>
      <c r="E48" t="inlineStr">
        <is>
          <t>Bundled</t>
        </is>
      </c>
      <c r="F48" t="inlineStr">
        <is>
          <t>O</t>
        </is>
      </c>
      <c r="G48" t="inlineStr">
        <is>
          <t>IN</t>
        </is>
      </c>
      <c r="H48" t="inlineStr">
        <is>
          <t>Cooperative</t>
        </is>
      </c>
      <c r="I48" t="inlineStr">
        <is>
          <t>MISO</t>
        </is>
      </c>
      <c r="J48" t="n">
        <v>28268</v>
      </c>
      <c r="K48" t="n">
        <v>189289</v>
      </c>
      <c r="L48" t="n">
        <v>14807</v>
      </c>
      <c r="M48" t="n">
        <v>13359</v>
      </c>
      <c r="N48" t="n">
        <v>115768</v>
      </c>
      <c r="O48" t="n">
        <v>340</v>
      </c>
      <c r="P48" t="n">
        <v>9743</v>
      </c>
      <c r="Q48" t="n">
        <v>113424</v>
      </c>
      <c r="R48" t="n">
        <v>2</v>
      </c>
      <c r="S48" t="inlineStr">
        <is>
          <t>.</t>
        </is>
      </c>
      <c r="T48" t="inlineStr">
        <is>
          <t>.</t>
        </is>
      </c>
      <c r="U48" t="inlineStr">
        <is>
          <t>.</t>
        </is>
      </c>
      <c r="V48" t="n">
        <v>51370</v>
      </c>
      <c r="W48" t="n">
        <v>418481</v>
      </c>
      <c r="X48" t="n">
        <v>15149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59505</v>
      </c>
      <c r="C49" t="inlineStr">
        <is>
          <t>Heartland REMC</t>
        </is>
      </c>
      <c r="D49" t="inlineStr">
        <is>
          <t>A</t>
        </is>
      </c>
      <c r="E49" t="inlineStr">
        <is>
          <t>Bundled</t>
        </is>
      </c>
      <c r="F49" t="inlineStr">
        <is>
          <t>O</t>
        </is>
      </c>
      <c r="G49" t="inlineStr">
        <is>
          <t>IN</t>
        </is>
      </c>
      <c r="H49" t="inlineStr">
        <is>
          <t>Cooperative</t>
        </is>
      </c>
      <c r="I49" t="inlineStr">
        <is>
          <t>PJM</t>
        </is>
      </c>
      <c r="J49" t="n">
        <v>38024</v>
      </c>
      <c r="K49" t="n">
        <v>258329</v>
      </c>
      <c r="L49" t="n">
        <v>18013</v>
      </c>
      <c r="M49" t="n">
        <v>22707</v>
      </c>
      <c r="N49" t="n">
        <v>177748</v>
      </c>
      <c r="O49" t="n">
        <v>467</v>
      </c>
      <c r="P49" t="n">
        <v>21479</v>
      </c>
      <c r="Q49" t="n">
        <v>239060</v>
      </c>
      <c r="R49" t="n">
        <v>7</v>
      </c>
      <c r="S49" t="inlineStr">
        <is>
          <t>.</t>
        </is>
      </c>
      <c r="T49" t="inlineStr">
        <is>
          <t>.</t>
        </is>
      </c>
      <c r="U49" t="inlineStr">
        <is>
          <t>.</t>
        </is>
      </c>
      <c r="V49" t="n">
        <v>82210</v>
      </c>
      <c r="W49" t="n">
        <v>675137</v>
      </c>
      <c r="X49" t="n">
        <v>18487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59579</v>
      </c>
      <c r="C50" t="inlineStr">
        <is>
          <t>Sunnova</t>
        </is>
      </c>
      <c r="D50" t="inlineStr">
        <is>
          <t>A</t>
        </is>
      </c>
      <c r="E50" t="inlineStr">
        <is>
          <t>Bundled</t>
        </is>
      </c>
      <c r="F50" t="inlineStr">
        <is>
          <t>O</t>
        </is>
      </c>
      <c r="G50" t="inlineStr">
        <is>
          <t>IN</t>
        </is>
      </c>
      <c r="H50" t="inlineStr">
        <is>
          <t>Behind the Meter</t>
        </is>
      </c>
      <c r="I50" t="inlineStr">
        <is>
          <t>MISO</t>
        </is>
      </c>
      <c r="J50" t="n">
        <v>4.4</v>
      </c>
      <c r="K50" t="n">
        <v>18</v>
      </c>
      <c r="L50" t="n">
        <v>2</v>
      </c>
      <c r="M50" t="inlineStr">
        <is>
          <t>.</t>
        </is>
      </c>
      <c r="N50" t="inlineStr">
        <is>
          <t>.</t>
        </is>
      </c>
      <c r="O50" t="inlineStr">
        <is>
          <t>.</t>
        </is>
      </c>
      <c r="P50" t="inlineStr">
        <is>
          <t>.</t>
        </is>
      </c>
      <c r="Q50" t="inlineStr">
        <is>
          <t>.</t>
        </is>
      </c>
      <c r="R50" t="inlineStr">
        <is>
          <t>.</t>
        </is>
      </c>
      <c r="S50" t="inlineStr">
        <is>
          <t>.</t>
        </is>
      </c>
      <c r="T50" t="inlineStr">
        <is>
          <t>.</t>
        </is>
      </c>
      <c r="U50" t="inlineStr">
        <is>
          <t>.</t>
        </is>
      </c>
      <c r="V50" t="n">
        <v>4.4</v>
      </c>
      <c r="W50" t="n">
        <v>18</v>
      </c>
      <c r="X50" t="n">
        <v>2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59622</v>
      </c>
      <c r="C51" t="inlineStr">
        <is>
          <t>Ahana Renewables, LLC</t>
        </is>
      </c>
      <c r="D51" t="inlineStr">
        <is>
          <t>A</t>
        </is>
      </c>
      <c r="E51" t="inlineStr">
        <is>
          <t>Bundled</t>
        </is>
      </c>
      <c r="F51" t="inlineStr">
        <is>
          <t>O</t>
        </is>
      </c>
      <c r="G51" t="inlineStr">
        <is>
          <t>IN</t>
        </is>
      </c>
      <c r="H51" t="inlineStr">
        <is>
          <t>Behind the Meter</t>
        </is>
      </c>
      <c r="I51" t="inlineStr">
        <is>
          <t>MISO</t>
        </is>
      </c>
      <c r="J51" t="n">
        <v>0</v>
      </c>
      <c r="K51" t="n">
        <v>0</v>
      </c>
      <c r="L51" t="n">
        <v>0</v>
      </c>
      <c r="M51" t="n">
        <v>203.2</v>
      </c>
      <c r="N51" t="n">
        <v>1061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203.2</v>
      </c>
      <c r="W51" t="n">
        <v>1061</v>
      </c>
      <c r="X51" t="n">
        <v>3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60025</v>
      </c>
      <c r="C52" t="inlineStr">
        <is>
          <t>Greenbacker Renewable Energy Corporation</t>
        </is>
      </c>
      <c r="D52" t="inlineStr">
        <is>
          <t>A</t>
        </is>
      </c>
      <c r="E52" t="inlineStr">
        <is>
          <t>Bundled</t>
        </is>
      </c>
      <c r="F52" t="inlineStr">
        <is>
          <t>O</t>
        </is>
      </c>
      <c r="G52" t="inlineStr">
        <is>
          <t>IN</t>
        </is>
      </c>
      <c r="H52" t="inlineStr">
        <is>
          <t>Behind the Meter</t>
        </is>
      </c>
      <c r="I52" t="inlineStr">
        <is>
          <t>PJM</t>
        </is>
      </c>
      <c r="J52" t="n">
        <v>0</v>
      </c>
      <c r="K52" t="n">
        <v>0</v>
      </c>
      <c r="L52" t="n">
        <v>0</v>
      </c>
      <c r="M52" t="n">
        <v>490</v>
      </c>
      <c r="N52" t="n">
        <v>1530</v>
      </c>
      <c r="O52" t="n">
        <v>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490</v>
      </c>
      <c r="W52" t="n">
        <v>1530</v>
      </c>
      <c r="X52" t="n">
        <v>4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99999</v>
      </c>
      <c r="C53" t="inlineStr">
        <is>
          <t>Adjustment 2024</t>
        </is>
      </c>
      <c r="D53" t="inlineStr">
        <is>
          <t>A</t>
        </is>
      </c>
      <c r="E53" t="inlineStr">
        <is>
          <t>Bundled</t>
        </is>
      </c>
      <c r="F53" t="inlineStr">
        <is>
          <t>I</t>
        </is>
      </c>
      <c r="G53" t="inlineStr">
        <is>
          <t>IN</t>
        </is>
      </c>
      <c r="H53" t="inlineStr"/>
      <c r="I53" t="inlineStr">
        <is>
          <t>PJM</t>
        </is>
      </c>
      <c r="J53" t="n">
        <v>48287.6</v>
      </c>
      <c r="K53" t="n">
        <v>367232</v>
      </c>
      <c r="L53" t="n">
        <v>30479</v>
      </c>
      <c r="M53" t="n">
        <v>24054.4</v>
      </c>
      <c r="N53" t="n">
        <v>203629</v>
      </c>
      <c r="O53" t="n">
        <v>3882</v>
      </c>
      <c r="P53" t="n">
        <v>19462</v>
      </c>
      <c r="Q53" t="n">
        <v>192438</v>
      </c>
      <c r="R53" t="n">
        <v>248</v>
      </c>
      <c r="S53" t="n">
        <v>0</v>
      </c>
      <c r="T53" t="n">
        <v>0</v>
      </c>
      <c r="U53" t="n">
        <v>0</v>
      </c>
      <c r="V53" t="n">
        <v>91804</v>
      </c>
      <c r="W53" t="n">
        <v>763299</v>
      </c>
      <c r="X53" t="n">
        <v>34609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99999</v>
      </c>
      <c r="C54" t="inlineStr">
        <is>
          <t>Adjustment 2024</t>
        </is>
      </c>
      <c r="D54" t="inlineStr">
        <is>
          <t>A</t>
        </is>
      </c>
      <c r="E54" t="inlineStr">
        <is>
          <t>Bundled</t>
        </is>
      </c>
      <c r="F54" t="inlineStr">
        <is>
          <t>I</t>
        </is>
      </c>
      <c r="G54" t="inlineStr">
        <is>
          <t>IN</t>
        </is>
      </c>
      <c r="H54" t="inlineStr"/>
      <c r="I54" t="inlineStr">
        <is>
          <t>MISO</t>
        </is>
      </c>
      <c r="J54" t="n">
        <v>231861.2</v>
      </c>
      <c r="K54" t="n">
        <v>1566705</v>
      </c>
      <c r="L54" t="n">
        <v>127558</v>
      </c>
      <c r="M54" t="n">
        <v>84079</v>
      </c>
      <c r="N54" t="n">
        <v>648847</v>
      </c>
      <c r="O54" t="n">
        <v>16066</v>
      </c>
      <c r="P54" t="n">
        <v>109781.4</v>
      </c>
      <c r="Q54" t="n">
        <v>1050370</v>
      </c>
      <c r="R54" t="n">
        <v>1412</v>
      </c>
      <c r="S54" t="n">
        <v>0</v>
      </c>
      <c r="T54" t="n">
        <v>0</v>
      </c>
      <c r="U54" t="n">
        <v>0</v>
      </c>
      <c r="V54" t="n">
        <v>425721.6</v>
      </c>
      <c r="W54" t="n">
        <v>3265922</v>
      </c>
      <c r="X54" t="n">
        <v>145036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IN</t>
        </is>
      </c>
      <c r="B2">
        <f>SUMIFS('EIA-861 Sales 2024'!$Y$4:$Y$54,'EIA-861 Sales 2024'!$Z$4:$Z$54,"cost_service")</f>
        <v/>
      </c>
      <c r="C2">
        <f>SUMIFS('EIA-861 Sales 2024'!$Y$4:$Y$54,'EIA-861 Sales 2024'!$Z$4:$Z$54,"procurement")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