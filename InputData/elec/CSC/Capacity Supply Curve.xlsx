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eps-data\IN\elec\CSC\"/>
    </mc:Choice>
  </mc:AlternateContent>
  <xr:revisionPtr revIDLastSave="0" documentId="8_{9E07E031-0646-43C3-8DFE-48DA98369928}" xr6:coauthVersionLast="47" xr6:coauthVersionMax="47" xr10:uidLastSave="{00000000-0000-0000-0000-000000000000}"/>
  <bookViews>
    <workbookView xWindow="-120" yWindow="-120" windowWidth="29040" windowHeight="17520" xr2:uid="{00000000-000D-0000-FFFF-FFFF00000000}"/>
  </bookViews>
  <sheets>
    <sheet name="About" sheetId="1" r:id="rId1"/>
    <sheet name="Keys" sheetId="2" r:id="rId2"/>
    <sheet name="Methodology" sheetId="3" r:id="rId3"/>
    <sheet name="Provenance" sheetId="4" r:id="rId4"/>
    <sheet name="EIA860_additions" sheetId="5" r:id="rId5"/>
    <sheet name="MPPC_ref" sheetId="6" r:id="rId6"/>
    <sheet name="US_CSC_source" sheetId="7" r:id="rId7"/>
    <sheet name="Calcs" sheetId="8" r:id="rId8"/>
    <sheet name="Checks" sheetId="9" r:id="rId9"/>
    <sheet name="CSC-CSCPH" sheetId="10" r:id="rId10"/>
    <sheet name="CSC-CSCP" sheetId="11" r:id="rId11"/>
    <sheet name="CSC-CSCSoCECBiaSY" sheetId="12" r:id="rId12"/>
    <sheet name="CSC-CSCSCbPT" sheetId="13"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25" i="12" l="1"/>
  <c r="AA25" i="12"/>
  <c r="Z25" i="12"/>
  <c r="Y25" i="12"/>
  <c r="X25" i="12"/>
  <c r="W25" i="12"/>
  <c r="V25" i="12"/>
  <c r="U25" i="12"/>
  <c r="T25" i="12"/>
  <c r="S25" i="12"/>
  <c r="R25" i="12"/>
  <c r="Q25" i="12"/>
  <c r="P25" i="12"/>
  <c r="O25" i="12"/>
  <c r="N25" i="12"/>
  <c r="M25" i="12"/>
  <c r="L25" i="12"/>
  <c r="K25" i="12"/>
  <c r="J25" i="12"/>
  <c r="I25" i="12"/>
  <c r="H25" i="12"/>
  <c r="G25" i="12"/>
  <c r="F25" i="12"/>
  <c r="E25" i="12"/>
  <c r="D25" i="12"/>
  <c r="C25" i="12"/>
  <c r="B25" i="12"/>
  <c r="A25" i="12"/>
  <c r="AB24" i="12"/>
  <c r="AA24" i="12"/>
  <c r="Z24" i="12"/>
  <c r="Y24" i="12"/>
  <c r="X24" i="12"/>
  <c r="W24" i="12"/>
  <c r="V24" i="12"/>
  <c r="U24" i="12"/>
  <c r="T24" i="12"/>
  <c r="S24" i="12"/>
  <c r="R24" i="12"/>
  <c r="Q24" i="12"/>
  <c r="P24" i="12"/>
  <c r="O24" i="12"/>
  <c r="N24" i="12"/>
  <c r="M24" i="12"/>
  <c r="L24" i="12"/>
  <c r="K24" i="12"/>
  <c r="J24" i="12"/>
  <c r="I24" i="12"/>
  <c r="H24" i="12"/>
  <c r="G24" i="12"/>
  <c r="F24" i="12"/>
  <c r="E24" i="12"/>
  <c r="D24" i="12"/>
  <c r="C24" i="12"/>
  <c r="B24" i="12"/>
  <c r="A24" i="12"/>
  <c r="AB23" i="12"/>
  <c r="AA23" i="12"/>
  <c r="Z23" i="12"/>
  <c r="Y23" i="12"/>
  <c r="X23" i="12"/>
  <c r="W23" i="12"/>
  <c r="V23" i="12"/>
  <c r="U23" i="12"/>
  <c r="T23" i="12"/>
  <c r="S23" i="12"/>
  <c r="R23" i="12"/>
  <c r="Q23" i="12"/>
  <c r="P23" i="12"/>
  <c r="O23" i="12"/>
  <c r="N23" i="12"/>
  <c r="M23" i="12"/>
  <c r="L23" i="12"/>
  <c r="K23" i="12"/>
  <c r="J23" i="12"/>
  <c r="I23" i="12"/>
  <c r="H23" i="12"/>
  <c r="G23" i="12"/>
  <c r="F23" i="12"/>
  <c r="E23" i="12"/>
  <c r="D23" i="12"/>
  <c r="C23" i="12"/>
  <c r="B23" i="12"/>
  <c r="A23" i="12"/>
  <c r="AB22" i="12"/>
  <c r="AA22" i="12"/>
  <c r="Z22" i="12"/>
  <c r="Y22" i="12"/>
  <c r="X22" i="12"/>
  <c r="W22" i="12"/>
  <c r="V22" i="12"/>
  <c r="U22" i="12"/>
  <c r="T22" i="12"/>
  <c r="S22" i="12"/>
  <c r="R22" i="12"/>
  <c r="Q22" i="12"/>
  <c r="P22" i="12"/>
  <c r="O22" i="12"/>
  <c r="N22" i="12"/>
  <c r="M22" i="12"/>
  <c r="L22" i="12"/>
  <c r="K22" i="12"/>
  <c r="J22" i="12"/>
  <c r="I22" i="12"/>
  <c r="H22" i="12"/>
  <c r="G22" i="12"/>
  <c r="F22" i="12"/>
  <c r="E22" i="12"/>
  <c r="D22" i="12"/>
  <c r="C22" i="12"/>
  <c r="B22" i="12"/>
  <c r="A22" i="12"/>
  <c r="AB21" i="12"/>
  <c r="AA21" i="12"/>
  <c r="Z21" i="12"/>
  <c r="Y21" i="12"/>
  <c r="X21" i="12"/>
  <c r="W21" i="12"/>
  <c r="V21" i="12"/>
  <c r="U21" i="12"/>
  <c r="T21" i="12"/>
  <c r="S21" i="12"/>
  <c r="R21" i="12"/>
  <c r="Q21" i="12"/>
  <c r="P21" i="12"/>
  <c r="O21" i="12"/>
  <c r="N21" i="12"/>
  <c r="M21" i="12"/>
  <c r="L21" i="12"/>
  <c r="K21" i="12"/>
  <c r="J21" i="12"/>
  <c r="I21" i="12"/>
  <c r="H21" i="12"/>
  <c r="G21" i="12"/>
  <c r="F21" i="12"/>
  <c r="E21" i="12"/>
  <c r="D21" i="12"/>
  <c r="C21" i="12"/>
  <c r="B21" i="12"/>
  <c r="A21" i="12"/>
  <c r="AB20" i="12"/>
  <c r="AA20" i="12"/>
  <c r="Z20" i="12"/>
  <c r="Y20" i="12"/>
  <c r="X20" i="12"/>
  <c r="W20" i="12"/>
  <c r="V20" i="12"/>
  <c r="U20" i="12"/>
  <c r="T20" i="12"/>
  <c r="S20" i="12"/>
  <c r="R20" i="12"/>
  <c r="Q20" i="12"/>
  <c r="P20" i="12"/>
  <c r="O20" i="12"/>
  <c r="N20" i="12"/>
  <c r="M20" i="12"/>
  <c r="L20" i="12"/>
  <c r="K20" i="12"/>
  <c r="J20" i="12"/>
  <c r="I20" i="12"/>
  <c r="H20" i="12"/>
  <c r="G20" i="12"/>
  <c r="F20" i="12"/>
  <c r="E20" i="12"/>
  <c r="D20" i="12"/>
  <c r="C20" i="12"/>
  <c r="B20" i="12"/>
  <c r="A20" i="12"/>
  <c r="AB19" i="12"/>
  <c r="AA19" i="12"/>
  <c r="Z19" i="12"/>
  <c r="Y19" i="12"/>
  <c r="X19" i="12"/>
  <c r="W19" i="12"/>
  <c r="V19" i="12"/>
  <c r="U19" i="12"/>
  <c r="T19" i="12"/>
  <c r="S19" i="12"/>
  <c r="R19" i="12"/>
  <c r="Q19" i="12"/>
  <c r="P19" i="12"/>
  <c r="O19" i="12"/>
  <c r="N19" i="12"/>
  <c r="M19" i="12"/>
  <c r="L19" i="12"/>
  <c r="K19" i="12"/>
  <c r="J19" i="12"/>
  <c r="I19" i="12"/>
  <c r="H19" i="12"/>
  <c r="G19" i="12"/>
  <c r="F19" i="12"/>
  <c r="E19" i="12"/>
  <c r="D19" i="12"/>
  <c r="C19" i="12"/>
  <c r="B19" i="12"/>
  <c r="A19" i="12"/>
  <c r="AB18" i="12"/>
  <c r="AA18" i="12"/>
  <c r="Z18" i="12"/>
  <c r="Y18" i="12"/>
  <c r="X18" i="12"/>
  <c r="W18" i="12"/>
  <c r="V18" i="12"/>
  <c r="U18" i="12"/>
  <c r="T18" i="12"/>
  <c r="S18" i="12"/>
  <c r="R18" i="12"/>
  <c r="Q18" i="12"/>
  <c r="P18" i="12"/>
  <c r="O18" i="12"/>
  <c r="N18" i="12"/>
  <c r="M18" i="12"/>
  <c r="L18" i="12"/>
  <c r="K18" i="12"/>
  <c r="J18" i="12"/>
  <c r="I18" i="12"/>
  <c r="H18" i="12"/>
  <c r="G18" i="12"/>
  <c r="F18" i="12"/>
  <c r="E18" i="12"/>
  <c r="D18" i="12"/>
  <c r="C18" i="12"/>
  <c r="B18" i="12"/>
  <c r="A18" i="12"/>
  <c r="AB17" i="12"/>
  <c r="AA17" i="12"/>
  <c r="Z17" i="12"/>
  <c r="Y17" i="12"/>
  <c r="X17" i="12"/>
  <c r="W17" i="12"/>
  <c r="V17" i="12"/>
  <c r="U17" i="12"/>
  <c r="T17" i="12"/>
  <c r="S17" i="12"/>
  <c r="R17" i="12"/>
  <c r="Q17" i="12"/>
  <c r="P17" i="12"/>
  <c r="O17" i="12"/>
  <c r="N17" i="12"/>
  <c r="M17" i="12"/>
  <c r="L17" i="12"/>
  <c r="K17" i="12"/>
  <c r="J17" i="12"/>
  <c r="I17" i="12"/>
  <c r="H17" i="12"/>
  <c r="G17" i="12"/>
  <c r="F17" i="12"/>
  <c r="E17" i="12"/>
  <c r="D17" i="12"/>
  <c r="C17" i="12"/>
  <c r="B17" i="12"/>
  <c r="A17" i="12"/>
  <c r="AB16" i="12"/>
  <c r="AA16" i="12"/>
  <c r="Z16" i="12"/>
  <c r="Y16" i="12"/>
  <c r="X16" i="12"/>
  <c r="W16" i="12"/>
  <c r="V16" i="12"/>
  <c r="U16" i="12"/>
  <c r="T16" i="12"/>
  <c r="S16" i="12"/>
  <c r="R16" i="12"/>
  <c r="Q16" i="12"/>
  <c r="P16" i="12"/>
  <c r="O16" i="12"/>
  <c r="N16" i="12"/>
  <c r="M16" i="12"/>
  <c r="L16" i="12"/>
  <c r="K16" i="12"/>
  <c r="J16" i="12"/>
  <c r="I16" i="12"/>
  <c r="H16" i="12"/>
  <c r="G16" i="12"/>
  <c r="F16" i="12"/>
  <c r="E16" i="12"/>
  <c r="D16" i="12"/>
  <c r="C16" i="12"/>
  <c r="B16" i="12"/>
  <c r="A16" i="12"/>
  <c r="AB15" i="12"/>
  <c r="AA15" i="12"/>
  <c r="Z15" i="12"/>
  <c r="Y15" i="12"/>
  <c r="X15" i="12"/>
  <c r="W15" i="12"/>
  <c r="V15" i="12"/>
  <c r="U15" i="12"/>
  <c r="T15" i="12"/>
  <c r="S15" i="12"/>
  <c r="R15" i="12"/>
  <c r="Q15" i="12"/>
  <c r="P15" i="12"/>
  <c r="O15" i="12"/>
  <c r="N15" i="12"/>
  <c r="M15" i="12"/>
  <c r="L15" i="12"/>
  <c r="K15" i="12"/>
  <c r="J15" i="12"/>
  <c r="I15" i="12"/>
  <c r="H15" i="12"/>
  <c r="G15" i="12"/>
  <c r="F15" i="12"/>
  <c r="E15" i="12"/>
  <c r="D15" i="12"/>
  <c r="C15" i="12"/>
  <c r="B15" i="12"/>
  <c r="A15" i="12"/>
  <c r="AB14" i="12"/>
  <c r="AA14" i="12"/>
  <c r="Z14" i="12"/>
  <c r="Y14" i="12"/>
  <c r="X14" i="12"/>
  <c r="W14" i="12"/>
  <c r="V14" i="12"/>
  <c r="U14" i="12"/>
  <c r="T14" i="12"/>
  <c r="S14" i="12"/>
  <c r="R14" i="12"/>
  <c r="Q14" i="12"/>
  <c r="P14" i="12"/>
  <c r="O14" i="12"/>
  <c r="N14" i="12"/>
  <c r="M14" i="12"/>
  <c r="L14" i="12"/>
  <c r="K14" i="12"/>
  <c r="J14" i="12"/>
  <c r="I14" i="12"/>
  <c r="H14" i="12"/>
  <c r="G14" i="12"/>
  <c r="F14" i="12"/>
  <c r="E14" i="12"/>
  <c r="D14" i="12"/>
  <c r="C14" i="12"/>
  <c r="B14" i="12"/>
  <c r="A14" i="12"/>
  <c r="AB13" i="12"/>
  <c r="AA13" i="12"/>
  <c r="Z13" i="12"/>
  <c r="Y13" i="12"/>
  <c r="X13" i="12"/>
  <c r="W13" i="12"/>
  <c r="V13" i="12"/>
  <c r="U13" i="12"/>
  <c r="T13" i="12"/>
  <c r="S13" i="12"/>
  <c r="R13" i="12"/>
  <c r="Q13" i="12"/>
  <c r="P13" i="12"/>
  <c r="O13" i="12"/>
  <c r="N13" i="12"/>
  <c r="M13" i="12"/>
  <c r="L13" i="12"/>
  <c r="K13" i="12"/>
  <c r="J13" i="12"/>
  <c r="I13" i="12"/>
  <c r="H13" i="12"/>
  <c r="G13" i="12"/>
  <c r="F13" i="12"/>
  <c r="E13" i="12"/>
  <c r="D13" i="12"/>
  <c r="C13" i="12"/>
  <c r="B13" i="12"/>
  <c r="A13" i="12"/>
  <c r="AB12" i="12"/>
  <c r="AA12" i="12"/>
  <c r="Z12" i="12"/>
  <c r="Y12" i="12"/>
  <c r="X12" i="12"/>
  <c r="W12" i="12"/>
  <c r="V12" i="12"/>
  <c r="U12" i="12"/>
  <c r="T12" i="12"/>
  <c r="S12" i="12"/>
  <c r="R12" i="12"/>
  <c r="Q12" i="12"/>
  <c r="P12" i="12"/>
  <c r="O12" i="12"/>
  <c r="N12" i="12"/>
  <c r="M12" i="12"/>
  <c r="L12" i="12"/>
  <c r="K12" i="12"/>
  <c r="J12" i="12"/>
  <c r="I12" i="12"/>
  <c r="H12" i="12"/>
  <c r="G12" i="12"/>
  <c r="F12" i="12"/>
  <c r="E12" i="12"/>
  <c r="D12" i="12"/>
  <c r="C12" i="12"/>
  <c r="B12" i="12"/>
  <c r="A12" i="12"/>
  <c r="AB11" i="12"/>
  <c r="AA11" i="12"/>
  <c r="Z11" i="12"/>
  <c r="Y11" i="12"/>
  <c r="X11" i="12"/>
  <c r="W11" i="12"/>
  <c r="V11" i="12"/>
  <c r="U11" i="12"/>
  <c r="T11" i="12"/>
  <c r="S11" i="12"/>
  <c r="R11" i="12"/>
  <c r="Q11" i="12"/>
  <c r="P11" i="12"/>
  <c r="O11" i="12"/>
  <c r="N11" i="12"/>
  <c r="M11" i="12"/>
  <c r="L11" i="12"/>
  <c r="K11" i="12"/>
  <c r="J11" i="12"/>
  <c r="I11" i="12"/>
  <c r="H11" i="12"/>
  <c r="G11" i="12"/>
  <c r="F11" i="12"/>
  <c r="E11" i="12"/>
  <c r="D11" i="12"/>
  <c r="C11" i="12"/>
  <c r="B11" i="12"/>
  <c r="A11" i="12"/>
  <c r="AB10" i="12"/>
  <c r="AA10" i="12"/>
  <c r="Z10" i="12"/>
  <c r="Y10" i="12"/>
  <c r="X10" i="12"/>
  <c r="W10" i="12"/>
  <c r="V10" i="12"/>
  <c r="U10" i="12"/>
  <c r="T10" i="12"/>
  <c r="S10" i="12"/>
  <c r="R10" i="12"/>
  <c r="Q10" i="12"/>
  <c r="P10" i="12"/>
  <c r="O10" i="12"/>
  <c r="N10" i="12"/>
  <c r="M10" i="12"/>
  <c r="L10" i="12"/>
  <c r="K10" i="12"/>
  <c r="J10" i="12"/>
  <c r="I10" i="12"/>
  <c r="H10" i="12"/>
  <c r="G10" i="12"/>
  <c r="F10" i="12"/>
  <c r="E10" i="12"/>
  <c r="D10" i="12"/>
  <c r="C10" i="12"/>
  <c r="B10" i="12"/>
  <c r="A10" i="12"/>
  <c r="AB9" i="12"/>
  <c r="AA9" i="12"/>
  <c r="Z9" i="12"/>
  <c r="Y9" i="12"/>
  <c r="X9" i="12"/>
  <c r="W9" i="12"/>
  <c r="V9" i="12"/>
  <c r="U9" i="12"/>
  <c r="T9" i="12"/>
  <c r="S9" i="12"/>
  <c r="R9" i="12"/>
  <c r="Q9" i="12"/>
  <c r="P9" i="12"/>
  <c r="O9" i="12"/>
  <c r="N9" i="12"/>
  <c r="M9" i="12"/>
  <c r="L9" i="12"/>
  <c r="K9" i="12"/>
  <c r="J9" i="12"/>
  <c r="I9" i="12"/>
  <c r="H9" i="12"/>
  <c r="G9" i="12"/>
  <c r="F9" i="12"/>
  <c r="E9" i="12"/>
  <c r="D9" i="12"/>
  <c r="C9" i="12"/>
  <c r="B9" i="12"/>
  <c r="A9" i="12"/>
  <c r="AB8" i="12"/>
  <c r="AA8" i="12"/>
  <c r="Z8" i="12"/>
  <c r="Y8" i="12"/>
  <c r="X8" i="12"/>
  <c r="W8" i="12"/>
  <c r="V8" i="12"/>
  <c r="U8" i="12"/>
  <c r="T8" i="12"/>
  <c r="S8" i="12"/>
  <c r="R8" i="12"/>
  <c r="Q8" i="12"/>
  <c r="P8" i="12"/>
  <c r="O8" i="12"/>
  <c r="N8" i="12"/>
  <c r="M8" i="12"/>
  <c r="L8" i="12"/>
  <c r="K8" i="12"/>
  <c r="J8" i="12"/>
  <c r="I8" i="12"/>
  <c r="H8" i="12"/>
  <c r="G8" i="12"/>
  <c r="F8" i="12"/>
  <c r="E8" i="12"/>
  <c r="D8" i="12"/>
  <c r="C8" i="12"/>
  <c r="B8" i="12"/>
  <c r="A8" i="12"/>
  <c r="AB7" i="12"/>
  <c r="AA7" i="12"/>
  <c r="Z7" i="12"/>
  <c r="Y7" i="12"/>
  <c r="X7" i="12"/>
  <c r="W7" i="12"/>
  <c r="V7" i="12"/>
  <c r="U7" i="12"/>
  <c r="T7" i="12"/>
  <c r="S7" i="12"/>
  <c r="R7" i="12"/>
  <c r="Q7" i="12"/>
  <c r="P7" i="12"/>
  <c r="O7" i="12"/>
  <c r="N7" i="12"/>
  <c r="M7" i="12"/>
  <c r="L7" i="12"/>
  <c r="K7" i="12"/>
  <c r="J7" i="12"/>
  <c r="I7" i="12"/>
  <c r="H7" i="12"/>
  <c r="G7" i="12"/>
  <c r="F7" i="12"/>
  <c r="E7" i="12"/>
  <c r="D7" i="12"/>
  <c r="C7" i="12"/>
  <c r="B7" i="12"/>
  <c r="A7" i="12"/>
  <c r="AB6" i="12"/>
  <c r="AA6" i="12"/>
  <c r="Z6" i="12"/>
  <c r="Y6" i="12"/>
  <c r="X6" i="12"/>
  <c r="W6" i="12"/>
  <c r="V6" i="12"/>
  <c r="U6" i="12"/>
  <c r="T6" i="12"/>
  <c r="S6" i="12"/>
  <c r="R6" i="12"/>
  <c r="Q6" i="12"/>
  <c r="P6" i="12"/>
  <c r="O6" i="12"/>
  <c r="N6" i="12"/>
  <c r="M6" i="12"/>
  <c r="L6" i="12"/>
  <c r="K6" i="12"/>
  <c r="J6" i="12"/>
  <c r="I6" i="12"/>
  <c r="H6" i="12"/>
  <c r="G6" i="12"/>
  <c r="F6" i="12"/>
  <c r="E6" i="12"/>
  <c r="D6" i="12"/>
  <c r="C6" i="12"/>
  <c r="B6" i="12"/>
  <c r="A6" i="12"/>
  <c r="AB5" i="12"/>
  <c r="AA5" i="12"/>
  <c r="Z5" i="12"/>
  <c r="Y5" i="12"/>
  <c r="X5" i="12"/>
  <c r="W5" i="12"/>
  <c r="V5" i="12"/>
  <c r="U5" i="12"/>
  <c r="T5" i="12"/>
  <c r="S5" i="12"/>
  <c r="R5" i="12"/>
  <c r="Q5" i="12"/>
  <c r="P5" i="12"/>
  <c r="O5" i="12"/>
  <c r="N5" i="12"/>
  <c r="M5" i="12"/>
  <c r="L5" i="12"/>
  <c r="K5" i="12"/>
  <c r="J5" i="12"/>
  <c r="I5" i="12"/>
  <c r="H5" i="12"/>
  <c r="G5" i="12"/>
  <c r="F5" i="12"/>
  <c r="E5" i="12"/>
  <c r="D5" i="12"/>
  <c r="C5" i="12"/>
  <c r="B5" i="12"/>
  <c r="A5" i="12"/>
  <c r="AB4" i="12"/>
  <c r="AA4" i="12"/>
  <c r="Z4" i="12"/>
  <c r="Y4" i="12"/>
  <c r="X4" i="12"/>
  <c r="W4" i="12"/>
  <c r="V4" i="12"/>
  <c r="U4" i="12"/>
  <c r="T4" i="12"/>
  <c r="S4" i="12"/>
  <c r="R4" i="12"/>
  <c r="Q4" i="12"/>
  <c r="P4" i="12"/>
  <c r="O4" i="12"/>
  <c r="N4" i="12"/>
  <c r="M4" i="12"/>
  <c r="L4" i="12"/>
  <c r="K4" i="12"/>
  <c r="J4" i="12"/>
  <c r="I4" i="12"/>
  <c r="H4" i="12"/>
  <c r="G4" i="12"/>
  <c r="F4" i="12"/>
  <c r="E4" i="12"/>
  <c r="D4" i="12"/>
  <c r="C4" i="12"/>
  <c r="B4" i="12"/>
  <c r="A4" i="12"/>
  <c r="AB3" i="12"/>
  <c r="AA3" i="12"/>
  <c r="Z3" i="12"/>
  <c r="Y3" i="12"/>
  <c r="X3" i="12"/>
  <c r="W3" i="12"/>
  <c r="V3" i="12"/>
  <c r="U3" i="12"/>
  <c r="T3" i="12"/>
  <c r="S3" i="12"/>
  <c r="R3" i="12"/>
  <c r="Q3" i="12"/>
  <c r="P3" i="12"/>
  <c r="O3" i="12"/>
  <c r="N3" i="12"/>
  <c r="M3" i="12"/>
  <c r="L3" i="12"/>
  <c r="K3" i="12"/>
  <c r="J3" i="12"/>
  <c r="I3" i="12"/>
  <c r="H3" i="12"/>
  <c r="G3" i="12"/>
  <c r="F3" i="12"/>
  <c r="E3" i="12"/>
  <c r="D3" i="12"/>
  <c r="C3" i="12"/>
  <c r="B3" i="12"/>
  <c r="A3" i="12"/>
  <c r="AB2" i="12"/>
  <c r="AA2" i="12"/>
  <c r="Z2" i="12"/>
  <c r="Y2" i="12"/>
  <c r="X2" i="12"/>
  <c r="W2" i="12"/>
  <c r="V2" i="12"/>
  <c r="U2" i="12"/>
  <c r="T2" i="12"/>
  <c r="S2" i="12"/>
  <c r="R2" i="12"/>
  <c r="Q2" i="12"/>
  <c r="P2" i="12"/>
  <c r="O2" i="12"/>
  <c r="N2" i="12"/>
  <c r="M2" i="12"/>
  <c r="L2" i="12"/>
  <c r="K2" i="12"/>
  <c r="J2" i="12"/>
  <c r="I2" i="12"/>
  <c r="H2" i="12"/>
  <c r="G2" i="12"/>
  <c r="F2" i="12"/>
  <c r="E2" i="12"/>
  <c r="D2" i="12"/>
  <c r="C2" i="12"/>
  <c r="B2" i="12"/>
  <c r="A2" i="12"/>
  <c r="AB1" i="12"/>
  <c r="AA1" i="12"/>
  <c r="Z1" i="12"/>
  <c r="Y1" i="12"/>
  <c r="X1" i="12"/>
  <c r="W1" i="12"/>
  <c r="V1" i="12"/>
  <c r="U1" i="12"/>
  <c r="T1" i="12"/>
  <c r="S1" i="12"/>
  <c r="R1" i="12"/>
  <c r="Q1" i="12"/>
  <c r="P1" i="12"/>
  <c r="O1" i="12"/>
  <c r="N1" i="12"/>
  <c r="M1" i="12"/>
  <c r="L1" i="12"/>
  <c r="K1" i="12"/>
  <c r="J1" i="12"/>
  <c r="I1" i="12"/>
  <c r="H1" i="12"/>
  <c r="G1" i="12"/>
  <c r="F1" i="12"/>
  <c r="E1" i="12"/>
  <c r="D1" i="12"/>
  <c r="C1" i="12"/>
  <c r="B1" i="12"/>
  <c r="A1" i="12"/>
  <c r="B6" i="11"/>
  <c r="A6" i="11"/>
  <c r="B5" i="11"/>
  <c r="A5" i="11"/>
  <c r="B4" i="11"/>
  <c r="A4" i="11"/>
  <c r="B3" i="11"/>
  <c r="A3" i="11"/>
  <c r="B2" i="11"/>
  <c r="A2" i="11"/>
  <c r="B1" i="11"/>
  <c r="A1" i="11"/>
  <c r="B2" i="10"/>
  <c r="A2" i="10"/>
  <c r="B1" i="10"/>
  <c r="A1" i="10"/>
  <c r="Y17" i="9"/>
  <c r="X17" i="9"/>
  <c r="W17" i="9"/>
  <c r="V17" i="9"/>
  <c r="U17" i="9"/>
  <c r="T17" i="9"/>
  <c r="S17" i="9"/>
  <c r="R17" i="9"/>
  <c r="Q17" i="9"/>
  <c r="P17" i="9"/>
  <c r="O17" i="9"/>
  <c r="N17" i="9"/>
  <c r="M17" i="9"/>
  <c r="L17" i="9"/>
  <c r="K17" i="9"/>
  <c r="J17" i="9"/>
  <c r="I17" i="9"/>
  <c r="H17" i="9"/>
  <c r="G17" i="9"/>
  <c r="F17" i="9"/>
  <c r="E17" i="9"/>
  <c r="D17" i="9"/>
  <c r="C17" i="9"/>
  <c r="B17" i="9"/>
  <c r="Y14" i="9"/>
  <c r="P14" i="9"/>
  <c r="O14" i="9"/>
  <c r="N14" i="9"/>
  <c r="M14" i="9"/>
  <c r="I14" i="9"/>
  <c r="H14" i="9"/>
  <c r="G14" i="9"/>
  <c r="F14" i="9"/>
  <c r="E14" i="9"/>
  <c r="D14" i="9"/>
  <c r="C14" i="9"/>
  <c r="C7" i="9"/>
  <c r="C4" i="9"/>
  <c r="B4" i="9"/>
  <c r="K111" i="8"/>
  <c r="J111" i="8"/>
  <c r="I111" i="8"/>
  <c r="K110" i="8"/>
  <c r="J110" i="8"/>
  <c r="I110" i="8"/>
  <c r="F110" i="8"/>
  <c r="E110" i="8"/>
  <c r="C110" i="8"/>
  <c r="I109" i="8"/>
  <c r="F109" i="8"/>
  <c r="E109" i="8"/>
  <c r="L107" i="8"/>
  <c r="K107" i="8"/>
  <c r="J107" i="8"/>
  <c r="I107" i="8"/>
  <c r="K106" i="8"/>
  <c r="J106" i="8"/>
  <c r="Q104" i="8"/>
  <c r="E104" i="8"/>
  <c r="C104" i="8"/>
  <c r="F103" i="8"/>
  <c r="E103" i="8"/>
  <c r="C103" i="8"/>
  <c r="B103" i="8"/>
  <c r="K101" i="8"/>
  <c r="J101" i="8"/>
  <c r="I101" i="8"/>
  <c r="K100" i="8"/>
  <c r="J100" i="8"/>
  <c r="I100" i="8"/>
  <c r="F100" i="8"/>
  <c r="E100" i="8"/>
  <c r="C100" i="8"/>
  <c r="B100" i="8"/>
  <c r="I99" i="8"/>
  <c r="F99" i="8"/>
  <c r="E99" i="8"/>
  <c r="C99" i="8"/>
  <c r="L97" i="8"/>
  <c r="K97" i="8"/>
  <c r="J97" i="8"/>
  <c r="I97" i="8"/>
  <c r="K96" i="8"/>
  <c r="J96" i="8"/>
  <c r="I96" i="8"/>
  <c r="P94" i="8"/>
  <c r="O94" i="8"/>
  <c r="N94" i="8"/>
  <c r="P93" i="8"/>
  <c r="O93" i="8"/>
  <c r="N93" i="8"/>
  <c r="F93" i="8"/>
  <c r="E93" i="8"/>
  <c r="C93" i="8"/>
  <c r="F92" i="8"/>
  <c r="E92" i="8"/>
  <c r="C92" i="8"/>
  <c r="L90" i="8"/>
  <c r="K90" i="8"/>
  <c r="J90" i="8"/>
  <c r="I90" i="8"/>
  <c r="K89" i="8"/>
  <c r="J89" i="8"/>
  <c r="I89" i="8"/>
  <c r="F89" i="8"/>
  <c r="E89" i="8"/>
  <c r="C89" i="8"/>
  <c r="I88" i="8"/>
  <c r="F88" i="8"/>
  <c r="E88" i="8"/>
  <c r="C88" i="8"/>
  <c r="R87" i="8"/>
  <c r="Q87" i="8"/>
  <c r="P87" i="8"/>
  <c r="O87" i="8"/>
  <c r="R86" i="8"/>
  <c r="Q86" i="8"/>
  <c r="P86" i="8"/>
  <c r="K86" i="8"/>
  <c r="J86" i="8"/>
  <c r="K85" i="8"/>
  <c r="J85" i="8"/>
  <c r="I85" i="8"/>
  <c r="K84" i="8"/>
  <c r="J84" i="8"/>
  <c r="Y83" i="8"/>
  <c r="X83" i="8"/>
  <c r="Q83" i="8"/>
  <c r="Q82" i="8"/>
  <c r="F82" i="8"/>
  <c r="E82" i="8"/>
  <c r="F81" i="8"/>
  <c r="E81" i="8"/>
  <c r="C81" i="8"/>
  <c r="B81" i="8"/>
  <c r="F80" i="8"/>
  <c r="E80" i="8"/>
  <c r="C80" i="8"/>
  <c r="N78" i="8"/>
  <c r="L78" i="8"/>
  <c r="K78" i="8"/>
  <c r="J78" i="8"/>
  <c r="I78" i="8"/>
  <c r="K77" i="8"/>
  <c r="J77" i="8"/>
  <c r="I77" i="8"/>
  <c r="F77" i="8"/>
  <c r="E77" i="8"/>
  <c r="C77" i="8"/>
  <c r="I76" i="8"/>
  <c r="F76" i="8"/>
  <c r="E76" i="8"/>
  <c r="S75" i="8"/>
  <c r="R75" i="8"/>
  <c r="Q75" i="8"/>
  <c r="P75" i="8"/>
  <c r="O75" i="8"/>
  <c r="N75" i="8"/>
  <c r="Q74" i="8"/>
  <c r="P74" i="8"/>
  <c r="O74" i="8"/>
  <c r="K74" i="8"/>
  <c r="J74" i="8"/>
  <c r="I74" i="8"/>
  <c r="K73" i="8"/>
  <c r="J73" i="8"/>
  <c r="C72" i="8"/>
  <c r="V71" i="8"/>
  <c r="F70" i="8"/>
  <c r="E70" i="8"/>
  <c r="J69" i="8"/>
  <c r="I69" i="8"/>
  <c r="F69" i="8"/>
  <c r="E69" i="8"/>
  <c r="D69" i="8"/>
  <c r="C69" i="8"/>
  <c r="B69" i="8"/>
  <c r="E68" i="8"/>
  <c r="C68" i="8"/>
  <c r="K67" i="8"/>
  <c r="N66" i="8"/>
  <c r="L66" i="8"/>
  <c r="K66" i="8"/>
  <c r="J66" i="8"/>
  <c r="I66" i="8"/>
  <c r="F66" i="8"/>
  <c r="K65" i="8"/>
  <c r="J65" i="8"/>
  <c r="I65" i="8"/>
  <c r="F65" i="8"/>
  <c r="E65" i="8"/>
  <c r="I64" i="8"/>
  <c r="F64" i="8"/>
  <c r="Y63" i="8"/>
  <c r="X63" i="8"/>
  <c r="W63" i="8"/>
  <c r="V63" i="8"/>
  <c r="U63" i="8"/>
  <c r="T63" i="8"/>
  <c r="S63" i="8"/>
  <c r="R63" i="8"/>
  <c r="Q63" i="8"/>
  <c r="P63" i="8"/>
  <c r="O63" i="8"/>
  <c r="N63" i="8"/>
  <c r="M63" i="8"/>
  <c r="L63" i="8"/>
  <c r="K63" i="8"/>
  <c r="J63" i="8"/>
  <c r="I63" i="8"/>
  <c r="H63" i="8"/>
  <c r="G63" i="8"/>
  <c r="F63" i="8"/>
  <c r="E63" i="8"/>
  <c r="D63" i="8"/>
  <c r="C63" i="8"/>
  <c r="B63" i="8"/>
  <c r="Y58" i="8"/>
  <c r="X58" i="8"/>
  <c r="X14" i="9" s="1"/>
  <c r="W58" i="8"/>
  <c r="W14" i="9" s="1"/>
  <c r="V58" i="8"/>
  <c r="V14" i="9" s="1"/>
  <c r="U58" i="8"/>
  <c r="U14" i="9" s="1"/>
  <c r="T58" i="8"/>
  <c r="T14" i="9" s="1"/>
  <c r="S58" i="8"/>
  <c r="S14" i="9" s="1"/>
  <c r="R58" i="8"/>
  <c r="R14" i="9" s="1"/>
  <c r="Q58" i="8"/>
  <c r="Q14" i="9" s="1"/>
  <c r="P58" i="8"/>
  <c r="O58" i="8"/>
  <c r="N58" i="8"/>
  <c r="M58" i="8"/>
  <c r="L58" i="8"/>
  <c r="L14" i="9" s="1"/>
  <c r="K58" i="8"/>
  <c r="K14" i="9" s="1"/>
  <c r="J58" i="8"/>
  <c r="J14" i="9" s="1"/>
  <c r="I58" i="8"/>
  <c r="H58" i="8"/>
  <c r="G58" i="8"/>
  <c r="F58" i="8"/>
  <c r="E58" i="8"/>
  <c r="D58" i="8"/>
  <c r="C58" i="8"/>
  <c r="B58" i="8"/>
  <c r="B14" i="9" s="1"/>
  <c r="Y57" i="8"/>
  <c r="Y72" i="8" s="1"/>
  <c r="X57" i="8"/>
  <c r="X91" i="8" s="1"/>
  <c r="W57" i="8"/>
  <c r="W111" i="8" s="1"/>
  <c r="V57" i="8"/>
  <c r="V83" i="8" s="1"/>
  <c r="U57" i="8"/>
  <c r="U83" i="8" s="1"/>
  <c r="T57" i="8"/>
  <c r="D57" i="8"/>
  <c r="C57" i="8"/>
  <c r="Y56" i="8"/>
  <c r="X56" i="8"/>
  <c r="W56" i="8"/>
  <c r="V56" i="8"/>
  <c r="U56" i="8"/>
  <c r="T56" i="8"/>
  <c r="S56" i="8"/>
  <c r="R56" i="8"/>
  <c r="Q56" i="8"/>
  <c r="P56" i="8"/>
  <c r="O56" i="8"/>
  <c r="N56" i="8"/>
  <c r="M56" i="8"/>
  <c r="L56" i="8"/>
  <c r="K56" i="8"/>
  <c r="J56" i="8"/>
  <c r="I56" i="8"/>
  <c r="H56" i="8"/>
  <c r="G56" i="8"/>
  <c r="F56" i="8"/>
  <c r="E56" i="8"/>
  <c r="D56" i="8"/>
  <c r="C56" i="8"/>
  <c r="B56" i="8"/>
  <c r="M50" i="8"/>
  <c r="M110" i="8" s="1"/>
  <c r="M49" i="8"/>
  <c r="M109" i="8" s="1"/>
  <c r="H44" i="8"/>
  <c r="H104" i="8" s="1"/>
  <c r="G44" i="8"/>
  <c r="G104" i="8" s="1"/>
  <c r="D44" i="8"/>
  <c r="D104" i="8" s="1"/>
  <c r="D42" i="8"/>
  <c r="D102" i="8" s="1"/>
  <c r="M41" i="8"/>
  <c r="M101" i="8" s="1"/>
  <c r="H41" i="8"/>
  <c r="H101" i="8" s="1"/>
  <c r="G41" i="8"/>
  <c r="G101" i="8" s="1"/>
  <c r="H27" i="8"/>
  <c r="H87" i="8" s="1"/>
  <c r="H25" i="8"/>
  <c r="H85" i="8" s="1"/>
  <c r="G25" i="8"/>
  <c r="G85" i="8" s="1"/>
  <c r="D25" i="8"/>
  <c r="D85" i="8" s="1"/>
  <c r="M24" i="8"/>
  <c r="M84" i="8" s="1"/>
  <c r="H24" i="8"/>
  <c r="H84" i="8" s="1"/>
  <c r="D9" i="8"/>
  <c r="M8" i="8"/>
  <c r="M68" i="8" s="1"/>
  <c r="H8" i="8"/>
  <c r="H68" i="8" s="1"/>
  <c r="G8" i="8"/>
  <c r="G68" i="8" s="1"/>
  <c r="D8" i="8"/>
  <c r="D68" i="8" s="1"/>
  <c r="Y3" i="8"/>
  <c r="X3" i="8"/>
  <c r="W3" i="8"/>
  <c r="V3" i="8"/>
  <c r="U3" i="8"/>
  <c r="T3" i="8"/>
  <c r="S3" i="8"/>
  <c r="R3" i="8"/>
  <c r="Q3" i="8"/>
  <c r="P3" i="8"/>
  <c r="O3" i="8"/>
  <c r="N3" i="8"/>
  <c r="M3" i="8"/>
  <c r="L3" i="8"/>
  <c r="K3" i="8"/>
  <c r="J3" i="8"/>
  <c r="I3" i="8"/>
  <c r="H3" i="8"/>
  <c r="G3" i="8"/>
  <c r="F3" i="8"/>
  <c r="E3" i="8"/>
  <c r="D3" i="8"/>
  <c r="C3" i="8"/>
  <c r="B3" i="8"/>
  <c r="F3563" i="5"/>
  <c r="F3562" i="5"/>
  <c r="F3561" i="5"/>
  <c r="F3560" i="5"/>
  <c r="F3559" i="5"/>
  <c r="F3558" i="5"/>
  <c r="F3557" i="5"/>
  <c r="F3556" i="5"/>
  <c r="F3555" i="5"/>
  <c r="F3554" i="5"/>
  <c r="F3553" i="5"/>
  <c r="F3552" i="5"/>
  <c r="F3551" i="5"/>
  <c r="F3550" i="5"/>
  <c r="F3549" i="5"/>
  <c r="F3548" i="5"/>
  <c r="F3547" i="5"/>
  <c r="F3546" i="5"/>
  <c r="F3545" i="5"/>
  <c r="F3544" i="5"/>
  <c r="F3543" i="5"/>
  <c r="F3542" i="5"/>
  <c r="F3541" i="5"/>
  <c r="F3540" i="5"/>
  <c r="F3539" i="5"/>
  <c r="F3538" i="5"/>
  <c r="F3537" i="5"/>
  <c r="F3536" i="5"/>
  <c r="F3535" i="5"/>
  <c r="F3534" i="5"/>
  <c r="F3533" i="5"/>
  <c r="F3532" i="5"/>
  <c r="M51" i="8" s="1"/>
  <c r="M111" i="8" s="1"/>
  <c r="F3531" i="5"/>
  <c r="F3530" i="5"/>
  <c r="F3529" i="5"/>
  <c r="F3528" i="5"/>
  <c r="F3527" i="5"/>
  <c r="F3526" i="5"/>
  <c r="F3525" i="5"/>
  <c r="F3524" i="5"/>
  <c r="F3523" i="5"/>
  <c r="F3522" i="5"/>
  <c r="F3521" i="5"/>
  <c r="F3520" i="5"/>
  <c r="F3519" i="5"/>
  <c r="F3518" i="5"/>
  <c r="F3517" i="5"/>
  <c r="F3516" i="5"/>
  <c r="F3515" i="5"/>
  <c r="F3514" i="5"/>
  <c r="F3513" i="5"/>
  <c r="F3512" i="5"/>
  <c r="F3511" i="5"/>
  <c r="F3510" i="5"/>
  <c r="H50" i="8" s="1"/>
  <c r="H110" i="8" s="1"/>
  <c r="F3509" i="5"/>
  <c r="F3508" i="5"/>
  <c r="F3507" i="5"/>
  <c r="F3506" i="5"/>
  <c r="F3505" i="5"/>
  <c r="F3504" i="5"/>
  <c r="F3503" i="5"/>
  <c r="F3502" i="5"/>
  <c r="F3501" i="5"/>
  <c r="F3500" i="5"/>
  <c r="F3499" i="5"/>
  <c r="F3498" i="5"/>
  <c r="F3497" i="5"/>
  <c r="F3496" i="5"/>
  <c r="F3495" i="5"/>
  <c r="F3494" i="5"/>
  <c r="F3493" i="5"/>
  <c r="F3492" i="5"/>
  <c r="F3491" i="5"/>
  <c r="F3490" i="5"/>
  <c r="F3489" i="5"/>
  <c r="F3488" i="5"/>
  <c r="F3487" i="5"/>
  <c r="F3486" i="5"/>
  <c r="F3485" i="5"/>
  <c r="F3484" i="5"/>
  <c r="F3483" i="5"/>
  <c r="F3482" i="5"/>
  <c r="F3481" i="5"/>
  <c r="F3480" i="5"/>
  <c r="F3479" i="5"/>
  <c r="F3478" i="5"/>
  <c r="F3477" i="5"/>
  <c r="F3476" i="5"/>
  <c r="F3475" i="5"/>
  <c r="F3474" i="5"/>
  <c r="F3473" i="5"/>
  <c r="F3472" i="5"/>
  <c r="F3471" i="5"/>
  <c r="F3470" i="5"/>
  <c r="F3469" i="5"/>
  <c r="F3468" i="5"/>
  <c r="F3467" i="5"/>
  <c r="F3466" i="5"/>
  <c r="F3465" i="5"/>
  <c r="F3464" i="5"/>
  <c r="F3463" i="5"/>
  <c r="F3462" i="5"/>
  <c r="F3461" i="5"/>
  <c r="F3460" i="5"/>
  <c r="F3459" i="5"/>
  <c r="F3458" i="5"/>
  <c r="F3457" i="5"/>
  <c r="F3456" i="5"/>
  <c r="F3455" i="5"/>
  <c r="F3454" i="5"/>
  <c r="F3453" i="5"/>
  <c r="F3452" i="5"/>
  <c r="F3451" i="5"/>
  <c r="F3450" i="5"/>
  <c r="F3449" i="5"/>
  <c r="F3448" i="5"/>
  <c r="F3447" i="5"/>
  <c r="F3446" i="5"/>
  <c r="F3445" i="5"/>
  <c r="F3444" i="5"/>
  <c r="F3443" i="5"/>
  <c r="F3442" i="5"/>
  <c r="F3441" i="5"/>
  <c r="F3440" i="5"/>
  <c r="F3439" i="5"/>
  <c r="F3438" i="5"/>
  <c r="F3437" i="5"/>
  <c r="F3436" i="5"/>
  <c r="F3435" i="5"/>
  <c r="F3434" i="5"/>
  <c r="F3433" i="5"/>
  <c r="F3432" i="5"/>
  <c r="F3431" i="5"/>
  <c r="F3430" i="5"/>
  <c r="F3429" i="5"/>
  <c r="F3428" i="5"/>
  <c r="F3427" i="5"/>
  <c r="F3426" i="5"/>
  <c r="F3425" i="5"/>
  <c r="F3424" i="5"/>
  <c r="F3423" i="5"/>
  <c r="F3422" i="5"/>
  <c r="F3421" i="5"/>
  <c r="F3420" i="5"/>
  <c r="F3419" i="5"/>
  <c r="F3418" i="5"/>
  <c r="F3417" i="5"/>
  <c r="F3416" i="5"/>
  <c r="F3415" i="5"/>
  <c r="F3414" i="5"/>
  <c r="F3413" i="5"/>
  <c r="F3412" i="5"/>
  <c r="F3411" i="5"/>
  <c r="F3410" i="5"/>
  <c r="F3409" i="5"/>
  <c r="F3408" i="5"/>
  <c r="F3407" i="5"/>
  <c r="F3406" i="5"/>
  <c r="F3405" i="5"/>
  <c r="F3404" i="5"/>
  <c r="F3403" i="5"/>
  <c r="F3402" i="5"/>
  <c r="F3401" i="5"/>
  <c r="F3400" i="5"/>
  <c r="F3399" i="5"/>
  <c r="F3398" i="5"/>
  <c r="F3397" i="5"/>
  <c r="F3396" i="5"/>
  <c r="F3395" i="5"/>
  <c r="F3394" i="5"/>
  <c r="F3393" i="5"/>
  <c r="F3392" i="5"/>
  <c r="F3391" i="5"/>
  <c r="F3390" i="5"/>
  <c r="F3389" i="5"/>
  <c r="F3388" i="5"/>
  <c r="F3387" i="5"/>
  <c r="F3386" i="5"/>
  <c r="F3385" i="5"/>
  <c r="F3384" i="5"/>
  <c r="F3383" i="5"/>
  <c r="F3382" i="5"/>
  <c r="F3381" i="5"/>
  <c r="F3380" i="5"/>
  <c r="F3379" i="5"/>
  <c r="F3378" i="5"/>
  <c r="F3377" i="5"/>
  <c r="F3376" i="5"/>
  <c r="F3375" i="5"/>
  <c r="F3374" i="5"/>
  <c r="F3373" i="5"/>
  <c r="F3372" i="5"/>
  <c r="F3371" i="5"/>
  <c r="F3370" i="5"/>
  <c r="F3369" i="5"/>
  <c r="F3368" i="5"/>
  <c r="F3367" i="5"/>
  <c r="F3366" i="5"/>
  <c r="F3365" i="5"/>
  <c r="F3364" i="5"/>
  <c r="F3363" i="5"/>
  <c r="F3362" i="5"/>
  <c r="F3361" i="5"/>
  <c r="F3360" i="5"/>
  <c r="F3359" i="5"/>
  <c r="F3358" i="5"/>
  <c r="F3357" i="5"/>
  <c r="F3356" i="5"/>
  <c r="F3355" i="5"/>
  <c r="F3354" i="5"/>
  <c r="F3353" i="5"/>
  <c r="F3352" i="5"/>
  <c r="F3351" i="5"/>
  <c r="F3350" i="5"/>
  <c r="F3349" i="5"/>
  <c r="F3348" i="5"/>
  <c r="F3347" i="5"/>
  <c r="F3346" i="5"/>
  <c r="F3345" i="5"/>
  <c r="F3344" i="5"/>
  <c r="F3343" i="5"/>
  <c r="F3342" i="5"/>
  <c r="F3341" i="5"/>
  <c r="F3340" i="5"/>
  <c r="F3339" i="5"/>
  <c r="F3338" i="5"/>
  <c r="F3337" i="5"/>
  <c r="F3336" i="5"/>
  <c r="F3335" i="5"/>
  <c r="F3334" i="5"/>
  <c r="F3333" i="5"/>
  <c r="F3332" i="5"/>
  <c r="F3331" i="5"/>
  <c r="F3330" i="5"/>
  <c r="F3329" i="5"/>
  <c r="F3328" i="5"/>
  <c r="F3327" i="5"/>
  <c r="F3326" i="5"/>
  <c r="F3325" i="5"/>
  <c r="F3324" i="5"/>
  <c r="F3323" i="5"/>
  <c r="F3322" i="5"/>
  <c r="F3321" i="5"/>
  <c r="F3320" i="5"/>
  <c r="F3319" i="5"/>
  <c r="F3318" i="5"/>
  <c r="F3317" i="5"/>
  <c r="F3316" i="5"/>
  <c r="F3315" i="5"/>
  <c r="F3314" i="5"/>
  <c r="F3313" i="5"/>
  <c r="F3312" i="5"/>
  <c r="F3311" i="5"/>
  <c r="F3310" i="5"/>
  <c r="F3309" i="5"/>
  <c r="F3308" i="5"/>
  <c r="F3307" i="5"/>
  <c r="F3306" i="5"/>
  <c r="F3305" i="5"/>
  <c r="F3304" i="5"/>
  <c r="F3303" i="5"/>
  <c r="F3302" i="5"/>
  <c r="F3301" i="5"/>
  <c r="F3300" i="5"/>
  <c r="F3299" i="5"/>
  <c r="F3298" i="5"/>
  <c r="F3297" i="5"/>
  <c r="F3296" i="5"/>
  <c r="F3295" i="5"/>
  <c r="F3294" i="5"/>
  <c r="F3293" i="5"/>
  <c r="F3292" i="5"/>
  <c r="F3291" i="5"/>
  <c r="F3290" i="5"/>
  <c r="F3289" i="5"/>
  <c r="F3288" i="5"/>
  <c r="F3287" i="5"/>
  <c r="F3286" i="5"/>
  <c r="F3285" i="5"/>
  <c r="F3284" i="5"/>
  <c r="F3283" i="5"/>
  <c r="F3282" i="5"/>
  <c r="F3281" i="5"/>
  <c r="F3280" i="5"/>
  <c r="F3279" i="5"/>
  <c r="F3278" i="5"/>
  <c r="F3277" i="5"/>
  <c r="F3276" i="5"/>
  <c r="F3275" i="5"/>
  <c r="F3274" i="5"/>
  <c r="F3273" i="5"/>
  <c r="F3272" i="5"/>
  <c r="F3271" i="5"/>
  <c r="F3270" i="5"/>
  <c r="F3269" i="5"/>
  <c r="F3268" i="5"/>
  <c r="F3267" i="5"/>
  <c r="F3266" i="5"/>
  <c r="F3265" i="5"/>
  <c r="F3264" i="5"/>
  <c r="F3263" i="5"/>
  <c r="F3262" i="5"/>
  <c r="F3261" i="5"/>
  <c r="F3260" i="5"/>
  <c r="F3259" i="5"/>
  <c r="F3258" i="5"/>
  <c r="F3257" i="5"/>
  <c r="F3256" i="5"/>
  <c r="F3255" i="5"/>
  <c r="F3254" i="5"/>
  <c r="F3253" i="5"/>
  <c r="F3252" i="5"/>
  <c r="F3251" i="5"/>
  <c r="F3250" i="5"/>
  <c r="F3249" i="5"/>
  <c r="F3248" i="5"/>
  <c r="F3247" i="5"/>
  <c r="F3246" i="5"/>
  <c r="F3245" i="5"/>
  <c r="F3244" i="5"/>
  <c r="F3243" i="5"/>
  <c r="F3242" i="5"/>
  <c r="F3241" i="5"/>
  <c r="F3240" i="5"/>
  <c r="F3239" i="5"/>
  <c r="F3238" i="5"/>
  <c r="F3237" i="5"/>
  <c r="F3236" i="5"/>
  <c r="F3235" i="5"/>
  <c r="F3234" i="5"/>
  <c r="F3233" i="5"/>
  <c r="F3232" i="5"/>
  <c r="F3231" i="5"/>
  <c r="F3230" i="5"/>
  <c r="F3229" i="5"/>
  <c r="F3228" i="5"/>
  <c r="F3227" i="5"/>
  <c r="F3226" i="5"/>
  <c r="F3225" i="5"/>
  <c r="F3224" i="5"/>
  <c r="F3223" i="5"/>
  <c r="F3222" i="5"/>
  <c r="F3221" i="5"/>
  <c r="F3220" i="5"/>
  <c r="F3219" i="5"/>
  <c r="F3218" i="5"/>
  <c r="F3217" i="5"/>
  <c r="F3216" i="5"/>
  <c r="F3215" i="5"/>
  <c r="F3214" i="5"/>
  <c r="F3213" i="5"/>
  <c r="F3212" i="5"/>
  <c r="F3211" i="5"/>
  <c r="F3210" i="5"/>
  <c r="F3209" i="5"/>
  <c r="F3208" i="5"/>
  <c r="F3207" i="5"/>
  <c r="F3206" i="5"/>
  <c r="F3205" i="5"/>
  <c r="F3204" i="5"/>
  <c r="F3203" i="5"/>
  <c r="F3202" i="5"/>
  <c r="F3201" i="5"/>
  <c r="F3200" i="5"/>
  <c r="F3199" i="5"/>
  <c r="F3198" i="5"/>
  <c r="F3197" i="5"/>
  <c r="F3196" i="5"/>
  <c r="F3195" i="5"/>
  <c r="F3194" i="5"/>
  <c r="F3193" i="5"/>
  <c r="F3192" i="5"/>
  <c r="F3191" i="5"/>
  <c r="F3190" i="5"/>
  <c r="F3189" i="5"/>
  <c r="F3188" i="5"/>
  <c r="F3187" i="5"/>
  <c r="F3186" i="5"/>
  <c r="F3185" i="5"/>
  <c r="F3184" i="5"/>
  <c r="F3183" i="5"/>
  <c r="F3182" i="5"/>
  <c r="F3181" i="5"/>
  <c r="F3180" i="5"/>
  <c r="F3179" i="5"/>
  <c r="F3178" i="5"/>
  <c r="F3177" i="5"/>
  <c r="F3176" i="5"/>
  <c r="F3175" i="5"/>
  <c r="F3174" i="5"/>
  <c r="F3173" i="5"/>
  <c r="F3172" i="5"/>
  <c r="F3171" i="5"/>
  <c r="F3170" i="5"/>
  <c r="F3169" i="5"/>
  <c r="F3168" i="5"/>
  <c r="F3167" i="5"/>
  <c r="F3166" i="5"/>
  <c r="F3165" i="5"/>
  <c r="F3164" i="5"/>
  <c r="F3163" i="5"/>
  <c r="F3162" i="5"/>
  <c r="F3161" i="5"/>
  <c r="F3160" i="5"/>
  <c r="F3159" i="5"/>
  <c r="F3158" i="5"/>
  <c r="F3157" i="5"/>
  <c r="F3156" i="5"/>
  <c r="F3155" i="5"/>
  <c r="F3154" i="5"/>
  <c r="F3153" i="5"/>
  <c r="F3152" i="5"/>
  <c r="F3151" i="5"/>
  <c r="F3150" i="5"/>
  <c r="F3149" i="5"/>
  <c r="F3148" i="5"/>
  <c r="F3147" i="5"/>
  <c r="F3146" i="5"/>
  <c r="F3145" i="5"/>
  <c r="F3144" i="5"/>
  <c r="F3143" i="5"/>
  <c r="F3142" i="5"/>
  <c r="F3141" i="5"/>
  <c r="F3140" i="5"/>
  <c r="F3139" i="5"/>
  <c r="F3138" i="5"/>
  <c r="F3137" i="5"/>
  <c r="F3136" i="5"/>
  <c r="F3135" i="5"/>
  <c r="F3134" i="5"/>
  <c r="F3133" i="5"/>
  <c r="F3132" i="5"/>
  <c r="F3131" i="5"/>
  <c r="F3130" i="5"/>
  <c r="F3129" i="5"/>
  <c r="F3128" i="5"/>
  <c r="F3127" i="5"/>
  <c r="F3126" i="5"/>
  <c r="F3125" i="5"/>
  <c r="F3124" i="5"/>
  <c r="F3123" i="5"/>
  <c r="F3122" i="5"/>
  <c r="F3121" i="5"/>
  <c r="F3120" i="5"/>
  <c r="F3119" i="5"/>
  <c r="F3118" i="5"/>
  <c r="F3117" i="5"/>
  <c r="F3116" i="5"/>
  <c r="F3115" i="5"/>
  <c r="F3114" i="5"/>
  <c r="F3113" i="5"/>
  <c r="F3112" i="5"/>
  <c r="F3111" i="5"/>
  <c r="F3110" i="5"/>
  <c r="F3109" i="5"/>
  <c r="F3108" i="5"/>
  <c r="F3107" i="5"/>
  <c r="F3106" i="5"/>
  <c r="F3105" i="5"/>
  <c r="F3104" i="5"/>
  <c r="F3103" i="5"/>
  <c r="F3102" i="5"/>
  <c r="F3101" i="5"/>
  <c r="F3100" i="5"/>
  <c r="F3099" i="5"/>
  <c r="F3098" i="5"/>
  <c r="F3097" i="5"/>
  <c r="F3096" i="5"/>
  <c r="F3095" i="5"/>
  <c r="F3094" i="5"/>
  <c r="F3093" i="5"/>
  <c r="F3092" i="5"/>
  <c r="F3091" i="5"/>
  <c r="F3090" i="5"/>
  <c r="F3089" i="5"/>
  <c r="F3088" i="5"/>
  <c r="F3087" i="5"/>
  <c r="F3086" i="5"/>
  <c r="F3085" i="5"/>
  <c r="F3084" i="5"/>
  <c r="F3083" i="5"/>
  <c r="F3082" i="5"/>
  <c r="F3081" i="5"/>
  <c r="F3080" i="5"/>
  <c r="F3079" i="5"/>
  <c r="F3078" i="5"/>
  <c r="F3077" i="5"/>
  <c r="F3076" i="5"/>
  <c r="F3075" i="5"/>
  <c r="F3074" i="5"/>
  <c r="F3073" i="5"/>
  <c r="F3072" i="5"/>
  <c r="F3071" i="5"/>
  <c r="F3070" i="5"/>
  <c r="F3069" i="5"/>
  <c r="F3068" i="5"/>
  <c r="F3067" i="5"/>
  <c r="F3066" i="5"/>
  <c r="F3065" i="5"/>
  <c r="F3064" i="5"/>
  <c r="F3063" i="5"/>
  <c r="F3062" i="5"/>
  <c r="F3061" i="5"/>
  <c r="F3060" i="5"/>
  <c r="F3059" i="5"/>
  <c r="F3058" i="5"/>
  <c r="F3057" i="5"/>
  <c r="F3056" i="5"/>
  <c r="F3055" i="5"/>
  <c r="F3054" i="5"/>
  <c r="F3053" i="5"/>
  <c r="F3052" i="5"/>
  <c r="F3051" i="5"/>
  <c r="F3050" i="5"/>
  <c r="F3049" i="5"/>
  <c r="F3048" i="5"/>
  <c r="F3047" i="5"/>
  <c r="F3046" i="5"/>
  <c r="F3045" i="5"/>
  <c r="F3044" i="5"/>
  <c r="F3043" i="5"/>
  <c r="F3042" i="5"/>
  <c r="F3041" i="5"/>
  <c r="F3040" i="5"/>
  <c r="F3039" i="5"/>
  <c r="F3038" i="5"/>
  <c r="F3037" i="5"/>
  <c r="F3036" i="5"/>
  <c r="F3035" i="5"/>
  <c r="F3034" i="5"/>
  <c r="F3033" i="5"/>
  <c r="F3032" i="5"/>
  <c r="F3031" i="5"/>
  <c r="F3030" i="5"/>
  <c r="F3029" i="5"/>
  <c r="F3028" i="5"/>
  <c r="F3027" i="5"/>
  <c r="F3026" i="5"/>
  <c r="F3025" i="5"/>
  <c r="F3024" i="5"/>
  <c r="F3023" i="5"/>
  <c r="F3022" i="5"/>
  <c r="F3021" i="5"/>
  <c r="F3020" i="5"/>
  <c r="F3019" i="5"/>
  <c r="F3018" i="5"/>
  <c r="F3017" i="5"/>
  <c r="F3016" i="5"/>
  <c r="F3015" i="5"/>
  <c r="F3014" i="5"/>
  <c r="F3013" i="5"/>
  <c r="F3012" i="5"/>
  <c r="F3011" i="5"/>
  <c r="F3010" i="5"/>
  <c r="F3009" i="5"/>
  <c r="F3008" i="5"/>
  <c r="F3007" i="5"/>
  <c r="F3006" i="5"/>
  <c r="F3005" i="5"/>
  <c r="F3004" i="5"/>
  <c r="F3003" i="5"/>
  <c r="F3002" i="5"/>
  <c r="F3001" i="5"/>
  <c r="F3000" i="5"/>
  <c r="F2999" i="5"/>
  <c r="F2998" i="5"/>
  <c r="F2997" i="5"/>
  <c r="F2996" i="5"/>
  <c r="F2995" i="5"/>
  <c r="F2994" i="5"/>
  <c r="F2993" i="5"/>
  <c r="F2992" i="5"/>
  <c r="F2991" i="5"/>
  <c r="F2990" i="5"/>
  <c r="F2989" i="5"/>
  <c r="F2988" i="5"/>
  <c r="F2987" i="5"/>
  <c r="F2986" i="5"/>
  <c r="F2985" i="5"/>
  <c r="F2984" i="5"/>
  <c r="F2983" i="5"/>
  <c r="F2982" i="5"/>
  <c r="F2981" i="5"/>
  <c r="F2980" i="5"/>
  <c r="F2979" i="5"/>
  <c r="F2978" i="5"/>
  <c r="F2977" i="5"/>
  <c r="F2976" i="5"/>
  <c r="F2975" i="5"/>
  <c r="F2974" i="5"/>
  <c r="F2973" i="5"/>
  <c r="F2972" i="5"/>
  <c r="F2971" i="5"/>
  <c r="F2970" i="5"/>
  <c r="F2969" i="5"/>
  <c r="F2968" i="5"/>
  <c r="F2967" i="5"/>
  <c r="F2966" i="5"/>
  <c r="F2965" i="5"/>
  <c r="F2964" i="5"/>
  <c r="F2963" i="5"/>
  <c r="F2962" i="5"/>
  <c r="F2961" i="5"/>
  <c r="F2960" i="5"/>
  <c r="F2959" i="5"/>
  <c r="F2958" i="5"/>
  <c r="F2957" i="5"/>
  <c r="F2956" i="5"/>
  <c r="F2955" i="5"/>
  <c r="F2954" i="5"/>
  <c r="F2953" i="5"/>
  <c r="F2952" i="5"/>
  <c r="F2951" i="5"/>
  <c r="F2950" i="5"/>
  <c r="F2949" i="5"/>
  <c r="F2948" i="5"/>
  <c r="F2947" i="5"/>
  <c r="F2946" i="5"/>
  <c r="F2945" i="5"/>
  <c r="F2944" i="5"/>
  <c r="F2943" i="5"/>
  <c r="F2942" i="5"/>
  <c r="F2941" i="5"/>
  <c r="F2940" i="5"/>
  <c r="F2939" i="5"/>
  <c r="F2938" i="5"/>
  <c r="F2937" i="5"/>
  <c r="F2936" i="5"/>
  <c r="F2935" i="5"/>
  <c r="F2934" i="5"/>
  <c r="F2933" i="5"/>
  <c r="F2932" i="5"/>
  <c r="F2931" i="5"/>
  <c r="F2930" i="5"/>
  <c r="F2929" i="5"/>
  <c r="F2928" i="5"/>
  <c r="F2927" i="5"/>
  <c r="F2926" i="5"/>
  <c r="F2925" i="5"/>
  <c r="D41" i="8" s="1"/>
  <c r="D101" i="8" s="1"/>
  <c r="F2924" i="5"/>
  <c r="F2923" i="5"/>
  <c r="F2922" i="5"/>
  <c r="F2921" i="5"/>
  <c r="F2920" i="5"/>
  <c r="F2919" i="5"/>
  <c r="F2918" i="5"/>
  <c r="F2917" i="5"/>
  <c r="F2916" i="5"/>
  <c r="F2915" i="5"/>
  <c r="F2914" i="5"/>
  <c r="F2913" i="5"/>
  <c r="F2912" i="5"/>
  <c r="F2911" i="5"/>
  <c r="F2910" i="5"/>
  <c r="F2909" i="5"/>
  <c r="F2908" i="5"/>
  <c r="F2907" i="5"/>
  <c r="F2906" i="5"/>
  <c r="F2905" i="5"/>
  <c r="F2904" i="5"/>
  <c r="F2903" i="5"/>
  <c r="F2902" i="5"/>
  <c r="F2901" i="5"/>
  <c r="F2900" i="5"/>
  <c r="F2899" i="5"/>
  <c r="F2898" i="5"/>
  <c r="F2897" i="5"/>
  <c r="F2896" i="5"/>
  <c r="F2895" i="5"/>
  <c r="F2894" i="5"/>
  <c r="F2893" i="5"/>
  <c r="F2892" i="5"/>
  <c r="F2891" i="5"/>
  <c r="F2890" i="5"/>
  <c r="F2889" i="5"/>
  <c r="F2888" i="5"/>
  <c r="F2887" i="5"/>
  <c r="F2886" i="5"/>
  <c r="F2885" i="5"/>
  <c r="F2884" i="5"/>
  <c r="F2883" i="5"/>
  <c r="F2882" i="5"/>
  <c r="F2881" i="5"/>
  <c r="M40" i="8" s="1"/>
  <c r="M100" i="8" s="1"/>
  <c r="F2880" i="5"/>
  <c r="F2879" i="5"/>
  <c r="F2878" i="5"/>
  <c r="F2877" i="5"/>
  <c r="F2876" i="5"/>
  <c r="F2875" i="5"/>
  <c r="F2874" i="5"/>
  <c r="F2873" i="5"/>
  <c r="F2872" i="5"/>
  <c r="H40" i="8" s="1"/>
  <c r="H100" i="8" s="1"/>
  <c r="F2871" i="5"/>
  <c r="F2870" i="5"/>
  <c r="F2869" i="5"/>
  <c r="F2868" i="5"/>
  <c r="F2867" i="5"/>
  <c r="F2866" i="5"/>
  <c r="F2865" i="5"/>
  <c r="F2864" i="5"/>
  <c r="F2863" i="5"/>
  <c r="F2862" i="5"/>
  <c r="F2861" i="5"/>
  <c r="F2860" i="5"/>
  <c r="F2859" i="5"/>
  <c r="F2858" i="5"/>
  <c r="F2857" i="5"/>
  <c r="F2856" i="5"/>
  <c r="F2855" i="5"/>
  <c r="F2854" i="5"/>
  <c r="F2853" i="5"/>
  <c r="F2852" i="5"/>
  <c r="F2851" i="5"/>
  <c r="F2850" i="5"/>
  <c r="F2849" i="5"/>
  <c r="F2848" i="5"/>
  <c r="F2847" i="5"/>
  <c r="F2846" i="5"/>
  <c r="F2845" i="5"/>
  <c r="F2844" i="5"/>
  <c r="F2843" i="5"/>
  <c r="F2842" i="5"/>
  <c r="F2841" i="5"/>
  <c r="F2840" i="5"/>
  <c r="F2839" i="5"/>
  <c r="F2838" i="5"/>
  <c r="F2837" i="5"/>
  <c r="F2836" i="5"/>
  <c r="F2835" i="5"/>
  <c r="F2834" i="5"/>
  <c r="F2833" i="5"/>
  <c r="F2832" i="5"/>
  <c r="F2831" i="5"/>
  <c r="F2830" i="5"/>
  <c r="F2829" i="5"/>
  <c r="F2828" i="5"/>
  <c r="F2827" i="5"/>
  <c r="F2826" i="5"/>
  <c r="F2825" i="5"/>
  <c r="F2824" i="5"/>
  <c r="F2823" i="5"/>
  <c r="F2822" i="5"/>
  <c r="F2821" i="5"/>
  <c r="F2820" i="5"/>
  <c r="F2819" i="5"/>
  <c r="F2818" i="5"/>
  <c r="F2817" i="5"/>
  <c r="F2816" i="5"/>
  <c r="F2815" i="5"/>
  <c r="F2814" i="5"/>
  <c r="F2813" i="5"/>
  <c r="F2812" i="5"/>
  <c r="F2811" i="5"/>
  <c r="F2810" i="5"/>
  <c r="F2809" i="5"/>
  <c r="F2808" i="5"/>
  <c r="F2807" i="5"/>
  <c r="F2806" i="5"/>
  <c r="F2805" i="5"/>
  <c r="F2804" i="5"/>
  <c r="F2803" i="5"/>
  <c r="F2802" i="5"/>
  <c r="F2801" i="5"/>
  <c r="F2800" i="5"/>
  <c r="F2799" i="5"/>
  <c r="F2798" i="5"/>
  <c r="F2797" i="5"/>
  <c r="F2796" i="5"/>
  <c r="F2795" i="5"/>
  <c r="F2794" i="5"/>
  <c r="F2793" i="5"/>
  <c r="F2792" i="5"/>
  <c r="F2791" i="5"/>
  <c r="F2790" i="5"/>
  <c r="F2789" i="5"/>
  <c r="F2788" i="5"/>
  <c r="F2787" i="5"/>
  <c r="F2786" i="5"/>
  <c r="F2785" i="5"/>
  <c r="F2784" i="5"/>
  <c r="F2783" i="5"/>
  <c r="F2782" i="5"/>
  <c r="F2781" i="5"/>
  <c r="F2780" i="5"/>
  <c r="F2779" i="5"/>
  <c r="F2778" i="5"/>
  <c r="F2777" i="5"/>
  <c r="F2776" i="5"/>
  <c r="F2775" i="5"/>
  <c r="F2774" i="5"/>
  <c r="F2773" i="5"/>
  <c r="F2772" i="5"/>
  <c r="F2771" i="5"/>
  <c r="F2770" i="5"/>
  <c r="F2769" i="5"/>
  <c r="F2768" i="5"/>
  <c r="F2767" i="5"/>
  <c r="F2766" i="5"/>
  <c r="F2765" i="5"/>
  <c r="F2764" i="5"/>
  <c r="F2763" i="5"/>
  <c r="F2762" i="5"/>
  <c r="F2761" i="5"/>
  <c r="F2760" i="5"/>
  <c r="F2759" i="5"/>
  <c r="F2758" i="5"/>
  <c r="F2757" i="5"/>
  <c r="F2756" i="5"/>
  <c r="F2755" i="5"/>
  <c r="F2754" i="5"/>
  <c r="F2753" i="5"/>
  <c r="F2752" i="5"/>
  <c r="F2751" i="5"/>
  <c r="F2750" i="5"/>
  <c r="F2749" i="5"/>
  <c r="F2748" i="5"/>
  <c r="F2747" i="5"/>
  <c r="F2746" i="5"/>
  <c r="F2745" i="5"/>
  <c r="F2744" i="5"/>
  <c r="F2743" i="5"/>
  <c r="F2742" i="5"/>
  <c r="F2741" i="5"/>
  <c r="F2740" i="5"/>
  <c r="F2739" i="5"/>
  <c r="F2738" i="5"/>
  <c r="F2737" i="5"/>
  <c r="F2736" i="5"/>
  <c r="F2735" i="5"/>
  <c r="F2734" i="5"/>
  <c r="F2733" i="5"/>
  <c r="F2732" i="5"/>
  <c r="F2731" i="5"/>
  <c r="F2730" i="5"/>
  <c r="F2729" i="5"/>
  <c r="F2728" i="5"/>
  <c r="F2727" i="5"/>
  <c r="F2726" i="5"/>
  <c r="F2725" i="5"/>
  <c r="F2724" i="5"/>
  <c r="F2723" i="5"/>
  <c r="F2722" i="5"/>
  <c r="F2721" i="5"/>
  <c r="F2720" i="5"/>
  <c r="F2719" i="5"/>
  <c r="F2718" i="5"/>
  <c r="F2717" i="5"/>
  <c r="F2716" i="5"/>
  <c r="F2715" i="5"/>
  <c r="F2714" i="5"/>
  <c r="F2713" i="5"/>
  <c r="F2712" i="5"/>
  <c r="F2711" i="5"/>
  <c r="F2710" i="5"/>
  <c r="F2709" i="5"/>
  <c r="F2708" i="5"/>
  <c r="F2707" i="5"/>
  <c r="F2706" i="5"/>
  <c r="F2705" i="5"/>
  <c r="F2704" i="5"/>
  <c r="F2703" i="5"/>
  <c r="F2702" i="5"/>
  <c r="F2701" i="5"/>
  <c r="F2700" i="5"/>
  <c r="F2699" i="5"/>
  <c r="F2698" i="5"/>
  <c r="F2697" i="5"/>
  <c r="F2696" i="5"/>
  <c r="F2695" i="5"/>
  <c r="F2694" i="5"/>
  <c r="F2693" i="5"/>
  <c r="F2692" i="5"/>
  <c r="F2691" i="5"/>
  <c r="F2690" i="5"/>
  <c r="F2689" i="5"/>
  <c r="F2688" i="5"/>
  <c r="F2687" i="5"/>
  <c r="F2686" i="5"/>
  <c r="F2685" i="5"/>
  <c r="F2684" i="5"/>
  <c r="F2683" i="5"/>
  <c r="F2682" i="5"/>
  <c r="F2681" i="5"/>
  <c r="F2680" i="5"/>
  <c r="F2679" i="5"/>
  <c r="F2678" i="5"/>
  <c r="F2677" i="5"/>
  <c r="F2676" i="5"/>
  <c r="F2675" i="5"/>
  <c r="F2674" i="5"/>
  <c r="F2673" i="5"/>
  <c r="F2672" i="5"/>
  <c r="F2671" i="5"/>
  <c r="F2670" i="5"/>
  <c r="F2669" i="5"/>
  <c r="F2668" i="5"/>
  <c r="F2667" i="5"/>
  <c r="F2666" i="5"/>
  <c r="F2665" i="5"/>
  <c r="F2664" i="5"/>
  <c r="F2663" i="5"/>
  <c r="F2662" i="5"/>
  <c r="F2661" i="5"/>
  <c r="F2660" i="5"/>
  <c r="F2659" i="5"/>
  <c r="F2658" i="5"/>
  <c r="F2657" i="5"/>
  <c r="F2656" i="5"/>
  <c r="F2655" i="5"/>
  <c r="F2654" i="5"/>
  <c r="F2653" i="5"/>
  <c r="F2652" i="5"/>
  <c r="F2651" i="5"/>
  <c r="F2650" i="5"/>
  <c r="F2649" i="5"/>
  <c r="F2648" i="5"/>
  <c r="F2647" i="5"/>
  <c r="F2646" i="5"/>
  <c r="F2645" i="5"/>
  <c r="F2644" i="5"/>
  <c r="F2643" i="5"/>
  <c r="F2642" i="5"/>
  <c r="F2641" i="5"/>
  <c r="F2640" i="5"/>
  <c r="F2639" i="5"/>
  <c r="F2638" i="5"/>
  <c r="F2637" i="5"/>
  <c r="F2636" i="5"/>
  <c r="F2635" i="5"/>
  <c r="F2634" i="5"/>
  <c r="F2633" i="5"/>
  <c r="F2632" i="5"/>
  <c r="F2631" i="5"/>
  <c r="F2630" i="5"/>
  <c r="F2629" i="5"/>
  <c r="F2628" i="5"/>
  <c r="F2627" i="5"/>
  <c r="F2626" i="5"/>
  <c r="F2625" i="5"/>
  <c r="F2624" i="5"/>
  <c r="F2623" i="5"/>
  <c r="F2622" i="5"/>
  <c r="F2621" i="5"/>
  <c r="F2620" i="5"/>
  <c r="F2619" i="5"/>
  <c r="F2618" i="5"/>
  <c r="F2617" i="5"/>
  <c r="F2616" i="5"/>
  <c r="F2615" i="5"/>
  <c r="F2614" i="5"/>
  <c r="F2613" i="5"/>
  <c r="F2612" i="5"/>
  <c r="F2611" i="5"/>
  <c r="F2610" i="5"/>
  <c r="F2609" i="5"/>
  <c r="F2608" i="5"/>
  <c r="F2607" i="5"/>
  <c r="F2606" i="5"/>
  <c r="F2605" i="5"/>
  <c r="F2604" i="5"/>
  <c r="F2603" i="5"/>
  <c r="F2602" i="5"/>
  <c r="F2601" i="5"/>
  <c r="F2600" i="5"/>
  <c r="F2599" i="5"/>
  <c r="F2598" i="5"/>
  <c r="F2597" i="5"/>
  <c r="F2596" i="5"/>
  <c r="F2595" i="5"/>
  <c r="F2594" i="5"/>
  <c r="F2593" i="5"/>
  <c r="F2592" i="5"/>
  <c r="F2591" i="5"/>
  <c r="F2590" i="5"/>
  <c r="F2589" i="5"/>
  <c r="F2588" i="5"/>
  <c r="F2587" i="5"/>
  <c r="F2586" i="5"/>
  <c r="F2585" i="5"/>
  <c r="F2584" i="5"/>
  <c r="F2583" i="5"/>
  <c r="F2582" i="5"/>
  <c r="F2581" i="5"/>
  <c r="F2580" i="5"/>
  <c r="F2579" i="5"/>
  <c r="F2578" i="5"/>
  <c r="F2577" i="5"/>
  <c r="F2576" i="5"/>
  <c r="F2575" i="5"/>
  <c r="F2574" i="5"/>
  <c r="F2573" i="5"/>
  <c r="F2572" i="5"/>
  <c r="F2571" i="5"/>
  <c r="F2570" i="5"/>
  <c r="F2569" i="5"/>
  <c r="F2568" i="5"/>
  <c r="F2567" i="5"/>
  <c r="F2566" i="5"/>
  <c r="F2565" i="5"/>
  <c r="F2564" i="5"/>
  <c r="F2563" i="5"/>
  <c r="F2562" i="5"/>
  <c r="F2561" i="5"/>
  <c r="F2560" i="5"/>
  <c r="F2559" i="5"/>
  <c r="F2558" i="5"/>
  <c r="F2557" i="5"/>
  <c r="F2556" i="5"/>
  <c r="F2555" i="5"/>
  <c r="F2554" i="5"/>
  <c r="F2553" i="5"/>
  <c r="F2552" i="5"/>
  <c r="F2551" i="5"/>
  <c r="F2550" i="5"/>
  <c r="F2549" i="5"/>
  <c r="F2548" i="5"/>
  <c r="F2547" i="5"/>
  <c r="F2546" i="5"/>
  <c r="F2545" i="5"/>
  <c r="F2544" i="5"/>
  <c r="F2543" i="5"/>
  <c r="F2542" i="5"/>
  <c r="F2541" i="5"/>
  <c r="F2540" i="5"/>
  <c r="F2539" i="5"/>
  <c r="F2538" i="5"/>
  <c r="F2537" i="5"/>
  <c r="F2536" i="5"/>
  <c r="F2535" i="5"/>
  <c r="F2534" i="5"/>
  <c r="F2533" i="5"/>
  <c r="F2532" i="5"/>
  <c r="F2531" i="5"/>
  <c r="F2530" i="5"/>
  <c r="F2529" i="5"/>
  <c r="F2528" i="5"/>
  <c r="F2527" i="5"/>
  <c r="F2526" i="5"/>
  <c r="F2525" i="5"/>
  <c r="F2524" i="5"/>
  <c r="F2523" i="5"/>
  <c r="F2522" i="5"/>
  <c r="F2521" i="5"/>
  <c r="F2520" i="5"/>
  <c r="F2519" i="5"/>
  <c r="F2518" i="5"/>
  <c r="F2517" i="5"/>
  <c r="F2516" i="5"/>
  <c r="F2515" i="5"/>
  <c r="F2514" i="5"/>
  <c r="F2513" i="5"/>
  <c r="F2512" i="5"/>
  <c r="F2511" i="5"/>
  <c r="F2510" i="5"/>
  <c r="F2509" i="5"/>
  <c r="F2508" i="5"/>
  <c r="F2507" i="5"/>
  <c r="F2506" i="5"/>
  <c r="F2505" i="5"/>
  <c r="F2504" i="5"/>
  <c r="F2503" i="5"/>
  <c r="F2502" i="5"/>
  <c r="F2501" i="5"/>
  <c r="F2500" i="5"/>
  <c r="F2499" i="5"/>
  <c r="F2498" i="5"/>
  <c r="F2497" i="5"/>
  <c r="F2496" i="5"/>
  <c r="F2495" i="5"/>
  <c r="F2494" i="5"/>
  <c r="F2493" i="5"/>
  <c r="F2492" i="5"/>
  <c r="F2491" i="5"/>
  <c r="F2490" i="5"/>
  <c r="F2489" i="5"/>
  <c r="F2488" i="5"/>
  <c r="F2487" i="5"/>
  <c r="F2486" i="5"/>
  <c r="F2485" i="5"/>
  <c r="F2484" i="5"/>
  <c r="F2483" i="5"/>
  <c r="F2482" i="5"/>
  <c r="F2481" i="5"/>
  <c r="F2480" i="5"/>
  <c r="F2479" i="5"/>
  <c r="F2478" i="5"/>
  <c r="F2477" i="5"/>
  <c r="F2476" i="5"/>
  <c r="F2475" i="5"/>
  <c r="F2474" i="5"/>
  <c r="F2473" i="5"/>
  <c r="F2472" i="5"/>
  <c r="F2471" i="5"/>
  <c r="F2470" i="5"/>
  <c r="F2469" i="5"/>
  <c r="F2468" i="5"/>
  <c r="F2467" i="5"/>
  <c r="F2466" i="5"/>
  <c r="F2465" i="5"/>
  <c r="F2464" i="5"/>
  <c r="F2463" i="5"/>
  <c r="F2462" i="5"/>
  <c r="F2461" i="5"/>
  <c r="F2460" i="5"/>
  <c r="F2459" i="5"/>
  <c r="F2458" i="5"/>
  <c r="F2457" i="5"/>
  <c r="F2456" i="5"/>
  <c r="F2455" i="5"/>
  <c r="F2454" i="5"/>
  <c r="F2453" i="5"/>
  <c r="F2452" i="5"/>
  <c r="F2451" i="5"/>
  <c r="F2450" i="5"/>
  <c r="F2449" i="5"/>
  <c r="F2448" i="5"/>
  <c r="F2447" i="5"/>
  <c r="F2446" i="5"/>
  <c r="F2445" i="5"/>
  <c r="F2444" i="5"/>
  <c r="F2443" i="5"/>
  <c r="F2442" i="5"/>
  <c r="F2441" i="5"/>
  <c r="F2440" i="5"/>
  <c r="F2439" i="5"/>
  <c r="F2438" i="5"/>
  <c r="F2437" i="5"/>
  <c r="F2436" i="5"/>
  <c r="F2435" i="5"/>
  <c r="F2434" i="5"/>
  <c r="F2433" i="5"/>
  <c r="F2432" i="5"/>
  <c r="F2431" i="5"/>
  <c r="F2430" i="5"/>
  <c r="F2429" i="5"/>
  <c r="F2428" i="5"/>
  <c r="F2427" i="5"/>
  <c r="F2426" i="5"/>
  <c r="F2425" i="5"/>
  <c r="F2424" i="5"/>
  <c r="F2423" i="5"/>
  <c r="F2422" i="5"/>
  <c r="F2421" i="5"/>
  <c r="F2420" i="5"/>
  <c r="F2419" i="5"/>
  <c r="F2418" i="5"/>
  <c r="F2417" i="5"/>
  <c r="F2416" i="5"/>
  <c r="F2415" i="5"/>
  <c r="F2414" i="5"/>
  <c r="F2413" i="5"/>
  <c r="F2412" i="5"/>
  <c r="F2411" i="5"/>
  <c r="F2410" i="5"/>
  <c r="F2409" i="5"/>
  <c r="F2408" i="5"/>
  <c r="F2407" i="5"/>
  <c r="F2406" i="5"/>
  <c r="F2405" i="5"/>
  <c r="F2404" i="5"/>
  <c r="F2403" i="5"/>
  <c r="F2402" i="5"/>
  <c r="F2401" i="5"/>
  <c r="F2400" i="5"/>
  <c r="F2399" i="5"/>
  <c r="F2398" i="5"/>
  <c r="F2397" i="5"/>
  <c r="F2396" i="5"/>
  <c r="F2395" i="5"/>
  <c r="F2394" i="5"/>
  <c r="F2393" i="5"/>
  <c r="F2392" i="5"/>
  <c r="F2391" i="5"/>
  <c r="F2390" i="5"/>
  <c r="F2389" i="5"/>
  <c r="F2388" i="5"/>
  <c r="F2387" i="5"/>
  <c r="F2386" i="5"/>
  <c r="F2385" i="5"/>
  <c r="F2384" i="5"/>
  <c r="F2383" i="5"/>
  <c r="F2382" i="5"/>
  <c r="F2381" i="5"/>
  <c r="F2380" i="5"/>
  <c r="F2379" i="5"/>
  <c r="F2378" i="5"/>
  <c r="F2377" i="5"/>
  <c r="F2376" i="5"/>
  <c r="F2375" i="5"/>
  <c r="F2374" i="5"/>
  <c r="F2373" i="5"/>
  <c r="F2372" i="5"/>
  <c r="F2371" i="5"/>
  <c r="F2370" i="5"/>
  <c r="F2369" i="5"/>
  <c r="F2368" i="5"/>
  <c r="F2367" i="5"/>
  <c r="F2366" i="5"/>
  <c r="F2365" i="5"/>
  <c r="F2364" i="5"/>
  <c r="F2363" i="5"/>
  <c r="F2362" i="5"/>
  <c r="F2361" i="5"/>
  <c r="F2360" i="5"/>
  <c r="F2359" i="5"/>
  <c r="F2358" i="5"/>
  <c r="F2357" i="5"/>
  <c r="F2356" i="5"/>
  <c r="F2355" i="5"/>
  <c r="F2354" i="5"/>
  <c r="F2353" i="5"/>
  <c r="F2352" i="5"/>
  <c r="F2351" i="5"/>
  <c r="F2350" i="5"/>
  <c r="F2349" i="5"/>
  <c r="F2348" i="5"/>
  <c r="F2347" i="5"/>
  <c r="F2346" i="5"/>
  <c r="F2345" i="5"/>
  <c r="F2344" i="5"/>
  <c r="F2343" i="5"/>
  <c r="F2342" i="5"/>
  <c r="F2341" i="5"/>
  <c r="F2340" i="5"/>
  <c r="F2339" i="5"/>
  <c r="F2338" i="5"/>
  <c r="F2337" i="5"/>
  <c r="F2336" i="5"/>
  <c r="F2335" i="5"/>
  <c r="F2334" i="5"/>
  <c r="F2333" i="5"/>
  <c r="F2332" i="5"/>
  <c r="F2331" i="5"/>
  <c r="D34" i="8" s="1"/>
  <c r="D94" i="8" s="1"/>
  <c r="F2330" i="5"/>
  <c r="F2329" i="5"/>
  <c r="F2328" i="5"/>
  <c r="F2327" i="5"/>
  <c r="M34" i="8" s="1"/>
  <c r="M94" i="8" s="1"/>
  <c r="F2326" i="5"/>
  <c r="F2325" i="5"/>
  <c r="F2324" i="5"/>
  <c r="F2323" i="5"/>
  <c r="F2322" i="5"/>
  <c r="F2321" i="5"/>
  <c r="F2320" i="5"/>
  <c r="F2319" i="5"/>
  <c r="F2318" i="5"/>
  <c r="F2317" i="5"/>
  <c r="F2316" i="5"/>
  <c r="F2315" i="5"/>
  <c r="F2314" i="5"/>
  <c r="F2313" i="5"/>
  <c r="F2312" i="5"/>
  <c r="F2311" i="5"/>
  <c r="F2310" i="5"/>
  <c r="F2309" i="5"/>
  <c r="F2308" i="5"/>
  <c r="F2307" i="5"/>
  <c r="F2306" i="5"/>
  <c r="F2305" i="5"/>
  <c r="F2304" i="5"/>
  <c r="F2303" i="5"/>
  <c r="F2302" i="5"/>
  <c r="F2301" i="5"/>
  <c r="F2300" i="5"/>
  <c r="F2299" i="5"/>
  <c r="F2298" i="5"/>
  <c r="F2297" i="5"/>
  <c r="F2296" i="5"/>
  <c r="F2295" i="5"/>
  <c r="F2294" i="5"/>
  <c r="F2293" i="5"/>
  <c r="F2292" i="5"/>
  <c r="F2291" i="5"/>
  <c r="F2290" i="5"/>
  <c r="F2289" i="5"/>
  <c r="F2288" i="5"/>
  <c r="F2287" i="5"/>
  <c r="M33" i="8" s="1"/>
  <c r="M93" i="8" s="1"/>
  <c r="F2286" i="5"/>
  <c r="F2285" i="5"/>
  <c r="F2284" i="5"/>
  <c r="F2283" i="5"/>
  <c r="F2282" i="5"/>
  <c r="F2281" i="5"/>
  <c r="F2280" i="5"/>
  <c r="F2279" i="5"/>
  <c r="F2278" i="5"/>
  <c r="H33" i="8" s="1"/>
  <c r="H93" i="8" s="1"/>
  <c r="F2277" i="5"/>
  <c r="F2276" i="5"/>
  <c r="F2275" i="5"/>
  <c r="F2274" i="5"/>
  <c r="F2273" i="5"/>
  <c r="F2272" i="5"/>
  <c r="F2271" i="5"/>
  <c r="F2270" i="5"/>
  <c r="F2269" i="5"/>
  <c r="F2268" i="5"/>
  <c r="F2267" i="5"/>
  <c r="F2266" i="5"/>
  <c r="F2265" i="5"/>
  <c r="F2264" i="5"/>
  <c r="F2263" i="5"/>
  <c r="F2262" i="5"/>
  <c r="F2261" i="5"/>
  <c r="F2260" i="5"/>
  <c r="F2259" i="5"/>
  <c r="F2258" i="5"/>
  <c r="F2257" i="5"/>
  <c r="F2256" i="5"/>
  <c r="F2255" i="5"/>
  <c r="F2254" i="5"/>
  <c r="F2253" i="5"/>
  <c r="F2252" i="5"/>
  <c r="F2251" i="5"/>
  <c r="F2250" i="5"/>
  <c r="F2249" i="5"/>
  <c r="F2248" i="5"/>
  <c r="F2247" i="5"/>
  <c r="F2246" i="5"/>
  <c r="F2245" i="5"/>
  <c r="F2244" i="5"/>
  <c r="F2243" i="5"/>
  <c r="F2242" i="5"/>
  <c r="F2241" i="5"/>
  <c r="F2240" i="5"/>
  <c r="F2239" i="5"/>
  <c r="F2238" i="5"/>
  <c r="F2237" i="5"/>
  <c r="F2236" i="5"/>
  <c r="F2235" i="5"/>
  <c r="F2234" i="5"/>
  <c r="F2233" i="5"/>
  <c r="F2232" i="5"/>
  <c r="F2231" i="5"/>
  <c r="F2230" i="5"/>
  <c r="F2229" i="5"/>
  <c r="F2228" i="5"/>
  <c r="F2227" i="5"/>
  <c r="F2226" i="5"/>
  <c r="F2225" i="5"/>
  <c r="F2224" i="5"/>
  <c r="F2223" i="5"/>
  <c r="F2222" i="5"/>
  <c r="F2221" i="5"/>
  <c r="F2220" i="5"/>
  <c r="F2219" i="5"/>
  <c r="F2218" i="5"/>
  <c r="F2217" i="5"/>
  <c r="F2216" i="5"/>
  <c r="F2215" i="5"/>
  <c r="F2214" i="5"/>
  <c r="F2213" i="5"/>
  <c r="F2212" i="5"/>
  <c r="F2211" i="5"/>
  <c r="F2210" i="5"/>
  <c r="F2209" i="5"/>
  <c r="F2208" i="5"/>
  <c r="F2207" i="5"/>
  <c r="F2206" i="5"/>
  <c r="F2205" i="5"/>
  <c r="F2204" i="5"/>
  <c r="F2203" i="5"/>
  <c r="F2202" i="5"/>
  <c r="F2201" i="5"/>
  <c r="F2200" i="5"/>
  <c r="F2199" i="5"/>
  <c r="F2198" i="5"/>
  <c r="F2197" i="5"/>
  <c r="F2196" i="5"/>
  <c r="F2195" i="5"/>
  <c r="F2194" i="5"/>
  <c r="F2193" i="5"/>
  <c r="F2192" i="5"/>
  <c r="F2191" i="5"/>
  <c r="F2190" i="5"/>
  <c r="F2189" i="5"/>
  <c r="F2188" i="5"/>
  <c r="F2187" i="5"/>
  <c r="F2186" i="5"/>
  <c r="F2185" i="5"/>
  <c r="F2184" i="5"/>
  <c r="F2183" i="5"/>
  <c r="F2182" i="5"/>
  <c r="F2181" i="5"/>
  <c r="F2180" i="5"/>
  <c r="F2179" i="5"/>
  <c r="F2178" i="5"/>
  <c r="F2177" i="5"/>
  <c r="F2176" i="5"/>
  <c r="F2175" i="5"/>
  <c r="F2174" i="5"/>
  <c r="F2173" i="5"/>
  <c r="F2172" i="5"/>
  <c r="F2171" i="5"/>
  <c r="F2170" i="5"/>
  <c r="F2169" i="5"/>
  <c r="F2168" i="5"/>
  <c r="F2167" i="5"/>
  <c r="F2166" i="5"/>
  <c r="F2165" i="5"/>
  <c r="F2164" i="5"/>
  <c r="F2163" i="5"/>
  <c r="F2162" i="5"/>
  <c r="F2161" i="5"/>
  <c r="F2160" i="5"/>
  <c r="F2159" i="5"/>
  <c r="F2158" i="5"/>
  <c r="F2157" i="5"/>
  <c r="F2156" i="5"/>
  <c r="F2155" i="5"/>
  <c r="F2154" i="5"/>
  <c r="F2153" i="5"/>
  <c r="F2152" i="5"/>
  <c r="F2151" i="5"/>
  <c r="F2150" i="5"/>
  <c r="F2149" i="5"/>
  <c r="F2148" i="5"/>
  <c r="F2147" i="5"/>
  <c r="F2146" i="5"/>
  <c r="F2145" i="5"/>
  <c r="F2144" i="5"/>
  <c r="F2143" i="5"/>
  <c r="F2142" i="5"/>
  <c r="F2141" i="5"/>
  <c r="F2140" i="5"/>
  <c r="F2139" i="5"/>
  <c r="F2138" i="5"/>
  <c r="F2137" i="5"/>
  <c r="F2136" i="5"/>
  <c r="F2135" i="5"/>
  <c r="F2134" i="5"/>
  <c r="F2133" i="5"/>
  <c r="F2132" i="5"/>
  <c r="F2131" i="5"/>
  <c r="F2130" i="5"/>
  <c r="F2129" i="5"/>
  <c r="F2128" i="5"/>
  <c r="F2127" i="5"/>
  <c r="F2126" i="5"/>
  <c r="F2125" i="5"/>
  <c r="F2124" i="5"/>
  <c r="F2123" i="5"/>
  <c r="F2122" i="5"/>
  <c r="F2121" i="5"/>
  <c r="F2120" i="5"/>
  <c r="F2119" i="5"/>
  <c r="F2118" i="5"/>
  <c r="F2117" i="5"/>
  <c r="F2116" i="5"/>
  <c r="F2115" i="5"/>
  <c r="F2114" i="5"/>
  <c r="F2113" i="5"/>
  <c r="F2112" i="5"/>
  <c r="F2111" i="5"/>
  <c r="F2110" i="5"/>
  <c r="F2109" i="5"/>
  <c r="F2108" i="5"/>
  <c r="F2107" i="5"/>
  <c r="F2106" i="5"/>
  <c r="F2105" i="5"/>
  <c r="F2104" i="5"/>
  <c r="F2103" i="5"/>
  <c r="F2102" i="5"/>
  <c r="F2101" i="5"/>
  <c r="F2100" i="5"/>
  <c r="F2099" i="5"/>
  <c r="F2098" i="5"/>
  <c r="F2097" i="5"/>
  <c r="F2096" i="5"/>
  <c r="F2095" i="5"/>
  <c r="F2094" i="5"/>
  <c r="F2093" i="5"/>
  <c r="F2092" i="5"/>
  <c r="F2091" i="5"/>
  <c r="F2090" i="5"/>
  <c r="F2089" i="5"/>
  <c r="F2088" i="5"/>
  <c r="F2087" i="5"/>
  <c r="F2086" i="5"/>
  <c r="F2085" i="5"/>
  <c r="F2084" i="5"/>
  <c r="F2083" i="5"/>
  <c r="F2082" i="5"/>
  <c r="F2081" i="5"/>
  <c r="F2080" i="5"/>
  <c r="F2079" i="5"/>
  <c r="F2078" i="5"/>
  <c r="F2077" i="5"/>
  <c r="F2076" i="5"/>
  <c r="F2075" i="5"/>
  <c r="F2074" i="5"/>
  <c r="F2073" i="5"/>
  <c r="F2072" i="5"/>
  <c r="F2071" i="5"/>
  <c r="F2070" i="5"/>
  <c r="F2069" i="5"/>
  <c r="F2068" i="5"/>
  <c r="F2067" i="5"/>
  <c r="F2066" i="5"/>
  <c r="F2065" i="5"/>
  <c r="F2064" i="5"/>
  <c r="F2063" i="5"/>
  <c r="F2062" i="5"/>
  <c r="F2061" i="5"/>
  <c r="F2060" i="5"/>
  <c r="F2059" i="5"/>
  <c r="F2058" i="5"/>
  <c r="F2057" i="5"/>
  <c r="F2056" i="5"/>
  <c r="F2055" i="5"/>
  <c r="F2054" i="5"/>
  <c r="F2053" i="5"/>
  <c r="F2052" i="5"/>
  <c r="F2051" i="5"/>
  <c r="F2050" i="5"/>
  <c r="F2049" i="5"/>
  <c r="F2048" i="5"/>
  <c r="F2047" i="5"/>
  <c r="F2046" i="5"/>
  <c r="F2045" i="5"/>
  <c r="F2044" i="5"/>
  <c r="F2043" i="5"/>
  <c r="F2042" i="5"/>
  <c r="F2041" i="5"/>
  <c r="F2040" i="5"/>
  <c r="F2039" i="5"/>
  <c r="F2038" i="5"/>
  <c r="F2037" i="5"/>
  <c r="F2036" i="5"/>
  <c r="F2035" i="5"/>
  <c r="F2034" i="5"/>
  <c r="F2033" i="5"/>
  <c r="F2032" i="5"/>
  <c r="F2031" i="5"/>
  <c r="F2030" i="5"/>
  <c r="F2029" i="5"/>
  <c r="F2028" i="5"/>
  <c r="F2027" i="5"/>
  <c r="F2026" i="5"/>
  <c r="F2025" i="5"/>
  <c r="F2024" i="5"/>
  <c r="F2023" i="5"/>
  <c r="F2022" i="5"/>
  <c r="F2021" i="5"/>
  <c r="F2020" i="5"/>
  <c r="F2019" i="5"/>
  <c r="F2018" i="5"/>
  <c r="F2017" i="5"/>
  <c r="F2016" i="5"/>
  <c r="F2015" i="5"/>
  <c r="F2014" i="5"/>
  <c r="F2013" i="5"/>
  <c r="F2012" i="5"/>
  <c r="F2011" i="5"/>
  <c r="F2010" i="5"/>
  <c r="F2009" i="5"/>
  <c r="F2008" i="5"/>
  <c r="F2007" i="5"/>
  <c r="F2006" i="5"/>
  <c r="F2005" i="5"/>
  <c r="F2004" i="5"/>
  <c r="F2003" i="5"/>
  <c r="F2002" i="5"/>
  <c r="F2001" i="5"/>
  <c r="D28" i="8" s="1"/>
  <c r="D88" i="8" s="1"/>
  <c r="F2000" i="5"/>
  <c r="F1999" i="5"/>
  <c r="F1998" i="5"/>
  <c r="F1997" i="5"/>
  <c r="F1996" i="5"/>
  <c r="F1995" i="5"/>
  <c r="F1994" i="5"/>
  <c r="F1993" i="5"/>
  <c r="F1992" i="5"/>
  <c r="G28" i="8" s="1"/>
  <c r="G88" i="8" s="1"/>
  <c r="F1991" i="5"/>
  <c r="F1990" i="5"/>
  <c r="F1989" i="5"/>
  <c r="F1988" i="5"/>
  <c r="F1987" i="5"/>
  <c r="F1986" i="5"/>
  <c r="F1985" i="5"/>
  <c r="F1984" i="5"/>
  <c r="F1983" i="5"/>
  <c r="F1982" i="5"/>
  <c r="F1981" i="5"/>
  <c r="F1980" i="5"/>
  <c r="F1979" i="5"/>
  <c r="F1978" i="5"/>
  <c r="F1977" i="5"/>
  <c r="F1976" i="5"/>
  <c r="F1975" i="5"/>
  <c r="F1974" i="5"/>
  <c r="F1973" i="5"/>
  <c r="F1972" i="5"/>
  <c r="F1971" i="5"/>
  <c r="F1970" i="5"/>
  <c r="F1969" i="5"/>
  <c r="F1968" i="5"/>
  <c r="F1967" i="5"/>
  <c r="F1966" i="5"/>
  <c r="F1965" i="5"/>
  <c r="F1964" i="5"/>
  <c r="F1963" i="5"/>
  <c r="F1962" i="5"/>
  <c r="F1961" i="5"/>
  <c r="F1960" i="5"/>
  <c r="F1959" i="5"/>
  <c r="F1958" i="5"/>
  <c r="F1957" i="5"/>
  <c r="M27" i="8" s="1"/>
  <c r="M87" i="8" s="1"/>
  <c r="F1956" i="5"/>
  <c r="F1955" i="5"/>
  <c r="F1954" i="5"/>
  <c r="F1953" i="5"/>
  <c r="F1952" i="5"/>
  <c r="F1951" i="5"/>
  <c r="F1950" i="5"/>
  <c r="F1949" i="5"/>
  <c r="F1948" i="5"/>
  <c r="F1947" i="5"/>
  <c r="F1946" i="5"/>
  <c r="F1945" i="5"/>
  <c r="F1944" i="5"/>
  <c r="F1943" i="5"/>
  <c r="F1942" i="5"/>
  <c r="F1941" i="5"/>
  <c r="F1940" i="5"/>
  <c r="F1939" i="5"/>
  <c r="F1938" i="5"/>
  <c r="F1937" i="5"/>
  <c r="F1936" i="5"/>
  <c r="F1935" i="5"/>
  <c r="F1934" i="5"/>
  <c r="F1933" i="5"/>
  <c r="F1932" i="5"/>
  <c r="F1931" i="5"/>
  <c r="F1930" i="5"/>
  <c r="F1929" i="5"/>
  <c r="F1928" i="5"/>
  <c r="F1927" i="5"/>
  <c r="F1926" i="5"/>
  <c r="F1925" i="5"/>
  <c r="F1924" i="5"/>
  <c r="F1923" i="5"/>
  <c r="F1922" i="5"/>
  <c r="F1921" i="5"/>
  <c r="F1920" i="5"/>
  <c r="F1919" i="5"/>
  <c r="F1918" i="5"/>
  <c r="F1917" i="5"/>
  <c r="F1916" i="5"/>
  <c r="F1915" i="5"/>
  <c r="F1914" i="5"/>
  <c r="F1913" i="5"/>
  <c r="F1912" i="5"/>
  <c r="F1911" i="5"/>
  <c r="F1910" i="5"/>
  <c r="F1909" i="5"/>
  <c r="F1908" i="5"/>
  <c r="F1907" i="5"/>
  <c r="F1906" i="5"/>
  <c r="F1905" i="5"/>
  <c r="F1904" i="5"/>
  <c r="F1903" i="5"/>
  <c r="F1902" i="5"/>
  <c r="F1901" i="5"/>
  <c r="F1900" i="5"/>
  <c r="F1899" i="5"/>
  <c r="F1898" i="5"/>
  <c r="F1897" i="5"/>
  <c r="F1896" i="5"/>
  <c r="F1895" i="5"/>
  <c r="F1894" i="5"/>
  <c r="F1893" i="5"/>
  <c r="F1892" i="5"/>
  <c r="F1891" i="5"/>
  <c r="F1890" i="5"/>
  <c r="F1889" i="5"/>
  <c r="F1888" i="5"/>
  <c r="F1887" i="5"/>
  <c r="F1886" i="5"/>
  <c r="F1885" i="5"/>
  <c r="F1884" i="5"/>
  <c r="F1883" i="5"/>
  <c r="F1882" i="5"/>
  <c r="F1881" i="5"/>
  <c r="F1880" i="5"/>
  <c r="F1879" i="5"/>
  <c r="F1878" i="5"/>
  <c r="F1877" i="5"/>
  <c r="F1876" i="5"/>
  <c r="F1875" i="5"/>
  <c r="F1874" i="5"/>
  <c r="F1873" i="5"/>
  <c r="F1872" i="5"/>
  <c r="F1871" i="5"/>
  <c r="F1870" i="5"/>
  <c r="F1869" i="5"/>
  <c r="F1868" i="5"/>
  <c r="F1867" i="5"/>
  <c r="F1866" i="5"/>
  <c r="F1865" i="5"/>
  <c r="F1864" i="5"/>
  <c r="F1863" i="5"/>
  <c r="F1862" i="5"/>
  <c r="F1861" i="5"/>
  <c r="F1860" i="5"/>
  <c r="F1859" i="5"/>
  <c r="F1858" i="5"/>
  <c r="F1857" i="5"/>
  <c r="F1856" i="5"/>
  <c r="F1855" i="5"/>
  <c r="F1854" i="5"/>
  <c r="F1853" i="5"/>
  <c r="F1852" i="5"/>
  <c r="F1851" i="5"/>
  <c r="F1850" i="5"/>
  <c r="F1849" i="5"/>
  <c r="F1848" i="5"/>
  <c r="F1847" i="5"/>
  <c r="F1846" i="5"/>
  <c r="F1845" i="5"/>
  <c r="F1844" i="5"/>
  <c r="F1843" i="5"/>
  <c r="F1842" i="5"/>
  <c r="F1841" i="5"/>
  <c r="F1840" i="5"/>
  <c r="F1839" i="5"/>
  <c r="F1838" i="5"/>
  <c r="F1837" i="5"/>
  <c r="F1836" i="5"/>
  <c r="F1835" i="5"/>
  <c r="F1834" i="5"/>
  <c r="F1833" i="5"/>
  <c r="F1832" i="5"/>
  <c r="F1831" i="5"/>
  <c r="F1830" i="5"/>
  <c r="F1829" i="5"/>
  <c r="F1828" i="5"/>
  <c r="F1827" i="5"/>
  <c r="F1826" i="5"/>
  <c r="F1825" i="5"/>
  <c r="F1824" i="5"/>
  <c r="F1823" i="5"/>
  <c r="F1822" i="5"/>
  <c r="F1821" i="5"/>
  <c r="F1820" i="5"/>
  <c r="F1819" i="5"/>
  <c r="F1818" i="5"/>
  <c r="F1817" i="5"/>
  <c r="F1816" i="5"/>
  <c r="F1815" i="5"/>
  <c r="F1814" i="5"/>
  <c r="F1813" i="5"/>
  <c r="F1812" i="5"/>
  <c r="F1811" i="5"/>
  <c r="F1810" i="5"/>
  <c r="F1809" i="5"/>
  <c r="F1808" i="5"/>
  <c r="F1807" i="5"/>
  <c r="F1806" i="5"/>
  <c r="F1805" i="5"/>
  <c r="F1804" i="5"/>
  <c r="F1803" i="5"/>
  <c r="F1802" i="5"/>
  <c r="F1801" i="5"/>
  <c r="F1800" i="5"/>
  <c r="F1799" i="5"/>
  <c r="F1798" i="5"/>
  <c r="F1797" i="5"/>
  <c r="F1796" i="5"/>
  <c r="F1795" i="5"/>
  <c r="F1794" i="5"/>
  <c r="F1793" i="5"/>
  <c r="F1792" i="5"/>
  <c r="F1791" i="5"/>
  <c r="F1790" i="5"/>
  <c r="F1789" i="5"/>
  <c r="F1788" i="5"/>
  <c r="F1787" i="5"/>
  <c r="F1786" i="5"/>
  <c r="F1785" i="5"/>
  <c r="F1784" i="5"/>
  <c r="F1783" i="5"/>
  <c r="F1782" i="5"/>
  <c r="F1781" i="5"/>
  <c r="F1780" i="5"/>
  <c r="F1779" i="5"/>
  <c r="F1778" i="5"/>
  <c r="F1777" i="5"/>
  <c r="F1776" i="5"/>
  <c r="F1775" i="5"/>
  <c r="F1774" i="5"/>
  <c r="F1773" i="5"/>
  <c r="F1772" i="5"/>
  <c r="F1771" i="5"/>
  <c r="F1770" i="5"/>
  <c r="F1769" i="5"/>
  <c r="F1768" i="5"/>
  <c r="F1767" i="5"/>
  <c r="F1766" i="5"/>
  <c r="F1765" i="5"/>
  <c r="F1764" i="5"/>
  <c r="F1763" i="5"/>
  <c r="F1762" i="5"/>
  <c r="F1761" i="5"/>
  <c r="F1760" i="5"/>
  <c r="F1759" i="5"/>
  <c r="F1758" i="5"/>
  <c r="F1757" i="5"/>
  <c r="F1756" i="5"/>
  <c r="F1755" i="5"/>
  <c r="F1754" i="5"/>
  <c r="F1753" i="5"/>
  <c r="F1752" i="5"/>
  <c r="F1751" i="5"/>
  <c r="F1750" i="5"/>
  <c r="F1749" i="5"/>
  <c r="F1748" i="5"/>
  <c r="F1747" i="5"/>
  <c r="F1746" i="5"/>
  <c r="F1745" i="5"/>
  <c r="F1744" i="5"/>
  <c r="F1743" i="5"/>
  <c r="F1742" i="5"/>
  <c r="F1741" i="5"/>
  <c r="F1740" i="5"/>
  <c r="F1739" i="5"/>
  <c r="F1738" i="5"/>
  <c r="F1737" i="5"/>
  <c r="G24" i="8" s="1"/>
  <c r="G84" i="8" s="1"/>
  <c r="F1736" i="5"/>
  <c r="F1735" i="5"/>
  <c r="F1734" i="5"/>
  <c r="F1733" i="5"/>
  <c r="F1732" i="5"/>
  <c r="F1731" i="5"/>
  <c r="F1730" i="5"/>
  <c r="F1729" i="5"/>
  <c r="F1728" i="5"/>
  <c r="F1727" i="5"/>
  <c r="F1726" i="5"/>
  <c r="F1725" i="5"/>
  <c r="F1724" i="5"/>
  <c r="F1723" i="5"/>
  <c r="F1722" i="5"/>
  <c r="F1721" i="5"/>
  <c r="F1720" i="5"/>
  <c r="F1719" i="5"/>
  <c r="F1718" i="5"/>
  <c r="F1717" i="5"/>
  <c r="F1716" i="5"/>
  <c r="F1715" i="5"/>
  <c r="F1714" i="5"/>
  <c r="F1713" i="5"/>
  <c r="F1712" i="5"/>
  <c r="F1711" i="5"/>
  <c r="F1710" i="5"/>
  <c r="F1709" i="5"/>
  <c r="F1708" i="5"/>
  <c r="F1707" i="5"/>
  <c r="F1706" i="5"/>
  <c r="F1705" i="5"/>
  <c r="F1704" i="5"/>
  <c r="F1703" i="5"/>
  <c r="F1702" i="5"/>
  <c r="F1701" i="5"/>
  <c r="F1700" i="5"/>
  <c r="F1699" i="5"/>
  <c r="F1698" i="5"/>
  <c r="F1697" i="5"/>
  <c r="F1696" i="5"/>
  <c r="F1695" i="5"/>
  <c r="F1694" i="5"/>
  <c r="F1693" i="5"/>
  <c r="F1692" i="5"/>
  <c r="F1691" i="5"/>
  <c r="F1690" i="5"/>
  <c r="F1689" i="5"/>
  <c r="F1688" i="5"/>
  <c r="F1687" i="5"/>
  <c r="F1686" i="5"/>
  <c r="F1685" i="5"/>
  <c r="F1684" i="5"/>
  <c r="F1683" i="5"/>
  <c r="F1682" i="5"/>
  <c r="F1681" i="5"/>
  <c r="F1680" i="5"/>
  <c r="F1679" i="5"/>
  <c r="F1678" i="5"/>
  <c r="F1677" i="5"/>
  <c r="F1676" i="5"/>
  <c r="F1675" i="5"/>
  <c r="F1674" i="5"/>
  <c r="F1673" i="5"/>
  <c r="F1672" i="5"/>
  <c r="F1671" i="5"/>
  <c r="F1670" i="5"/>
  <c r="F1669" i="5"/>
  <c r="F1668" i="5"/>
  <c r="F1667" i="5"/>
  <c r="F1666" i="5"/>
  <c r="F1665" i="5"/>
  <c r="F1664" i="5"/>
  <c r="F1663" i="5"/>
  <c r="F1662" i="5"/>
  <c r="F1661" i="5"/>
  <c r="F1660" i="5"/>
  <c r="F1659" i="5"/>
  <c r="F1658" i="5"/>
  <c r="F1657" i="5"/>
  <c r="F1656" i="5"/>
  <c r="F1655" i="5"/>
  <c r="F1654" i="5"/>
  <c r="F1653" i="5"/>
  <c r="F1652" i="5"/>
  <c r="F1651" i="5"/>
  <c r="F1650" i="5"/>
  <c r="F1649" i="5"/>
  <c r="F1648" i="5"/>
  <c r="F1647" i="5"/>
  <c r="F1646" i="5"/>
  <c r="F1645" i="5"/>
  <c r="F1644" i="5"/>
  <c r="F1643" i="5"/>
  <c r="F1642" i="5"/>
  <c r="F1641" i="5"/>
  <c r="F1640" i="5"/>
  <c r="F1639" i="5"/>
  <c r="F1638" i="5"/>
  <c r="F1637" i="5"/>
  <c r="F1636" i="5"/>
  <c r="F1635" i="5"/>
  <c r="F1634" i="5"/>
  <c r="F1633" i="5"/>
  <c r="F1632" i="5"/>
  <c r="F1631" i="5"/>
  <c r="F1630" i="5"/>
  <c r="F1629" i="5"/>
  <c r="F1628" i="5"/>
  <c r="F1627" i="5"/>
  <c r="F1626" i="5"/>
  <c r="F1625" i="5"/>
  <c r="F1624" i="5"/>
  <c r="F1623" i="5"/>
  <c r="F1622" i="5"/>
  <c r="F1621" i="5"/>
  <c r="F1620" i="5"/>
  <c r="F1619" i="5"/>
  <c r="F1618" i="5"/>
  <c r="F1617" i="5"/>
  <c r="F1616" i="5"/>
  <c r="F1615" i="5"/>
  <c r="F1614" i="5"/>
  <c r="F1613" i="5"/>
  <c r="F1612" i="5"/>
  <c r="F1611" i="5"/>
  <c r="F1610" i="5"/>
  <c r="F1609" i="5"/>
  <c r="F1608" i="5"/>
  <c r="F1607" i="5"/>
  <c r="F1606" i="5"/>
  <c r="F1605" i="5"/>
  <c r="F1604" i="5"/>
  <c r="F1603" i="5"/>
  <c r="F1602" i="5"/>
  <c r="F1601" i="5"/>
  <c r="F1600" i="5"/>
  <c r="F1599" i="5"/>
  <c r="F1598" i="5"/>
  <c r="F1597" i="5"/>
  <c r="F1596" i="5"/>
  <c r="F1595" i="5"/>
  <c r="F1594" i="5"/>
  <c r="F1593" i="5"/>
  <c r="F1592" i="5"/>
  <c r="F1591" i="5"/>
  <c r="F1590" i="5"/>
  <c r="F1589" i="5"/>
  <c r="F1588" i="5"/>
  <c r="F1587" i="5"/>
  <c r="F1586" i="5"/>
  <c r="F1585" i="5"/>
  <c r="F1584" i="5"/>
  <c r="H22" i="8" s="1"/>
  <c r="H82" i="8" s="1"/>
  <c r="F1583" i="5"/>
  <c r="F1582" i="5"/>
  <c r="F1581" i="5"/>
  <c r="F1580" i="5"/>
  <c r="F1579" i="5"/>
  <c r="F1578" i="5"/>
  <c r="F1577" i="5"/>
  <c r="F1576" i="5"/>
  <c r="F1575" i="5"/>
  <c r="F1574" i="5"/>
  <c r="F1573" i="5"/>
  <c r="F1572" i="5"/>
  <c r="F1571" i="5"/>
  <c r="F1570" i="5"/>
  <c r="F1569" i="5"/>
  <c r="F1568" i="5"/>
  <c r="F1567" i="5"/>
  <c r="F1566" i="5"/>
  <c r="F1565" i="5"/>
  <c r="F1564" i="5"/>
  <c r="F1563" i="5"/>
  <c r="F1562" i="5"/>
  <c r="F1561" i="5"/>
  <c r="F1560" i="5"/>
  <c r="F1559" i="5"/>
  <c r="F1558" i="5"/>
  <c r="F1557" i="5"/>
  <c r="F1556" i="5"/>
  <c r="F1555" i="5"/>
  <c r="F1554" i="5"/>
  <c r="F1553" i="5"/>
  <c r="F1552" i="5"/>
  <c r="F1551" i="5"/>
  <c r="F1550" i="5"/>
  <c r="F1549" i="5"/>
  <c r="F1548" i="5"/>
  <c r="F1547" i="5"/>
  <c r="F1546" i="5"/>
  <c r="F1545" i="5"/>
  <c r="F1544" i="5"/>
  <c r="F1543" i="5"/>
  <c r="F1542" i="5"/>
  <c r="F1541" i="5"/>
  <c r="F1540" i="5"/>
  <c r="F1539" i="5"/>
  <c r="F1538" i="5"/>
  <c r="F1537" i="5"/>
  <c r="F1536" i="5"/>
  <c r="F1535" i="5"/>
  <c r="F1534" i="5"/>
  <c r="F1533" i="5"/>
  <c r="F1532" i="5"/>
  <c r="F1531" i="5"/>
  <c r="F1530" i="5"/>
  <c r="F1529" i="5"/>
  <c r="F1528" i="5"/>
  <c r="F1527" i="5"/>
  <c r="F1526" i="5"/>
  <c r="F1525" i="5"/>
  <c r="F1524" i="5"/>
  <c r="F1523" i="5"/>
  <c r="F1522" i="5"/>
  <c r="F1521" i="5"/>
  <c r="F1520" i="5"/>
  <c r="F1519" i="5"/>
  <c r="F1518" i="5"/>
  <c r="F1517" i="5"/>
  <c r="F1516" i="5"/>
  <c r="F1515" i="5"/>
  <c r="F1514" i="5"/>
  <c r="F1513" i="5"/>
  <c r="F1512" i="5"/>
  <c r="F1511" i="5"/>
  <c r="F1510" i="5"/>
  <c r="F1509" i="5"/>
  <c r="F1508" i="5"/>
  <c r="F1507" i="5"/>
  <c r="F1506" i="5"/>
  <c r="F1505" i="5"/>
  <c r="F1504" i="5"/>
  <c r="F1503" i="5"/>
  <c r="F1502" i="5"/>
  <c r="F1501" i="5"/>
  <c r="F1500" i="5"/>
  <c r="F1499" i="5"/>
  <c r="F1498" i="5"/>
  <c r="F1497" i="5"/>
  <c r="F1496" i="5"/>
  <c r="F1495" i="5"/>
  <c r="F1494" i="5"/>
  <c r="F1493" i="5"/>
  <c r="F1492" i="5"/>
  <c r="F1491" i="5"/>
  <c r="F1490" i="5"/>
  <c r="F1489" i="5"/>
  <c r="F1488" i="5"/>
  <c r="F1487" i="5"/>
  <c r="F1486" i="5"/>
  <c r="F1485" i="5"/>
  <c r="F1484" i="5"/>
  <c r="F1483" i="5"/>
  <c r="F1482" i="5"/>
  <c r="F1481" i="5"/>
  <c r="F1480" i="5"/>
  <c r="F1479" i="5"/>
  <c r="F1478" i="5"/>
  <c r="F1477" i="5"/>
  <c r="F1476" i="5"/>
  <c r="F1475" i="5"/>
  <c r="F1474" i="5"/>
  <c r="F1473" i="5"/>
  <c r="F1472" i="5"/>
  <c r="F1471" i="5"/>
  <c r="F1470" i="5"/>
  <c r="F1469" i="5"/>
  <c r="F1468" i="5"/>
  <c r="F1467" i="5"/>
  <c r="F1466" i="5"/>
  <c r="F1465" i="5"/>
  <c r="F1464" i="5"/>
  <c r="F1463" i="5"/>
  <c r="F1462" i="5"/>
  <c r="F1461" i="5"/>
  <c r="F1460" i="5"/>
  <c r="F1459" i="5"/>
  <c r="F1458" i="5"/>
  <c r="F1457" i="5"/>
  <c r="F1456" i="5"/>
  <c r="F1455" i="5"/>
  <c r="F1454" i="5"/>
  <c r="F1453" i="5"/>
  <c r="F1452" i="5"/>
  <c r="F1451" i="5"/>
  <c r="F1450" i="5"/>
  <c r="F1449" i="5"/>
  <c r="F1448" i="5"/>
  <c r="F1447" i="5"/>
  <c r="F1446" i="5"/>
  <c r="F1445" i="5"/>
  <c r="F1444" i="5"/>
  <c r="F1443" i="5"/>
  <c r="F1442" i="5"/>
  <c r="F1441" i="5"/>
  <c r="F1440" i="5"/>
  <c r="F1439" i="5"/>
  <c r="F1438" i="5"/>
  <c r="F1437" i="5"/>
  <c r="F1436" i="5"/>
  <c r="F1435" i="5"/>
  <c r="F1434" i="5"/>
  <c r="F1433" i="5"/>
  <c r="F1432" i="5"/>
  <c r="F1431" i="5"/>
  <c r="F1430" i="5"/>
  <c r="F1429" i="5"/>
  <c r="F1428" i="5"/>
  <c r="F1427" i="5"/>
  <c r="F1426" i="5"/>
  <c r="F1425" i="5"/>
  <c r="F1424" i="5"/>
  <c r="F1423" i="5"/>
  <c r="F1422" i="5"/>
  <c r="F1421" i="5"/>
  <c r="F1420" i="5"/>
  <c r="F1419" i="5"/>
  <c r="F1418" i="5"/>
  <c r="F1417" i="5"/>
  <c r="F1416" i="5"/>
  <c r="F1415" i="5"/>
  <c r="F1414" i="5"/>
  <c r="F1413" i="5"/>
  <c r="F1412" i="5"/>
  <c r="F1411" i="5"/>
  <c r="F1410" i="5"/>
  <c r="F1409" i="5"/>
  <c r="F1408" i="5"/>
  <c r="F1407" i="5"/>
  <c r="F1406" i="5"/>
  <c r="F1405" i="5"/>
  <c r="F1404" i="5"/>
  <c r="F1403" i="5"/>
  <c r="F1402" i="5"/>
  <c r="F1401" i="5"/>
  <c r="F1400" i="5"/>
  <c r="F1399" i="5"/>
  <c r="F1398" i="5"/>
  <c r="F1397" i="5"/>
  <c r="F1396" i="5"/>
  <c r="F1395" i="5"/>
  <c r="F1394" i="5"/>
  <c r="F1393" i="5"/>
  <c r="F1392" i="5"/>
  <c r="F1391" i="5"/>
  <c r="F1390" i="5"/>
  <c r="F1389" i="5"/>
  <c r="F1388" i="5"/>
  <c r="F1387" i="5"/>
  <c r="F1386" i="5"/>
  <c r="F1385" i="5"/>
  <c r="G19" i="8" s="1"/>
  <c r="G79" i="8" s="1"/>
  <c r="F1384" i="5"/>
  <c r="F1383" i="5"/>
  <c r="F1382" i="5"/>
  <c r="F1381" i="5"/>
  <c r="F1380" i="5"/>
  <c r="F1379" i="5"/>
  <c r="F1378" i="5"/>
  <c r="F1377" i="5"/>
  <c r="F1376" i="5"/>
  <c r="F1375" i="5"/>
  <c r="F1374" i="5"/>
  <c r="F1373" i="5"/>
  <c r="F1372" i="5"/>
  <c r="F1371" i="5"/>
  <c r="F1370" i="5"/>
  <c r="F1369" i="5"/>
  <c r="F1368" i="5"/>
  <c r="F1367" i="5"/>
  <c r="F1366" i="5"/>
  <c r="F1365" i="5"/>
  <c r="F1364" i="5"/>
  <c r="F1363" i="5"/>
  <c r="F1362" i="5"/>
  <c r="F1361" i="5"/>
  <c r="F1360" i="5"/>
  <c r="F1359" i="5"/>
  <c r="F1358" i="5"/>
  <c r="F1357" i="5"/>
  <c r="F1356" i="5"/>
  <c r="F1355" i="5"/>
  <c r="F1354" i="5"/>
  <c r="F1353" i="5"/>
  <c r="F1352" i="5"/>
  <c r="F1351" i="5"/>
  <c r="F1350" i="5"/>
  <c r="F1349" i="5"/>
  <c r="F1348" i="5"/>
  <c r="F1347" i="5"/>
  <c r="F1346" i="5"/>
  <c r="F1345" i="5"/>
  <c r="F1344" i="5"/>
  <c r="F1343" i="5"/>
  <c r="F1342" i="5"/>
  <c r="F1341" i="5"/>
  <c r="F1340" i="5"/>
  <c r="F1339" i="5"/>
  <c r="F1338" i="5"/>
  <c r="F1337" i="5"/>
  <c r="F1336" i="5"/>
  <c r="F1335" i="5"/>
  <c r="F1334" i="5"/>
  <c r="F1333" i="5"/>
  <c r="F1332" i="5"/>
  <c r="G18" i="8" s="1"/>
  <c r="G78" i="8" s="1"/>
  <c r="F1331" i="5"/>
  <c r="F1330" i="5"/>
  <c r="F1329" i="5"/>
  <c r="F1328" i="5"/>
  <c r="F1327" i="5"/>
  <c r="F1326" i="5"/>
  <c r="F1325" i="5"/>
  <c r="F1324" i="5"/>
  <c r="F1323" i="5"/>
  <c r="F1322" i="5"/>
  <c r="F1321" i="5"/>
  <c r="F1320" i="5"/>
  <c r="F1319" i="5"/>
  <c r="F1318" i="5"/>
  <c r="F1317" i="5"/>
  <c r="F1316" i="5"/>
  <c r="F1315" i="5"/>
  <c r="F1314" i="5"/>
  <c r="F1313" i="5"/>
  <c r="F1312" i="5"/>
  <c r="F1311" i="5"/>
  <c r="F1310" i="5"/>
  <c r="F1309" i="5"/>
  <c r="F1308" i="5"/>
  <c r="F1307" i="5"/>
  <c r="F1306" i="5"/>
  <c r="F1305" i="5"/>
  <c r="F1304" i="5"/>
  <c r="F1303" i="5"/>
  <c r="F1302" i="5"/>
  <c r="F1301" i="5"/>
  <c r="F1300" i="5"/>
  <c r="F1299" i="5"/>
  <c r="F1298" i="5"/>
  <c r="F1297" i="5"/>
  <c r="F1296" i="5"/>
  <c r="F1295" i="5"/>
  <c r="F1294" i="5"/>
  <c r="F1293" i="5"/>
  <c r="F1292" i="5"/>
  <c r="F1291" i="5"/>
  <c r="F1290" i="5"/>
  <c r="F1289" i="5"/>
  <c r="F1288" i="5"/>
  <c r="F1287" i="5"/>
  <c r="F1286" i="5"/>
  <c r="F1285" i="5"/>
  <c r="F1284" i="5"/>
  <c r="F1283" i="5"/>
  <c r="F1282" i="5"/>
  <c r="F1281" i="5"/>
  <c r="F1280" i="5"/>
  <c r="F1279" i="5"/>
  <c r="F1278" i="5"/>
  <c r="F1277" i="5"/>
  <c r="F1276" i="5"/>
  <c r="F1275" i="5"/>
  <c r="F1274" i="5"/>
  <c r="F1273" i="5"/>
  <c r="F1272" i="5"/>
  <c r="F1271" i="5"/>
  <c r="F1270" i="5"/>
  <c r="F1269" i="5"/>
  <c r="F1268" i="5"/>
  <c r="F1267" i="5"/>
  <c r="F1266" i="5"/>
  <c r="F1265" i="5"/>
  <c r="F1264" i="5"/>
  <c r="F1263" i="5"/>
  <c r="F1262" i="5"/>
  <c r="F1261" i="5"/>
  <c r="F1260" i="5"/>
  <c r="F1259" i="5"/>
  <c r="F1258" i="5"/>
  <c r="F1257" i="5"/>
  <c r="F1256" i="5"/>
  <c r="F1255" i="5"/>
  <c r="F1254" i="5"/>
  <c r="F1253" i="5"/>
  <c r="G17" i="8" s="1"/>
  <c r="G77" i="8" s="1"/>
  <c r="F1252" i="5"/>
  <c r="F1251" i="5"/>
  <c r="F1250" i="5"/>
  <c r="F1249" i="5"/>
  <c r="F1248" i="5"/>
  <c r="F1247" i="5"/>
  <c r="M17" i="8" s="1"/>
  <c r="M77" i="8" s="1"/>
  <c r="F1246" i="5"/>
  <c r="F1245" i="5"/>
  <c r="F1244" i="5"/>
  <c r="F1243" i="5"/>
  <c r="F1242" i="5"/>
  <c r="F1241" i="5"/>
  <c r="F1240" i="5"/>
  <c r="F1239" i="5"/>
  <c r="F1238" i="5"/>
  <c r="F1237" i="5"/>
  <c r="F1236" i="5"/>
  <c r="F1235" i="5"/>
  <c r="F1234" i="5"/>
  <c r="F1233" i="5"/>
  <c r="F1232" i="5"/>
  <c r="F1231" i="5"/>
  <c r="F1230" i="5"/>
  <c r="F1229" i="5"/>
  <c r="F1228" i="5"/>
  <c r="F1227" i="5"/>
  <c r="F1226" i="5"/>
  <c r="F1225" i="5"/>
  <c r="F1224" i="5"/>
  <c r="F1223" i="5"/>
  <c r="F1222" i="5"/>
  <c r="F1221" i="5"/>
  <c r="F1220" i="5"/>
  <c r="F1219" i="5"/>
  <c r="F1218" i="5"/>
  <c r="F1217" i="5"/>
  <c r="F1216" i="5"/>
  <c r="F1215" i="5"/>
  <c r="F1214" i="5"/>
  <c r="F1213" i="5"/>
  <c r="F1212" i="5"/>
  <c r="F1211" i="5"/>
  <c r="F1210" i="5"/>
  <c r="F1209" i="5"/>
  <c r="F1208" i="5"/>
  <c r="F1207" i="5"/>
  <c r="F1206" i="5"/>
  <c r="F1205" i="5"/>
  <c r="F1204" i="5"/>
  <c r="F1203" i="5"/>
  <c r="F1202" i="5"/>
  <c r="F1201" i="5"/>
  <c r="F1200" i="5"/>
  <c r="F1199" i="5"/>
  <c r="F1198" i="5"/>
  <c r="F1197" i="5"/>
  <c r="F1196" i="5"/>
  <c r="F1195" i="5"/>
  <c r="F1194" i="5"/>
  <c r="F1193" i="5"/>
  <c r="F1192" i="5"/>
  <c r="F1191" i="5"/>
  <c r="F1190" i="5"/>
  <c r="F1189" i="5"/>
  <c r="F1188" i="5"/>
  <c r="F1187" i="5"/>
  <c r="F1186" i="5"/>
  <c r="F1185" i="5"/>
  <c r="F1184" i="5"/>
  <c r="F1183" i="5"/>
  <c r="F1182" i="5"/>
  <c r="F1181" i="5"/>
  <c r="F1180" i="5"/>
  <c r="F1179" i="5"/>
  <c r="F1178" i="5"/>
  <c r="F1177" i="5"/>
  <c r="F1176" i="5"/>
  <c r="F1175" i="5"/>
  <c r="F1174" i="5"/>
  <c r="F1173" i="5"/>
  <c r="F1172" i="5"/>
  <c r="F1171" i="5"/>
  <c r="F1170" i="5"/>
  <c r="F1169" i="5"/>
  <c r="F1168" i="5"/>
  <c r="F1167" i="5"/>
  <c r="F1166" i="5"/>
  <c r="F1165" i="5"/>
  <c r="F1164" i="5"/>
  <c r="F1163" i="5"/>
  <c r="F1162" i="5"/>
  <c r="F1161" i="5"/>
  <c r="F1160" i="5"/>
  <c r="F1159" i="5"/>
  <c r="F1158" i="5"/>
  <c r="F1157" i="5"/>
  <c r="F1156" i="5"/>
  <c r="F1155" i="5"/>
  <c r="F1154" i="5"/>
  <c r="F1153" i="5"/>
  <c r="F1152" i="5"/>
  <c r="F1151" i="5"/>
  <c r="F1150" i="5"/>
  <c r="F1149" i="5"/>
  <c r="F1148" i="5"/>
  <c r="F1147" i="5"/>
  <c r="F1146" i="5"/>
  <c r="F1145" i="5"/>
  <c r="F1144" i="5"/>
  <c r="F1143" i="5"/>
  <c r="F1142" i="5"/>
  <c r="F1141" i="5"/>
  <c r="F1140" i="5"/>
  <c r="F1139" i="5"/>
  <c r="F1138" i="5"/>
  <c r="F1137" i="5"/>
  <c r="F1136" i="5"/>
  <c r="F1135" i="5"/>
  <c r="F1134" i="5"/>
  <c r="F1133" i="5"/>
  <c r="F1132" i="5"/>
  <c r="F1131" i="5"/>
  <c r="F1130" i="5"/>
  <c r="F1129" i="5"/>
  <c r="F1128" i="5"/>
  <c r="F1127" i="5"/>
  <c r="F1126" i="5"/>
  <c r="F1125" i="5"/>
  <c r="F1124" i="5"/>
  <c r="F1123" i="5"/>
  <c r="F1122" i="5"/>
  <c r="F1121" i="5"/>
  <c r="F1120" i="5"/>
  <c r="F1119" i="5"/>
  <c r="F1118" i="5"/>
  <c r="F1117" i="5"/>
  <c r="F1116" i="5"/>
  <c r="F1115" i="5"/>
  <c r="F1114" i="5"/>
  <c r="F1113" i="5"/>
  <c r="F1112" i="5"/>
  <c r="F1111" i="5"/>
  <c r="F1110" i="5"/>
  <c r="F1109" i="5"/>
  <c r="F1108" i="5"/>
  <c r="F1107" i="5"/>
  <c r="F1106" i="5"/>
  <c r="F1105" i="5"/>
  <c r="F1104" i="5"/>
  <c r="F1103" i="5"/>
  <c r="F1102" i="5"/>
  <c r="F1101" i="5"/>
  <c r="F1100" i="5"/>
  <c r="F1099" i="5"/>
  <c r="F1098" i="5"/>
  <c r="F1097" i="5"/>
  <c r="F1096" i="5"/>
  <c r="F1095" i="5"/>
  <c r="F1094" i="5"/>
  <c r="F1093" i="5"/>
  <c r="F1092" i="5"/>
  <c r="F1091" i="5"/>
  <c r="F1090" i="5"/>
  <c r="F1089" i="5"/>
  <c r="F1088" i="5"/>
  <c r="F1087" i="5"/>
  <c r="F1086" i="5"/>
  <c r="F1085" i="5"/>
  <c r="F1084" i="5"/>
  <c r="F1083" i="5"/>
  <c r="F1082" i="5"/>
  <c r="F1081" i="5"/>
  <c r="F1080" i="5"/>
  <c r="F1079" i="5"/>
  <c r="F1078" i="5"/>
  <c r="F1077" i="5"/>
  <c r="F1076" i="5"/>
  <c r="F1075" i="5"/>
  <c r="F1074" i="5"/>
  <c r="F1073" i="5"/>
  <c r="F1072" i="5"/>
  <c r="F1071" i="5"/>
  <c r="F1070" i="5"/>
  <c r="F1069" i="5"/>
  <c r="F1068" i="5"/>
  <c r="F1067" i="5"/>
  <c r="F1066" i="5"/>
  <c r="F1065" i="5"/>
  <c r="F1064" i="5"/>
  <c r="F1063" i="5"/>
  <c r="F1062" i="5"/>
  <c r="F1061" i="5"/>
  <c r="F1060" i="5"/>
  <c r="F1059" i="5"/>
  <c r="F1058" i="5"/>
  <c r="F1057" i="5"/>
  <c r="F1056" i="5"/>
  <c r="F1055" i="5"/>
  <c r="F1054" i="5"/>
  <c r="F1053" i="5"/>
  <c r="F1052" i="5"/>
  <c r="F1051" i="5"/>
  <c r="F1050" i="5"/>
  <c r="F1049" i="5"/>
  <c r="F1048" i="5"/>
  <c r="F1047" i="5"/>
  <c r="F1046" i="5"/>
  <c r="F1045" i="5"/>
  <c r="F1044" i="5"/>
  <c r="F1043" i="5"/>
  <c r="F1042" i="5"/>
  <c r="F1041" i="5"/>
  <c r="F1040" i="5"/>
  <c r="F1039" i="5"/>
  <c r="F1038" i="5"/>
  <c r="F1037" i="5"/>
  <c r="F1036" i="5"/>
  <c r="F1035" i="5"/>
  <c r="F1034" i="5"/>
  <c r="F1033" i="5"/>
  <c r="F1032" i="5"/>
  <c r="F1031" i="5"/>
  <c r="F1030" i="5"/>
  <c r="F1029" i="5"/>
  <c r="F1028" i="5"/>
  <c r="F1027" i="5"/>
  <c r="F1026" i="5"/>
  <c r="F1025" i="5"/>
  <c r="F1024" i="5"/>
  <c r="F1023" i="5"/>
  <c r="F1022" i="5"/>
  <c r="F1021" i="5"/>
  <c r="F1020" i="5"/>
  <c r="F1019" i="5"/>
  <c r="F1018" i="5"/>
  <c r="F1017" i="5"/>
  <c r="F1016" i="5"/>
  <c r="F1015" i="5"/>
  <c r="F1014" i="5"/>
  <c r="F1013" i="5"/>
  <c r="F1012" i="5"/>
  <c r="F1011" i="5"/>
  <c r="F1010" i="5"/>
  <c r="F1009" i="5"/>
  <c r="F1008" i="5"/>
  <c r="F1007" i="5"/>
  <c r="F1006" i="5"/>
  <c r="F1005" i="5"/>
  <c r="F1004" i="5"/>
  <c r="F1003" i="5"/>
  <c r="F1002" i="5"/>
  <c r="F1001" i="5"/>
  <c r="F1000" i="5"/>
  <c r="F999" i="5"/>
  <c r="F998" i="5"/>
  <c r="F997" i="5"/>
  <c r="F996" i="5"/>
  <c r="F995" i="5"/>
  <c r="F994" i="5"/>
  <c r="F993" i="5"/>
  <c r="F992" i="5"/>
  <c r="F991" i="5"/>
  <c r="F990" i="5"/>
  <c r="F989" i="5"/>
  <c r="F988" i="5"/>
  <c r="F987" i="5"/>
  <c r="F986" i="5"/>
  <c r="F985" i="5"/>
  <c r="F984" i="5"/>
  <c r="F983" i="5"/>
  <c r="F982" i="5"/>
  <c r="F981" i="5"/>
  <c r="F980" i="5"/>
  <c r="F979" i="5"/>
  <c r="F978" i="5"/>
  <c r="F977" i="5"/>
  <c r="F976" i="5"/>
  <c r="F975" i="5"/>
  <c r="F974" i="5"/>
  <c r="F973" i="5"/>
  <c r="F972" i="5"/>
  <c r="F971" i="5"/>
  <c r="F970" i="5"/>
  <c r="F969" i="5"/>
  <c r="F968" i="5"/>
  <c r="F967" i="5"/>
  <c r="F966" i="5"/>
  <c r="F965" i="5"/>
  <c r="F964" i="5"/>
  <c r="F963" i="5"/>
  <c r="F962" i="5"/>
  <c r="F961" i="5"/>
  <c r="F960" i="5"/>
  <c r="F959" i="5"/>
  <c r="F958" i="5"/>
  <c r="F957" i="5"/>
  <c r="F956" i="5"/>
  <c r="F955" i="5"/>
  <c r="F954" i="5"/>
  <c r="F953" i="5"/>
  <c r="F952" i="5"/>
  <c r="F951" i="5"/>
  <c r="F950" i="5"/>
  <c r="F949" i="5"/>
  <c r="F948" i="5"/>
  <c r="F947" i="5"/>
  <c r="F946" i="5"/>
  <c r="F945" i="5"/>
  <c r="F944" i="5"/>
  <c r="F943" i="5"/>
  <c r="F942" i="5"/>
  <c r="F941" i="5"/>
  <c r="F940" i="5"/>
  <c r="F939" i="5"/>
  <c r="F938" i="5"/>
  <c r="F937" i="5"/>
  <c r="F936" i="5"/>
  <c r="F935" i="5"/>
  <c r="F934" i="5"/>
  <c r="F933" i="5"/>
  <c r="F932" i="5"/>
  <c r="F931" i="5"/>
  <c r="F930" i="5"/>
  <c r="F929" i="5"/>
  <c r="F928" i="5"/>
  <c r="F927" i="5"/>
  <c r="F926" i="5"/>
  <c r="F925" i="5"/>
  <c r="F924" i="5"/>
  <c r="F923" i="5"/>
  <c r="F922" i="5"/>
  <c r="F921" i="5"/>
  <c r="F920" i="5"/>
  <c r="F919" i="5"/>
  <c r="F918" i="5"/>
  <c r="F917" i="5"/>
  <c r="F916" i="5"/>
  <c r="F915" i="5"/>
  <c r="F914" i="5"/>
  <c r="F913" i="5"/>
  <c r="F912" i="5"/>
  <c r="F911" i="5"/>
  <c r="F910" i="5"/>
  <c r="F909" i="5"/>
  <c r="F908" i="5"/>
  <c r="F907" i="5"/>
  <c r="F906" i="5"/>
  <c r="F905" i="5"/>
  <c r="F904" i="5"/>
  <c r="F903" i="5"/>
  <c r="F902" i="5"/>
  <c r="F901" i="5"/>
  <c r="F900" i="5"/>
  <c r="F899" i="5"/>
  <c r="F898" i="5"/>
  <c r="F897" i="5"/>
  <c r="F896" i="5"/>
  <c r="F895" i="5"/>
  <c r="F894" i="5"/>
  <c r="F893" i="5"/>
  <c r="F892" i="5"/>
  <c r="F891" i="5"/>
  <c r="F890" i="5"/>
  <c r="F889" i="5"/>
  <c r="F888" i="5"/>
  <c r="F887" i="5"/>
  <c r="F886" i="5"/>
  <c r="F885" i="5"/>
  <c r="F884" i="5"/>
  <c r="F883" i="5"/>
  <c r="F882" i="5"/>
  <c r="F881" i="5"/>
  <c r="F880" i="5"/>
  <c r="F879" i="5"/>
  <c r="F878" i="5"/>
  <c r="F877" i="5"/>
  <c r="F876" i="5"/>
  <c r="F875" i="5"/>
  <c r="F874" i="5"/>
  <c r="F873" i="5"/>
  <c r="F872" i="5"/>
  <c r="F871" i="5"/>
  <c r="F870" i="5"/>
  <c r="F869" i="5"/>
  <c r="F868" i="5"/>
  <c r="F867" i="5"/>
  <c r="F866" i="5"/>
  <c r="F865" i="5"/>
  <c r="F864" i="5"/>
  <c r="F863" i="5"/>
  <c r="F862" i="5"/>
  <c r="F861" i="5"/>
  <c r="F860" i="5"/>
  <c r="F859" i="5"/>
  <c r="F858" i="5"/>
  <c r="F857" i="5"/>
  <c r="F856" i="5"/>
  <c r="F855" i="5"/>
  <c r="F854" i="5"/>
  <c r="F853" i="5"/>
  <c r="F852" i="5"/>
  <c r="F851" i="5"/>
  <c r="F850" i="5"/>
  <c r="F849" i="5"/>
  <c r="F848" i="5"/>
  <c r="F847" i="5"/>
  <c r="F846" i="5"/>
  <c r="F845" i="5"/>
  <c r="F844" i="5"/>
  <c r="F843" i="5"/>
  <c r="F842" i="5"/>
  <c r="F841" i="5"/>
  <c r="F840" i="5"/>
  <c r="F839" i="5"/>
  <c r="F838" i="5"/>
  <c r="F837" i="5"/>
  <c r="F836" i="5"/>
  <c r="F835" i="5"/>
  <c r="F834" i="5"/>
  <c r="F833" i="5"/>
  <c r="F832" i="5"/>
  <c r="F831" i="5"/>
  <c r="F830" i="5"/>
  <c r="F829" i="5"/>
  <c r="F828" i="5"/>
  <c r="F827" i="5"/>
  <c r="F826" i="5"/>
  <c r="F825" i="5"/>
  <c r="F824" i="5"/>
  <c r="F823" i="5"/>
  <c r="F822" i="5"/>
  <c r="F821" i="5"/>
  <c r="F820" i="5"/>
  <c r="F819" i="5"/>
  <c r="F818" i="5"/>
  <c r="F817" i="5"/>
  <c r="F816" i="5"/>
  <c r="F815" i="5"/>
  <c r="F814" i="5"/>
  <c r="F813" i="5"/>
  <c r="F812" i="5"/>
  <c r="F811" i="5"/>
  <c r="F810" i="5"/>
  <c r="F809" i="5"/>
  <c r="F808" i="5"/>
  <c r="F807" i="5"/>
  <c r="F806" i="5"/>
  <c r="F805" i="5"/>
  <c r="F804" i="5"/>
  <c r="F803" i="5"/>
  <c r="F802" i="5"/>
  <c r="F801" i="5"/>
  <c r="F800" i="5"/>
  <c r="F799" i="5"/>
  <c r="F798" i="5"/>
  <c r="F797" i="5"/>
  <c r="F796" i="5"/>
  <c r="F795" i="5"/>
  <c r="F794" i="5"/>
  <c r="F793" i="5"/>
  <c r="F792" i="5"/>
  <c r="F791" i="5"/>
  <c r="F790" i="5"/>
  <c r="F789" i="5"/>
  <c r="F788" i="5"/>
  <c r="F787" i="5"/>
  <c r="F786" i="5"/>
  <c r="F785" i="5"/>
  <c r="F784" i="5"/>
  <c r="F783" i="5"/>
  <c r="F782" i="5"/>
  <c r="F781" i="5"/>
  <c r="F780" i="5"/>
  <c r="F779" i="5"/>
  <c r="F778" i="5"/>
  <c r="F777" i="5"/>
  <c r="F776" i="5"/>
  <c r="F775" i="5"/>
  <c r="F774" i="5"/>
  <c r="F773" i="5"/>
  <c r="F772" i="5"/>
  <c r="F771" i="5"/>
  <c r="F770" i="5"/>
  <c r="F769" i="5"/>
  <c r="F768" i="5"/>
  <c r="F767" i="5"/>
  <c r="F766" i="5"/>
  <c r="F765" i="5"/>
  <c r="F764" i="5"/>
  <c r="F763" i="5"/>
  <c r="F762" i="5"/>
  <c r="F761" i="5"/>
  <c r="F760" i="5"/>
  <c r="D12" i="8" s="1"/>
  <c r="D72" i="8" s="1"/>
  <c r="F759" i="5"/>
  <c r="F758" i="5"/>
  <c r="F757" i="5"/>
  <c r="F756" i="5"/>
  <c r="F755" i="5"/>
  <c r="F754" i="5"/>
  <c r="F753" i="5"/>
  <c r="F752" i="5"/>
  <c r="F751" i="5"/>
  <c r="F750" i="5"/>
  <c r="F749" i="5"/>
  <c r="F748" i="5"/>
  <c r="F747" i="5"/>
  <c r="F746" i="5"/>
  <c r="F745" i="5"/>
  <c r="F744" i="5"/>
  <c r="F743" i="5"/>
  <c r="F742" i="5"/>
  <c r="F741" i="5"/>
  <c r="F740" i="5"/>
  <c r="F739" i="5"/>
  <c r="F738" i="5"/>
  <c r="F737" i="5"/>
  <c r="F736" i="5"/>
  <c r="F735" i="5"/>
  <c r="F734" i="5"/>
  <c r="F733" i="5"/>
  <c r="F732" i="5"/>
  <c r="F731" i="5"/>
  <c r="F730" i="5"/>
  <c r="F729" i="5"/>
  <c r="F728" i="5"/>
  <c r="F727" i="5"/>
  <c r="F726" i="5"/>
  <c r="F725" i="5"/>
  <c r="F724" i="5"/>
  <c r="F723" i="5"/>
  <c r="F722" i="5"/>
  <c r="F721" i="5"/>
  <c r="F720" i="5"/>
  <c r="F719" i="5"/>
  <c r="F718" i="5"/>
  <c r="F717" i="5"/>
  <c r="F716" i="5"/>
  <c r="F715" i="5"/>
  <c r="F714" i="5"/>
  <c r="F713" i="5"/>
  <c r="F712" i="5"/>
  <c r="F711" i="5"/>
  <c r="F710" i="5"/>
  <c r="F709" i="5"/>
  <c r="F708" i="5"/>
  <c r="F707" i="5"/>
  <c r="F706" i="5"/>
  <c r="F705" i="5"/>
  <c r="F704" i="5"/>
  <c r="F703" i="5"/>
  <c r="F702" i="5"/>
  <c r="F701" i="5"/>
  <c r="F700" i="5"/>
  <c r="F699" i="5"/>
  <c r="F698" i="5"/>
  <c r="F697" i="5"/>
  <c r="F696" i="5"/>
  <c r="F695" i="5"/>
  <c r="F694" i="5"/>
  <c r="F693" i="5"/>
  <c r="F692" i="5"/>
  <c r="F691" i="5"/>
  <c r="F690" i="5"/>
  <c r="F689" i="5"/>
  <c r="F688" i="5"/>
  <c r="F687" i="5"/>
  <c r="F686" i="5"/>
  <c r="F685" i="5"/>
  <c r="F684" i="5"/>
  <c r="F683" i="5"/>
  <c r="F682" i="5"/>
  <c r="F681" i="5"/>
  <c r="F680" i="5"/>
  <c r="F679" i="5"/>
  <c r="F678" i="5"/>
  <c r="F677" i="5"/>
  <c r="F676" i="5"/>
  <c r="F675" i="5"/>
  <c r="F674" i="5"/>
  <c r="F673" i="5"/>
  <c r="F672" i="5"/>
  <c r="F671" i="5"/>
  <c r="F670" i="5"/>
  <c r="F669" i="5"/>
  <c r="F668" i="5"/>
  <c r="F667" i="5"/>
  <c r="F666" i="5"/>
  <c r="F665" i="5"/>
  <c r="F664" i="5"/>
  <c r="F663" i="5"/>
  <c r="F662" i="5"/>
  <c r="F661" i="5"/>
  <c r="F660" i="5"/>
  <c r="F659" i="5"/>
  <c r="G11" i="8" s="1"/>
  <c r="G71" i="8" s="1"/>
  <c r="F658" i="5"/>
  <c r="F657" i="5"/>
  <c r="F656" i="5"/>
  <c r="F655" i="5"/>
  <c r="F654" i="5"/>
  <c r="F653" i="5"/>
  <c r="F652" i="5"/>
  <c r="F651" i="5"/>
  <c r="F650" i="5"/>
  <c r="M11" i="8" s="1"/>
  <c r="M71" i="8" s="1"/>
  <c r="F649" i="5"/>
  <c r="F648" i="5"/>
  <c r="F647" i="5"/>
  <c r="F646" i="5"/>
  <c r="F645" i="5"/>
  <c r="F644" i="5"/>
  <c r="F643" i="5"/>
  <c r="F642" i="5"/>
  <c r="F641" i="5"/>
  <c r="F640" i="5"/>
  <c r="F639" i="5"/>
  <c r="F638" i="5"/>
  <c r="F637" i="5"/>
  <c r="F636" i="5"/>
  <c r="F635" i="5"/>
  <c r="F634" i="5"/>
  <c r="F633" i="5"/>
  <c r="F632" i="5"/>
  <c r="F631" i="5"/>
  <c r="F630" i="5"/>
  <c r="F629" i="5"/>
  <c r="F628" i="5"/>
  <c r="F627" i="5"/>
  <c r="F626" i="5"/>
  <c r="F625" i="5"/>
  <c r="F624" i="5"/>
  <c r="F623" i="5"/>
  <c r="F622" i="5"/>
  <c r="F621" i="5"/>
  <c r="F620" i="5"/>
  <c r="F619" i="5"/>
  <c r="F618" i="5"/>
  <c r="F617" i="5"/>
  <c r="F616" i="5"/>
  <c r="F615" i="5"/>
  <c r="F614" i="5"/>
  <c r="F613" i="5"/>
  <c r="F612" i="5"/>
  <c r="F611" i="5"/>
  <c r="F610" i="5"/>
  <c r="F609" i="5"/>
  <c r="F608" i="5"/>
  <c r="F607" i="5"/>
  <c r="F606" i="5"/>
  <c r="F605" i="5"/>
  <c r="F604" i="5"/>
  <c r="F603" i="5"/>
  <c r="F602" i="5"/>
  <c r="F601" i="5"/>
  <c r="F600" i="5"/>
  <c r="F599" i="5"/>
  <c r="F598" i="5"/>
  <c r="F597" i="5"/>
  <c r="F596" i="5"/>
  <c r="F595" i="5"/>
  <c r="F594" i="5"/>
  <c r="F593" i="5"/>
  <c r="F592" i="5"/>
  <c r="F591" i="5"/>
  <c r="F590" i="5"/>
  <c r="F589" i="5"/>
  <c r="F588" i="5"/>
  <c r="F587" i="5"/>
  <c r="F586" i="5"/>
  <c r="F585" i="5"/>
  <c r="F584" i="5"/>
  <c r="F583" i="5"/>
  <c r="F582" i="5"/>
  <c r="F581" i="5"/>
  <c r="F580" i="5"/>
  <c r="F579" i="5"/>
  <c r="F578" i="5"/>
  <c r="F577" i="5"/>
  <c r="F576" i="5"/>
  <c r="F575" i="5"/>
  <c r="F574" i="5"/>
  <c r="F573" i="5"/>
  <c r="F572" i="5"/>
  <c r="F571" i="5"/>
  <c r="F570" i="5"/>
  <c r="F569" i="5"/>
  <c r="F568" i="5"/>
  <c r="F567" i="5"/>
  <c r="F566" i="5"/>
  <c r="F565" i="5"/>
  <c r="F564" i="5"/>
  <c r="F563" i="5"/>
  <c r="F562" i="5"/>
  <c r="F561" i="5"/>
  <c r="F560" i="5"/>
  <c r="F559" i="5"/>
  <c r="F558" i="5"/>
  <c r="F557" i="5"/>
  <c r="F556" i="5"/>
  <c r="F555" i="5"/>
  <c r="F554" i="5"/>
  <c r="F553" i="5"/>
  <c r="F552" i="5"/>
  <c r="F551" i="5"/>
  <c r="F550" i="5"/>
  <c r="F549" i="5"/>
  <c r="F548" i="5"/>
  <c r="F547" i="5"/>
  <c r="F546" i="5"/>
  <c r="F545" i="5"/>
  <c r="F544" i="5"/>
  <c r="F543" i="5"/>
  <c r="F542" i="5"/>
  <c r="F541" i="5"/>
  <c r="F540" i="5"/>
  <c r="F539" i="5"/>
  <c r="F538" i="5"/>
  <c r="F537" i="5"/>
  <c r="F536" i="5"/>
  <c r="F535" i="5"/>
  <c r="F534" i="5"/>
  <c r="F533" i="5"/>
  <c r="F532" i="5"/>
  <c r="F531" i="5"/>
  <c r="F530" i="5"/>
  <c r="F529" i="5"/>
  <c r="F528" i="5"/>
  <c r="F527" i="5"/>
  <c r="F526" i="5"/>
  <c r="F525" i="5"/>
  <c r="F524" i="5"/>
  <c r="F523" i="5"/>
  <c r="F522" i="5"/>
  <c r="F521" i="5"/>
  <c r="F520" i="5"/>
  <c r="F519" i="5"/>
  <c r="F518" i="5"/>
  <c r="F517" i="5"/>
  <c r="F516" i="5"/>
  <c r="F515" i="5"/>
  <c r="F514" i="5"/>
  <c r="F513" i="5"/>
  <c r="F512" i="5"/>
  <c r="F511" i="5"/>
  <c r="F510" i="5"/>
  <c r="F509" i="5"/>
  <c r="F508" i="5"/>
  <c r="F507" i="5"/>
  <c r="F506" i="5"/>
  <c r="F505" i="5"/>
  <c r="F504" i="5"/>
  <c r="F503" i="5"/>
  <c r="F502" i="5"/>
  <c r="F501" i="5"/>
  <c r="F500" i="5"/>
  <c r="F499" i="5"/>
  <c r="F498" i="5"/>
  <c r="F497" i="5"/>
  <c r="F496" i="5"/>
  <c r="F495" i="5"/>
  <c r="F494" i="5"/>
  <c r="F493" i="5"/>
  <c r="F492" i="5"/>
  <c r="F491" i="5"/>
  <c r="F490" i="5"/>
  <c r="F489" i="5"/>
  <c r="F488" i="5"/>
  <c r="F487" i="5"/>
  <c r="F486" i="5"/>
  <c r="F485" i="5"/>
  <c r="F484" i="5"/>
  <c r="F483" i="5"/>
  <c r="F482" i="5"/>
  <c r="F481" i="5"/>
  <c r="F480" i="5"/>
  <c r="F479" i="5"/>
  <c r="F478" i="5"/>
  <c r="F477" i="5"/>
  <c r="F476" i="5"/>
  <c r="F475" i="5"/>
  <c r="F474" i="5"/>
  <c r="F473" i="5"/>
  <c r="F472" i="5"/>
  <c r="F471" i="5"/>
  <c r="F470" i="5"/>
  <c r="F469" i="5"/>
  <c r="F468" i="5"/>
  <c r="F467" i="5"/>
  <c r="F466" i="5"/>
  <c r="F465" i="5"/>
  <c r="F464" i="5"/>
  <c r="F463" i="5"/>
  <c r="F462" i="5"/>
  <c r="F461" i="5"/>
  <c r="F460" i="5"/>
  <c r="F459" i="5"/>
  <c r="F458" i="5"/>
  <c r="F457" i="5"/>
  <c r="F456" i="5"/>
  <c r="F455" i="5"/>
  <c r="F454" i="5"/>
  <c r="F453" i="5"/>
  <c r="F452" i="5"/>
  <c r="F451" i="5"/>
  <c r="F450" i="5"/>
  <c r="F449" i="5"/>
  <c r="F448" i="5"/>
  <c r="F447" i="5"/>
  <c r="F446" i="5"/>
  <c r="F445" i="5"/>
  <c r="F444" i="5"/>
  <c r="F443" i="5"/>
  <c r="F442" i="5"/>
  <c r="F441" i="5"/>
  <c r="F440" i="5"/>
  <c r="F439" i="5"/>
  <c r="F438" i="5"/>
  <c r="F437" i="5"/>
  <c r="F436" i="5"/>
  <c r="F435" i="5"/>
  <c r="F434" i="5"/>
  <c r="F433" i="5"/>
  <c r="F432" i="5"/>
  <c r="F431" i="5"/>
  <c r="F430" i="5"/>
  <c r="F429" i="5"/>
  <c r="F428" i="5"/>
  <c r="F427" i="5"/>
  <c r="F426" i="5"/>
  <c r="F425" i="5"/>
  <c r="F424" i="5"/>
  <c r="F423" i="5"/>
  <c r="F422" i="5"/>
  <c r="F421" i="5"/>
  <c r="F420" i="5"/>
  <c r="F419" i="5"/>
  <c r="F418" i="5"/>
  <c r="F417" i="5"/>
  <c r="F416" i="5"/>
  <c r="F415" i="5"/>
  <c r="F414" i="5"/>
  <c r="F413" i="5"/>
  <c r="F412" i="5"/>
  <c r="F411" i="5"/>
  <c r="F410" i="5"/>
  <c r="F409" i="5"/>
  <c r="F408" i="5"/>
  <c r="F407" i="5"/>
  <c r="F406" i="5"/>
  <c r="F405" i="5"/>
  <c r="F404" i="5"/>
  <c r="F403" i="5"/>
  <c r="F402" i="5"/>
  <c r="F401" i="5"/>
  <c r="F400" i="5"/>
  <c r="F399" i="5"/>
  <c r="F398" i="5"/>
  <c r="F397" i="5"/>
  <c r="F396" i="5"/>
  <c r="F395" i="5"/>
  <c r="F394" i="5"/>
  <c r="F393" i="5"/>
  <c r="F392" i="5"/>
  <c r="F391" i="5"/>
  <c r="F390" i="5"/>
  <c r="F389" i="5"/>
  <c r="F388" i="5"/>
  <c r="F387" i="5"/>
  <c r="F386" i="5"/>
  <c r="F385" i="5"/>
  <c r="F384" i="5"/>
  <c r="F383" i="5"/>
  <c r="F382" i="5"/>
  <c r="F381" i="5"/>
  <c r="F380" i="5"/>
  <c r="F379" i="5"/>
  <c r="F378" i="5"/>
  <c r="F377" i="5"/>
  <c r="F376" i="5"/>
  <c r="F375" i="5"/>
  <c r="F374" i="5"/>
  <c r="F373" i="5"/>
  <c r="F372" i="5"/>
  <c r="F371" i="5"/>
  <c r="F370" i="5"/>
  <c r="F369" i="5"/>
  <c r="F368" i="5"/>
  <c r="F367" i="5"/>
  <c r="F366" i="5"/>
  <c r="F365" i="5"/>
  <c r="F364" i="5"/>
  <c r="F363" i="5"/>
  <c r="F362" i="5"/>
  <c r="F361" i="5"/>
  <c r="F360" i="5"/>
  <c r="F359" i="5"/>
  <c r="F358" i="5"/>
  <c r="F357" i="5"/>
  <c r="F356" i="5"/>
  <c r="F355" i="5"/>
  <c r="F354" i="5"/>
  <c r="F353" i="5"/>
  <c r="F352" i="5"/>
  <c r="F351" i="5"/>
  <c r="F350" i="5"/>
  <c r="F349" i="5"/>
  <c r="F348" i="5"/>
  <c r="F347" i="5"/>
  <c r="F346" i="5"/>
  <c r="F345" i="5"/>
  <c r="F344" i="5"/>
  <c r="F343" i="5"/>
  <c r="F342" i="5"/>
  <c r="F341" i="5"/>
  <c r="F340" i="5"/>
  <c r="F339" i="5"/>
  <c r="F338" i="5"/>
  <c r="F337" i="5"/>
  <c r="F336" i="5"/>
  <c r="F335" i="5"/>
  <c r="F334" i="5"/>
  <c r="F333" i="5"/>
  <c r="F332" i="5"/>
  <c r="F331" i="5"/>
  <c r="F330" i="5"/>
  <c r="F329" i="5"/>
  <c r="F328" i="5"/>
  <c r="F327" i="5"/>
  <c r="F326" i="5"/>
  <c r="F325" i="5"/>
  <c r="F324" i="5"/>
  <c r="F323" i="5"/>
  <c r="F322" i="5"/>
  <c r="F321" i="5"/>
  <c r="F320" i="5"/>
  <c r="F319" i="5"/>
  <c r="F318" i="5"/>
  <c r="F317" i="5"/>
  <c r="F316" i="5"/>
  <c r="F315" i="5"/>
  <c r="F314" i="5"/>
  <c r="F313" i="5"/>
  <c r="F312" i="5"/>
  <c r="F311" i="5"/>
  <c r="F310" i="5"/>
  <c r="F309" i="5"/>
  <c r="F308" i="5"/>
  <c r="F307" i="5"/>
  <c r="F306" i="5"/>
  <c r="F305" i="5"/>
  <c r="F304" i="5"/>
  <c r="F303" i="5"/>
  <c r="F302" i="5"/>
  <c r="F301" i="5"/>
  <c r="F300" i="5"/>
  <c r="F299" i="5"/>
  <c r="F298" i="5"/>
  <c r="F297" i="5"/>
  <c r="F296" i="5"/>
  <c r="F295" i="5"/>
  <c r="F294" i="5"/>
  <c r="F293" i="5"/>
  <c r="F292" i="5"/>
  <c r="F291" i="5"/>
  <c r="F290" i="5"/>
  <c r="F289" i="5"/>
  <c r="F288" i="5"/>
  <c r="F287" i="5"/>
  <c r="F286" i="5"/>
  <c r="F285" i="5"/>
  <c r="F284" i="5"/>
  <c r="F283" i="5"/>
  <c r="F282" i="5"/>
  <c r="F281" i="5"/>
  <c r="F280" i="5"/>
  <c r="F279" i="5"/>
  <c r="F278" i="5"/>
  <c r="F277" i="5"/>
  <c r="F276" i="5"/>
  <c r="F275" i="5"/>
  <c r="F274" i="5"/>
  <c r="F273" i="5"/>
  <c r="F272" i="5"/>
  <c r="F271" i="5"/>
  <c r="F270" i="5"/>
  <c r="F269" i="5"/>
  <c r="F268" i="5"/>
  <c r="F267" i="5"/>
  <c r="F266" i="5"/>
  <c r="F265" i="5"/>
  <c r="F264" i="5"/>
  <c r="F263" i="5"/>
  <c r="F262" i="5"/>
  <c r="F261" i="5"/>
  <c r="F260" i="5"/>
  <c r="F259" i="5"/>
  <c r="F258" i="5"/>
  <c r="F257" i="5"/>
  <c r="F256" i="5"/>
  <c r="F255" i="5"/>
  <c r="F254" i="5"/>
  <c r="F253" i="5"/>
  <c r="F252" i="5"/>
  <c r="F251" i="5"/>
  <c r="F250" i="5"/>
  <c r="F249" i="5"/>
  <c r="F248" i="5"/>
  <c r="F247" i="5"/>
  <c r="F246" i="5"/>
  <c r="F245" i="5"/>
  <c r="F244" i="5"/>
  <c r="F243" i="5"/>
  <c r="F242" i="5"/>
  <c r="F241" i="5"/>
  <c r="F240" i="5"/>
  <c r="F239" i="5"/>
  <c r="F238" i="5"/>
  <c r="F237" i="5"/>
  <c r="F236" i="5"/>
  <c r="F235" i="5"/>
  <c r="F234" i="5"/>
  <c r="F233" i="5"/>
  <c r="F232" i="5"/>
  <c r="F231" i="5"/>
  <c r="F230" i="5"/>
  <c r="F229" i="5"/>
  <c r="F228" i="5"/>
  <c r="F227" i="5"/>
  <c r="F226" i="5"/>
  <c r="F225" i="5"/>
  <c r="F224" i="5"/>
  <c r="F223" i="5"/>
  <c r="F222" i="5"/>
  <c r="F221" i="5"/>
  <c r="F220" i="5"/>
  <c r="F219" i="5"/>
  <c r="F218" i="5"/>
  <c r="F217" i="5"/>
  <c r="F216" i="5"/>
  <c r="F215" i="5"/>
  <c r="F214" i="5"/>
  <c r="F213" i="5"/>
  <c r="F212" i="5"/>
  <c r="F211" i="5"/>
  <c r="F210" i="5"/>
  <c r="F209" i="5"/>
  <c r="F208" i="5"/>
  <c r="F207" i="5"/>
  <c r="F206" i="5"/>
  <c r="F205" i="5"/>
  <c r="F204" i="5"/>
  <c r="F203" i="5"/>
  <c r="F202" i="5"/>
  <c r="F201" i="5"/>
  <c r="F200" i="5"/>
  <c r="F199" i="5"/>
  <c r="F198" i="5"/>
  <c r="F197" i="5"/>
  <c r="F196" i="5"/>
  <c r="F195" i="5"/>
  <c r="F194" i="5"/>
  <c r="F193" i="5"/>
  <c r="F192" i="5"/>
  <c r="F191" i="5"/>
  <c r="F190" i="5"/>
  <c r="F189" i="5"/>
  <c r="F188" i="5"/>
  <c r="F187" i="5"/>
  <c r="F186" i="5"/>
  <c r="F185" i="5"/>
  <c r="F184" i="5"/>
  <c r="F183" i="5"/>
  <c r="F182" i="5"/>
  <c r="F181" i="5"/>
  <c r="F180" i="5"/>
  <c r="F179" i="5"/>
  <c r="F178" i="5"/>
  <c r="F177" i="5"/>
  <c r="F176" i="5"/>
  <c r="F175" i="5"/>
  <c r="F174" i="5"/>
  <c r="F173" i="5"/>
  <c r="F172" i="5"/>
  <c r="F171" i="5"/>
  <c r="F170" i="5"/>
  <c r="F169" i="5"/>
  <c r="F168" i="5"/>
  <c r="F167" i="5"/>
  <c r="F166" i="5"/>
  <c r="F165" i="5"/>
  <c r="F164" i="5"/>
  <c r="F163" i="5"/>
  <c r="F162" i="5"/>
  <c r="F161" i="5"/>
  <c r="F160" i="5"/>
  <c r="F159" i="5"/>
  <c r="F158" i="5"/>
  <c r="F157" i="5"/>
  <c r="F156" i="5"/>
  <c r="F155" i="5"/>
  <c r="F154" i="5"/>
  <c r="F153" i="5"/>
  <c r="F152" i="5"/>
  <c r="F151" i="5"/>
  <c r="F150" i="5"/>
  <c r="F149" i="5"/>
  <c r="F148" i="5"/>
  <c r="F147" i="5"/>
  <c r="F146" i="5"/>
  <c r="F145" i="5"/>
  <c r="F144" i="5"/>
  <c r="F143" i="5"/>
  <c r="F142" i="5"/>
  <c r="F141" i="5"/>
  <c r="F140" i="5"/>
  <c r="F139" i="5"/>
  <c r="F138" i="5"/>
  <c r="F137" i="5"/>
  <c r="F136" i="5"/>
  <c r="F135" i="5"/>
  <c r="F134" i="5"/>
  <c r="F133" i="5"/>
  <c r="F132" i="5"/>
  <c r="F131" i="5"/>
  <c r="F130" i="5"/>
  <c r="F129" i="5"/>
  <c r="F128" i="5"/>
  <c r="F127" i="5"/>
  <c r="F126" i="5"/>
  <c r="F125" i="5"/>
  <c r="F124" i="5"/>
  <c r="F123" i="5"/>
  <c r="F122" i="5"/>
  <c r="F121" i="5"/>
  <c r="F120" i="5"/>
  <c r="F119" i="5"/>
  <c r="F118" i="5"/>
  <c r="F117" i="5"/>
  <c r="F116" i="5"/>
  <c r="F115" i="5"/>
  <c r="F114" i="5"/>
  <c r="F113" i="5"/>
  <c r="F112" i="5"/>
  <c r="F111" i="5"/>
  <c r="F110" i="5"/>
  <c r="F109" i="5"/>
  <c r="F108" i="5"/>
  <c r="F107" i="5"/>
  <c r="F106" i="5"/>
  <c r="F105" i="5"/>
  <c r="F104" i="5"/>
  <c r="F103" i="5"/>
  <c r="F102" i="5"/>
  <c r="F101" i="5"/>
  <c r="F100" i="5"/>
  <c r="F99" i="5"/>
  <c r="F98" i="5"/>
  <c r="F97" i="5"/>
  <c r="F96" i="5"/>
  <c r="F95" i="5"/>
  <c r="F94" i="5"/>
  <c r="F93" i="5"/>
  <c r="F92" i="5"/>
  <c r="F91" i="5"/>
  <c r="F90" i="5"/>
  <c r="F89" i="5"/>
  <c r="F88" i="5"/>
  <c r="F87" i="5"/>
  <c r="F86" i="5"/>
  <c r="F85" i="5"/>
  <c r="F84" i="5"/>
  <c r="F83" i="5"/>
  <c r="F82" i="5"/>
  <c r="F81" i="5"/>
  <c r="F80" i="5"/>
  <c r="F79" i="5"/>
  <c r="F78" i="5"/>
  <c r="F77" i="5"/>
  <c r="F76" i="5"/>
  <c r="F75" i="5"/>
  <c r="F74" i="5"/>
  <c r="F73" i="5"/>
  <c r="F72" i="5"/>
  <c r="F71" i="5"/>
  <c r="F70" i="5"/>
  <c r="F69" i="5"/>
  <c r="F68" i="5"/>
  <c r="F67" i="5"/>
  <c r="F66" i="5"/>
  <c r="F65" i="5"/>
  <c r="F64" i="5"/>
  <c r="F63" i="5"/>
  <c r="F62" i="5"/>
  <c r="F61" i="5"/>
  <c r="F60" i="5"/>
  <c r="F59" i="5"/>
  <c r="F58" i="5"/>
  <c r="F57" i="5"/>
  <c r="F56" i="5"/>
  <c r="F55" i="5"/>
  <c r="F54" i="5"/>
  <c r="F53" i="5"/>
  <c r="F52" i="5"/>
  <c r="F51" i="5"/>
  <c r="F50" i="5"/>
  <c r="F49" i="5"/>
  <c r="F48" i="5"/>
  <c r="F47" i="5"/>
  <c r="F46" i="5"/>
  <c r="F45" i="5"/>
  <c r="F44" i="5"/>
  <c r="F43" i="5"/>
  <c r="F42" i="5"/>
  <c r="F41" i="5"/>
  <c r="F40" i="5"/>
  <c r="F39" i="5"/>
  <c r="F38" i="5"/>
  <c r="F37" i="5"/>
  <c r="F36" i="5"/>
  <c r="F35" i="5"/>
  <c r="F34" i="5"/>
  <c r="F33" i="5"/>
  <c r="F32" i="5"/>
  <c r="F31" i="5"/>
  <c r="F30" i="5"/>
  <c r="F29" i="5"/>
  <c r="F28" i="5"/>
  <c r="F27" i="5"/>
  <c r="F26" i="5"/>
  <c r="F25" i="5"/>
  <c r="F24" i="5"/>
  <c r="F23" i="5"/>
  <c r="F22" i="5"/>
  <c r="F21" i="5"/>
  <c r="F20" i="5"/>
  <c r="F19" i="5"/>
  <c r="F18" i="5"/>
  <c r="F17" i="5"/>
  <c r="F16" i="5"/>
  <c r="F15" i="5"/>
  <c r="F14" i="5"/>
  <c r="F13" i="5"/>
  <c r="F12" i="5"/>
  <c r="F11" i="5"/>
  <c r="F10" i="5"/>
  <c r="F9" i="5"/>
  <c r="F8" i="5"/>
  <c r="F7" i="5"/>
  <c r="F6" i="5"/>
  <c r="F5" i="5"/>
  <c r="F4" i="5"/>
  <c r="F3" i="5"/>
  <c r="F2" i="5"/>
  <c r="C39" i="2"/>
  <c r="C38" i="2"/>
  <c r="C37" i="2"/>
  <c r="C36" i="2"/>
  <c r="C35" i="2"/>
  <c r="C34" i="2"/>
  <c r="C33" i="2"/>
  <c r="S57" i="8" s="1"/>
  <c r="S95" i="8" s="1"/>
  <c r="C32" i="2"/>
  <c r="R57" i="8" s="1"/>
  <c r="R95" i="8" s="1"/>
  <c r="C31" i="2"/>
  <c r="Q57" i="8" s="1"/>
  <c r="Q94" i="8" s="1"/>
  <c r="C30" i="2"/>
  <c r="P57" i="8" s="1"/>
  <c r="P98" i="8" s="1"/>
  <c r="C29" i="2"/>
  <c r="O57" i="8" s="1"/>
  <c r="O108" i="8" s="1"/>
  <c r="C28" i="2"/>
  <c r="N57" i="8" s="1"/>
  <c r="N108" i="8" s="1"/>
  <c r="C27" i="2"/>
  <c r="M57" i="8" s="1"/>
  <c r="C26" i="2"/>
  <c r="L57" i="8" s="1"/>
  <c r="L79" i="8" s="1"/>
  <c r="C25" i="2"/>
  <c r="K57" i="8" s="1"/>
  <c r="K75" i="8" s="1"/>
  <c r="C24" i="2"/>
  <c r="J57" i="8" s="1"/>
  <c r="J108" i="8" s="1"/>
  <c r="C23" i="2"/>
  <c r="I57" i="8" s="1"/>
  <c r="I68" i="8" s="1"/>
  <c r="C22" i="2"/>
  <c r="H57" i="8" s="1"/>
  <c r="C21" i="2"/>
  <c r="G57" i="8" s="1"/>
  <c r="C20" i="2"/>
  <c r="F57" i="8" s="1"/>
  <c r="F108" i="8" s="1"/>
  <c r="C19" i="2"/>
  <c r="E57" i="8" s="1"/>
  <c r="E111" i="8" s="1"/>
  <c r="C18" i="2"/>
  <c r="C17" i="2"/>
  <c r="C16" i="2"/>
  <c r="B57" i="8" s="1"/>
  <c r="B2" i="1"/>
  <c r="T111" i="8" l="1"/>
  <c r="T100" i="8"/>
  <c r="T89" i="8"/>
  <c r="T78" i="8"/>
  <c r="T67" i="8"/>
  <c r="T108" i="8"/>
  <c r="T97" i="8"/>
  <c r="T110" i="8"/>
  <c r="T99" i="8"/>
  <c r="T88" i="8"/>
  <c r="T77" i="8"/>
  <c r="T66" i="8"/>
  <c r="T109" i="8"/>
  <c r="T98" i="8"/>
  <c r="T87" i="8"/>
  <c r="T76" i="8"/>
  <c r="T65" i="8"/>
  <c r="T102" i="8"/>
  <c r="T72" i="8"/>
  <c r="T84" i="8"/>
  <c r="T106" i="8"/>
  <c r="T96" i="8"/>
  <c r="T68" i="8"/>
  <c r="T86" i="8"/>
  <c r="T80" i="8"/>
  <c r="T92" i="8"/>
  <c r="T73" i="8"/>
  <c r="T103" i="8"/>
  <c r="T85" i="8"/>
  <c r="T69" i="8"/>
  <c r="T107" i="8"/>
  <c r="T81" i="8"/>
  <c r="T93" i="8"/>
  <c r="T74" i="8"/>
  <c r="T104" i="8"/>
  <c r="T70" i="8"/>
  <c r="X68" i="8"/>
  <c r="S71" i="8"/>
  <c r="X80" i="8"/>
  <c r="X95" i="8"/>
  <c r="W102" i="8"/>
  <c r="W105" i="8"/>
  <c r="B25" i="13"/>
  <c r="B24" i="13"/>
  <c r="B22" i="13"/>
  <c r="B21" i="13"/>
  <c r="B17" i="13"/>
  <c r="B14" i="13"/>
  <c r="B12" i="13"/>
  <c r="B6" i="13"/>
  <c r="B9" i="13"/>
  <c r="B4" i="13"/>
  <c r="B8" i="13"/>
  <c r="B7" i="13"/>
  <c r="D7" i="8"/>
  <c r="D67" i="8" s="1"/>
  <c r="H7" i="8"/>
  <c r="H67" i="8" s="1"/>
  <c r="G7" i="8"/>
  <c r="G67" i="8" s="1"/>
  <c r="B109" i="8"/>
  <c r="B98" i="8"/>
  <c r="B87" i="8"/>
  <c r="B76" i="8"/>
  <c r="B65" i="8"/>
  <c r="B108" i="8"/>
  <c r="B97" i="8"/>
  <c r="B86" i="8"/>
  <c r="B75" i="8"/>
  <c r="B64" i="8"/>
  <c r="B106" i="8"/>
  <c r="B107" i="8"/>
  <c r="B96" i="8"/>
  <c r="B85" i="8"/>
  <c r="B74" i="8"/>
  <c r="B110" i="8"/>
  <c r="B104" i="8"/>
  <c r="B89" i="8"/>
  <c r="B70" i="8"/>
  <c r="B82" i="8"/>
  <c r="B91" i="8"/>
  <c r="B72" i="8"/>
  <c r="B94" i="8"/>
  <c r="B66" i="8"/>
  <c r="B78" i="8"/>
  <c r="B101" i="8"/>
  <c r="B90" i="8"/>
  <c r="B111" i="8"/>
  <c r="B105" i="8"/>
  <c r="B71" i="8"/>
  <c r="B83" i="8"/>
  <c r="B2" i="13" s="1"/>
  <c r="B95" i="8"/>
  <c r="B67" i="8"/>
  <c r="B79" i="8"/>
  <c r="B102" i="8"/>
  <c r="B84" i="8"/>
  <c r="U111" i="8"/>
  <c r="U100" i="8"/>
  <c r="U89" i="8"/>
  <c r="U78" i="8"/>
  <c r="U67" i="8"/>
  <c r="U110" i="8"/>
  <c r="U99" i="8"/>
  <c r="U88" i="8"/>
  <c r="U77" i="8"/>
  <c r="U66" i="8"/>
  <c r="U109" i="8"/>
  <c r="U98" i="8"/>
  <c r="U87" i="8"/>
  <c r="U76" i="8"/>
  <c r="U65" i="8"/>
  <c r="U108" i="8"/>
  <c r="U97" i="8"/>
  <c r="U86" i="8"/>
  <c r="U75" i="8"/>
  <c r="U64" i="8"/>
  <c r="U84" i="8"/>
  <c r="U106" i="8"/>
  <c r="U96" i="8"/>
  <c r="U68" i="8"/>
  <c r="U70" i="8"/>
  <c r="U80" i="8"/>
  <c r="U104" i="8"/>
  <c r="U92" i="8"/>
  <c r="U73" i="8"/>
  <c r="U103" i="8"/>
  <c r="U85" i="8"/>
  <c r="U69" i="8"/>
  <c r="U107" i="8"/>
  <c r="U81" i="8"/>
  <c r="U93" i="8"/>
  <c r="U74" i="8"/>
  <c r="U82" i="8"/>
  <c r="Y68" i="8"/>
  <c r="T71" i="8"/>
  <c r="Y80" i="8"/>
  <c r="X102" i="8"/>
  <c r="X105" i="8"/>
  <c r="V110" i="8"/>
  <c r="V99" i="8"/>
  <c r="V88" i="8"/>
  <c r="V77" i="8"/>
  <c r="V66" i="8"/>
  <c r="V109" i="8"/>
  <c r="V98" i="8"/>
  <c r="V87" i="8"/>
  <c r="V76" i="8"/>
  <c r="V65" i="8"/>
  <c r="V107" i="8"/>
  <c r="V96" i="8"/>
  <c r="V108" i="8"/>
  <c r="V97" i="8"/>
  <c r="V86" i="8"/>
  <c r="V75" i="8"/>
  <c r="V64" i="8"/>
  <c r="V106" i="8"/>
  <c r="V68" i="8"/>
  <c r="V80" i="8"/>
  <c r="V92" i="8"/>
  <c r="V70" i="8"/>
  <c r="V73" i="8"/>
  <c r="V103" i="8"/>
  <c r="V85" i="8"/>
  <c r="V69" i="8"/>
  <c r="V81" i="8"/>
  <c r="V93" i="8"/>
  <c r="V74" i="8"/>
  <c r="V82" i="8"/>
  <c r="V100" i="8"/>
  <c r="V89" i="8"/>
  <c r="V104" i="8"/>
  <c r="V94" i="8"/>
  <c r="U71" i="8"/>
  <c r="W83" i="8"/>
  <c r="B23" i="13" s="1"/>
  <c r="Y102" i="8"/>
  <c r="T75" i="8"/>
  <c r="X84" i="8"/>
  <c r="T91" i="8"/>
  <c r="H11" i="8"/>
  <c r="H71" i="8" s="1"/>
  <c r="H39" i="8"/>
  <c r="H99" i="8" s="1"/>
  <c r="G33" i="8"/>
  <c r="G93" i="8" s="1"/>
  <c r="G50" i="8"/>
  <c r="G110" i="8" s="1"/>
  <c r="L67" i="8"/>
  <c r="N82" i="8"/>
  <c r="V91" i="8"/>
  <c r="N104" i="8"/>
  <c r="N107" i="8"/>
  <c r="D50" i="8"/>
  <c r="D110" i="8" s="1"/>
  <c r="X72" i="8"/>
  <c r="V78" i="8"/>
  <c r="U91" i="8"/>
  <c r="L104" i="8"/>
  <c r="L93" i="8"/>
  <c r="L82" i="8"/>
  <c r="L71" i="8"/>
  <c r="L103" i="8"/>
  <c r="L92" i="8"/>
  <c r="L81" i="8"/>
  <c r="L70" i="8"/>
  <c r="L102" i="8"/>
  <c r="L91" i="8"/>
  <c r="L80" i="8"/>
  <c r="L69" i="8"/>
  <c r="L108" i="8"/>
  <c r="L98" i="8"/>
  <c r="L94" i="8"/>
  <c r="L75" i="8"/>
  <c r="L87" i="8"/>
  <c r="L100" i="8"/>
  <c r="L77" i="8"/>
  <c r="L68" i="8"/>
  <c r="L105" i="8"/>
  <c r="L83" i="8"/>
  <c r="L99" i="8"/>
  <c r="L95" i="8"/>
  <c r="L64" i="8"/>
  <c r="L109" i="8"/>
  <c r="L76" i="8"/>
  <c r="L88" i="8"/>
  <c r="L72" i="8"/>
  <c r="L84" i="8"/>
  <c r="L106" i="8"/>
  <c r="L96" i="8"/>
  <c r="L65" i="8"/>
  <c r="L110" i="8"/>
  <c r="L89" i="8"/>
  <c r="M23" i="8"/>
  <c r="M83" i="8" s="1"/>
  <c r="B13" i="13" s="1"/>
  <c r="R64" i="8"/>
  <c r="B73" i="8"/>
  <c r="T79" i="8"/>
  <c r="O82" i="8"/>
  <c r="W91" i="8"/>
  <c r="R94" i="8"/>
  <c r="N97" i="8"/>
  <c r="O104" i="8"/>
  <c r="S64" i="8"/>
  <c r="N67" i="8"/>
  <c r="U79" i="8"/>
  <c r="P82" i="8"/>
  <c r="S94" i="8"/>
  <c r="P104" i="8"/>
  <c r="L111" i="8"/>
  <c r="X109" i="8"/>
  <c r="X98" i="8"/>
  <c r="X87" i="8"/>
  <c r="X76" i="8"/>
  <c r="X65" i="8"/>
  <c r="X106" i="8"/>
  <c r="X108" i="8"/>
  <c r="X97" i="8"/>
  <c r="X86" i="8"/>
  <c r="X75" i="8"/>
  <c r="X64" i="8"/>
  <c r="X107" i="8"/>
  <c r="X96" i="8"/>
  <c r="X85" i="8"/>
  <c r="X74" i="8"/>
  <c r="X92" i="8"/>
  <c r="X99" i="8"/>
  <c r="X73" i="8"/>
  <c r="X66" i="8"/>
  <c r="X103" i="8"/>
  <c r="X88" i="8"/>
  <c r="X69" i="8"/>
  <c r="X81" i="8"/>
  <c r="X93" i="8"/>
  <c r="X77" i="8"/>
  <c r="X100" i="8"/>
  <c r="X89" i="8"/>
  <c r="X78" i="8"/>
  <c r="X110" i="8"/>
  <c r="X104" i="8"/>
  <c r="X70" i="8"/>
  <c r="X82" i="8"/>
  <c r="X94" i="8"/>
  <c r="X101" i="8"/>
  <c r="X90" i="8"/>
  <c r="W71" i="8"/>
  <c r="W106" i="8"/>
  <c r="Y109" i="8"/>
  <c r="Y98" i="8"/>
  <c r="Y87" i="8"/>
  <c r="Y76" i="8"/>
  <c r="Y65" i="8"/>
  <c r="Y108" i="8"/>
  <c r="Y97" i="8"/>
  <c r="Y86" i="8"/>
  <c r="Y75" i="8"/>
  <c r="Y64" i="8"/>
  <c r="Y107" i="8"/>
  <c r="Y96" i="8"/>
  <c r="Y85" i="8"/>
  <c r="Y74" i="8"/>
  <c r="Y106" i="8"/>
  <c r="Y95" i="8"/>
  <c r="Y84" i="8"/>
  <c r="Y73" i="8"/>
  <c r="Y99" i="8"/>
  <c r="Y103" i="8"/>
  <c r="Y88" i="8"/>
  <c r="Y69" i="8"/>
  <c r="Y78" i="8"/>
  <c r="Y101" i="8"/>
  <c r="Y111" i="8"/>
  <c r="Y105" i="8"/>
  <c r="Y81" i="8"/>
  <c r="Y93" i="8"/>
  <c r="Y77" i="8"/>
  <c r="Y100" i="8"/>
  <c r="Y89" i="8"/>
  <c r="Y110" i="8"/>
  <c r="Y104" i="8"/>
  <c r="Y70" i="8"/>
  <c r="Y90" i="8"/>
  <c r="Y82" i="8"/>
  <c r="Y94" i="8"/>
  <c r="Y66" i="8"/>
  <c r="Y71" i="8"/>
  <c r="U90" i="8"/>
  <c r="D11" i="8"/>
  <c r="D71" i="8" s="1"/>
  <c r="D33" i="8"/>
  <c r="D93" i="8" s="1"/>
  <c r="H17" i="8"/>
  <c r="H77" i="8" s="1"/>
  <c r="G34" i="8"/>
  <c r="G94" i="8" s="1"/>
  <c r="G51" i="8"/>
  <c r="G111" i="8" s="1"/>
  <c r="W67" i="8"/>
  <c r="P70" i="8"/>
  <c r="L73" i="8"/>
  <c r="W79" i="8"/>
  <c r="R82" i="8"/>
  <c r="B92" i="8"/>
  <c r="U94" i="8"/>
  <c r="O98" i="8"/>
  <c r="R104" i="8"/>
  <c r="P108" i="8"/>
  <c r="V111" i="8"/>
  <c r="N103" i="8"/>
  <c r="N92" i="8"/>
  <c r="N81" i="8"/>
  <c r="N70" i="8"/>
  <c r="N111" i="8"/>
  <c r="N102" i="8"/>
  <c r="N91" i="8"/>
  <c r="N80" i="8"/>
  <c r="N69" i="8"/>
  <c r="N100" i="8"/>
  <c r="N101" i="8"/>
  <c r="N90" i="8"/>
  <c r="N79" i="8"/>
  <c r="N68" i="8"/>
  <c r="N87" i="8"/>
  <c r="N71" i="8"/>
  <c r="N105" i="8"/>
  <c r="N83" i="8"/>
  <c r="N99" i="8"/>
  <c r="N95" i="8"/>
  <c r="N64" i="8"/>
  <c r="N110" i="8"/>
  <c r="N109" i="8"/>
  <c r="N76" i="8"/>
  <c r="N88" i="8"/>
  <c r="N72" i="8"/>
  <c r="N84" i="8"/>
  <c r="N73" i="8"/>
  <c r="N106" i="8"/>
  <c r="N96" i="8"/>
  <c r="N65" i="8"/>
  <c r="N77" i="8"/>
  <c r="N89" i="8"/>
  <c r="N85" i="8"/>
  <c r="G6" i="8"/>
  <c r="G66" i="8" s="1"/>
  <c r="D6" i="8"/>
  <c r="D66" i="8" s="1"/>
  <c r="G12" i="8"/>
  <c r="G72" i="8" s="1"/>
  <c r="M12" i="8"/>
  <c r="M72" i="8" s="1"/>
  <c r="H12" i="8"/>
  <c r="H72" i="8" s="1"/>
  <c r="G13" i="8"/>
  <c r="G73" i="8" s="1"/>
  <c r="D13" i="8"/>
  <c r="D73" i="8" s="1"/>
  <c r="H13" i="8"/>
  <c r="H73" i="8" s="1"/>
  <c r="M19" i="8"/>
  <c r="M79" i="8" s="1"/>
  <c r="H19" i="8"/>
  <c r="H79" i="8" s="1"/>
  <c r="D51" i="8"/>
  <c r="D111" i="8" s="1"/>
  <c r="T64" i="8"/>
  <c r="B77" i="8"/>
  <c r="L85" i="8"/>
  <c r="Y91" i="8"/>
  <c r="N98" i="8"/>
  <c r="D45" i="8"/>
  <c r="D105" i="8" s="1"/>
  <c r="M45" i="8"/>
  <c r="M105" i="8" s="1"/>
  <c r="H45" i="8"/>
  <c r="H105" i="8" s="1"/>
  <c r="G45" i="8"/>
  <c r="G105" i="8" s="1"/>
  <c r="Q102" i="8"/>
  <c r="Q91" i="8"/>
  <c r="Q80" i="8"/>
  <c r="Q69" i="8"/>
  <c r="Q101" i="8"/>
  <c r="Q90" i="8"/>
  <c r="Q79" i="8"/>
  <c r="Q68" i="8"/>
  <c r="Q111" i="8"/>
  <c r="Q100" i="8"/>
  <c r="Q89" i="8"/>
  <c r="Q78" i="8"/>
  <c r="Q67" i="8"/>
  <c r="Q110" i="8"/>
  <c r="Q99" i="8"/>
  <c r="Q88" i="8"/>
  <c r="Q77" i="8"/>
  <c r="Q66" i="8"/>
  <c r="Q95" i="8"/>
  <c r="Q64" i="8"/>
  <c r="Q109" i="8"/>
  <c r="Q76" i="8"/>
  <c r="Q97" i="8"/>
  <c r="Q81" i="8"/>
  <c r="Q72" i="8"/>
  <c r="Q84" i="8"/>
  <c r="Q106" i="8"/>
  <c r="Q96" i="8"/>
  <c r="Q65" i="8"/>
  <c r="Q92" i="8"/>
  <c r="Q107" i="8"/>
  <c r="Q73" i="8"/>
  <c r="Q103" i="8"/>
  <c r="Q85" i="8"/>
  <c r="Q93" i="8"/>
  <c r="H34" i="8"/>
  <c r="H94" i="8" s="1"/>
  <c r="H51" i="8"/>
  <c r="H111" i="8" s="1"/>
  <c r="X67" i="8"/>
  <c r="Q70" i="8"/>
  <c r="X79" i="8"/>
  <c r="S82" i="8"/>
  <c r="L101" i="8"/>
  <c r="Q105" i="8"/>
  <c r="Q108" i="8"/>
  <c r="M6" i="8"/>
  <c r="M66" i="8" s="1"/>
  <c r="G40" i="8"/>
  <c r="G100" i="8" s="1"/>
  <c r="M22" i="8"/>
  <c r="M82" i="8" s="1"/>
  <c r="M28" i="8"/>
  <c r="M88" i="8" s="1"/>
  <c r="H28" i="8"/>
  <c r="H88" i="8" s="1"/>
  <c r="D29" i="8"/>
  <c r="D89" i="8" s="1"/>
  <c r="M29" i="8"/>
  <c r="M89" i="8" s="1"/>
  <c r="G29" i="8"/>
  <c r="G89" i="8" s="1"/>
  <c r="H29" i="8"/>
  <c r="H89" i="8" s="1"/>
  <c r="H31" i="8"/>
  <c r="H91" i="8" s="1"/>
  <c r="G31" i="8"/>
  <c r="G91" i="8" s="1"/>
  <c r="D31" i="8"/>
  <c r="D91" i="8" s="1"/>
  <c r="G36" i="8"/>
  <c r="G96" i="8" s="1"/>
  <c r="D36" i="8"/>
  <c r="D96" i="8" s="1"/>
  <c r="H36" i="8"/>
  <c r="H96" i="8" s="1"/>
  <c r="M38" i="8"/>
  <c r="M98" i="8" s="1"/>
  <c r="H38" i="8"/>
  <c r="H98" i="8" s="1"/>
  <c r="M35" i="8"/>
  <c r="M95" i="8" s="1"/>
  <c r="V67" i="8"/>
  <c r="V79" i="8"/>
  <c r="T94" i="8"/>
  <c r="P102" i="8"/>
  <c r="P91" i="8"/>
  <c r="P80" i="8"/>
  <c r="P69" i="8"/>
  <c r="P99" i="8"/>
  <c r="P101" i="8"/>
  <c r="P90" i="8"/>
  <c r="P79" i="8"/>
  <c r="P68" i="8"/>
  <c r="P110" i="8"/>
  <c r="P111" i="8"/>
  <c r="P100" i="8"/>
  <c r="P89" i="8"/>
  <c r="P78" i="8"/>
  <c r="P67" i="8"/>
  <c r="P105" i="8"/>
  <c r="P83" i="8"/>
  <c r="B16" i="13" s="1"/>
  <c r="P95" i="8"/>
  <c r="P64" i="8"/>
  <c r="P109" i="8"/>
  <c r="P76" i="8"/>
  <c r="P66" i="8"/>
  <c r="P88" i="8"/>
  <c r="P72" i="8"/>
  <c r="P84" i="8"/>
  <c r="P106" i="8"/>
  <c r="P96" i="8"/>
  <c r="P65" i="8"/>
  <c r="P77" i="8"/>
  <c r="P92" i="8"/>
  <c r="P73" i="8"/>
  <c r="P103" i="8"/>
  <c r="P85" i="8"/>
  <c r="P107" i="8"/>
  <c r="P97" i="8"/>
  <c r="P81" i="8"/>
  <c r="R101" i="8"/>
  <c r="R90" i="8"/>
  <c r="R79" i="8"/>
  <c r="R68" i="8"/>
  <c r="R109" i="8"/>
  <c r="R111" i="8"/>
  <c r="R100" i="8"/>
  <c r="R89" i="8"/>
  <c r="R78" i="8"/>
  <c r="R67" i="8"/>
  <c r="R110" i="8"/>
  <c r="R99" i="8"/>
  <c r="R88" i="8"/>
  <c r="R77" i="8"/>
  <c r="R66" i="8"/>
  <c r="R76" i="8"/>
  <c r="R91" i="8"/>
  <c r="R102" i="8"/>
  <c r="R72" i="8"/>
  <c r="R93" i="8"/>
  <c r="R84" i="8"/>
  <c r="R106" i="8"/>
  <c r="R96" i="8"/>
  <c r="R65" i="8"/>
  <c r="R80" i="8"/>
  <c r="R92" i="8"/>
  <c r="R73" i="8"/>
  <c r="R103" i="8"/>
  <c r="R85" i="8"/>
  <c r="R97" i="8"/>
  <c r="R69" i="8"/>
  <c r="R107" i="8"/>
  <c r="R81" i="8"/>
  <c r="R74" i="8"/>
  <c r="H30" i="8"/>
  <c r="H90" i="8" s="1"/>
  <c r="G30" i="8"/>
  <c r="G90" i="8" s="1"/>
  <c r="D30" i="8"/>
  <c r="D90" i="8" s="1"/>
  <c r="H48" i="8"/>
  <c r="H108" i="8" s="1"/>
  <c r="D18" i="8"/>
  <c r="D78" i="8" s="1"/>
  <c r="Y67" i="8"/>
  <c r="R70" i="8"/>
  <c r="Y79" i="8"/>
  <c r="T82" i="8"/>
  <c r="Q98" i="8"/>
  <c r="T101" i="8"/>
  <c r="R105" i="8"/>
  <c r="R108" i="8"/>
  <c r="X111" i="8"/>
  <c r="W110" i="8"/>
  <c r="W99" i="8"/>
  <c r="W88" i="8"/>
  <c r="W77" i="8"/>
  <c r="W66" i="8"/>
  <c r="W109" i="8"/>
  <c r="W98" i="8"/>
  <c r="W87" i="8"/>
  <c r="W76" i="8"/>
  <c r="W65" i="8"/>
  <c r="W108" i="8"/>
  <c r="W97" i="8"/>
  <c r="W86" i="8"/>
  <c r="W75" i="8"/>
  <c r="W64" i="8"/>
  <c r="W107" i="8"/>
  <c r="W96" i="8"/>
  <c r="W85" i="8"/>
  <c r="W74" i="8"/>
  <c r="W80" i="8"/>
  <c r="W92" i="8"/>
  <c r="W73" i="8"/>
  <c r="W82" i="8"/>
  <c r="W94" i="8"/>
  <c r="W101" i="8"/>
  <c r="W103" i="8"/>
  <c r="W69" i="8"/>
  <c r="W81" i="8"/>
  <c r="W93" i="8"/>
  <c r="W100" i="8"/>
  <c r="W89" i="8"/>
  <c r="W104" i="8"/>
  <c r="W70" i="8"/>
  <c r="W78" i="8"/>
  <c r="U72" i="8"/>
  <c r="V84" i="8"/>
  <c r="B88" i="8"/>
  <c r="V90" i="8"/>
  <c r="M13" i="8"/>
  <c r="M73" i="8" s="1"/>
  <c r="H5" i="8"/>
  <c r="H65" i="8" s="1"/>
  <c r="M5" i="8"/>
  <c r="M65" i="8" s="1"/>
  <c r="D17" i="8"/>
  <c r="D77" i="8" s="1"/>
  <c r="S101" i="8"/>
  <c r="S90" i="8"/>
  <c r="S79" i="8"/>
  <c r="S68" i="8"/>
  <c r="S111" i="8"/>
  <c r="S100" i="8"/>
  <c r="S89" i="8"/>
  <c r="S78" i="8"/>
  <c r="S67" i="8"/>
  <c r="S110" i="8"/>
  <c r="S99" i="8"/>
  <c r="S88" i="8"/>
  <c r="S77" i="8"/>
  <c r="S66" i="8"/>
  <c r="S109" i="8"/>
  <c r="S98" i="8"/>
  <c r="S87" i="8"/>
  <c r="S76" i="8"/>
  <c r="S65" i="8"/>
  <c r="S91" i="8"/>
  <c r="S102" i="8"/>
  <c r="S72" i="8"/>
  <c r="S84" i="8"/>
  <c r="S74" i="8"/>
  <c r="S106" i="8"/>
  <c r="S96" i="8"/>
  <c r="S104" i="8"/>
  <c r="S80" i="8"/>
  <c r="S92" i="8"/>
  <c r="S73" i="8"/>
  <c r="S103" i="8"/>
  <c r="S85" i="8"/>
  <c r="S69" i="8"/>
  <c r="S107" i="8"/>
  <c r="S97" i="8"/>
  <c r="S81" i="8"/>
  <c r="S93" i="8"/>
  <c r="S86" i="8"/>
  <c r="D35" i="8"/>
  <c r="D95" i="8" s="1"/>
  <c r="B68" i="8"/>
  <c r="S70" i="8"/>
  <c r="B80" i="8"/>
  <c r="L86" i="8"/>
  <c r="T95" i="8"/>
  <c r="R98" i="8"/>
  <c r="U101" i="8"/>
  <c r="S105" i="8"/>
  <c r="S108" i="8"/>
  <c r="H18" i="8"/>
  <c r="H78" i="8" s="1"/>
  <c r="G35" i="8"/>
  <c r="G95" i="8" s="1"/>
  <c r="P71" i="8"/>
  <c r="L74" i="8"/>
  <c r="R83" i="8"/>
  <c r="B18" i="13" s="1"/>
  <c r="U95" i="8"/>
  <c r="B99" i="8"/>
  <c r="V101" i="8"/>
  <c r="T105" i="8"/>
  <c r="V72" i="8"/>
  <c r="W84" i="8"/>
  <c r="W90" i="8"/>
  <c r="H14" i="8"/>
  <c r="H74" i="8" s="1"/>
  <c r="H47" i="8"/>
  <c r="H107" i="8" s="1"/>
  <c r="W72" i="8"/>
  <c r="D39" i="8"/>
  <c r="D99" i="8" s="1"/>
  <c r="H46" i="8"/>
  <c r="H106" i="8" s="1"/>
  <c r="G46" i="8"/>
  <c r="G106" i="8" s="1"/>
  <c r="D46" i="8"/>
  <c r="D106" i="8" s="1"/>
  <c r="O103" i="8"/>
  <c r="O92" i="8"/>
  <c r="O81" i="8"/>
  <c r="O70" i="8"/>
  <c r="O102" i="8"/>
  <c r="O91" i="8"/>
  <c r="O80" i="8"/>
  <c r="O69" i="8"/>
  <c r="O101" i="8"/>
  <c r="O90" i="8"/>
  <c r="O79" i="8"/>
  <c r="O68" i="8"/>
  <c r="O111" i="8"/>
  <c r="O100" i="8"/>
  <c r="O89" i="8"/>
  <c r="O78" i="8"/>
  <c r="O67" i="8"/>
  <c r="O71" i="8"/>
  <c r="O105" i="8"/>
  <c r="O83" i="8"/>
  <c r="B15" i="13" s="1"/>
  <c r="O99" i="8"/>
  <c r="O95" i="8"/>
  <c r="O64" i="8"/>
  <c r="O73" i="8"/>
  <c r="O97" i="8"/>
  <c r="O109" i="8"/>
  <c r="O76" i="8"/>
  <c r="O88" i="8"/>
  <c r="O72" i="8"/>
  <c r="O84" i="8"/>
  <c r="O106" i="8"/>
  <c r="O96" i="8"/>
  <c r="O65" i="8"/>
  <c r="O85" i="8"/>
  <c r="O107" i="8"/>
  <c r="O77" i="8"/>
  <c r="O110" i="8"/>
  <c r="O66" i="8"/>
  <c r="M44" i="8"/>
  <c r="M104" i="8" s="1"/>
  <c r="D24" i="8"/>
  <c r="D84" i="8" s="1"/>
  <c r="M18" i="8"/>
  <c r="M78" i="8" s="1"/>
  <c r="H35" i="8"/>
  <c r="H95" i="8" s="1"/>
  <c r="Q71" i="8"/>
  <c r="S83" i="8"/>
  <c r="B19" i="13" s="1"/>
  <c r="N86" i="8"/>
  <c r="Y92" i="8"/>
  <c r="V95" i="8"/>
  <c r="U102" i="8"/>
  <c r="U105" i="8"/>
  <c r="X71" i="8"/>
  <c r="T90" i="8"/>
  <c r="H16" i="8"/>
  <c r="H76" i="8" s="1"/>
  <c r="G20" i="8"/>
  <c r="G80" i="8" s="1"/>
  <c r="H20" i="8"/>
  <c r="H80" i="8" s="1"/>
  <c r="D20" i="8"/>
  <c r="D80" i="8" s="1"/>
  <c r="H49" i="8"/>
  <c r="H109" i="8" s="1"/>
  <c r="H4" i="8"/>
  <c r="H64" i="8" s="1"/>
  <c r="H23" i="8"/>
  <c r="H83" i="8" s="1"/>
  <c r="G23" i="8"/>
  <c r="G83" i="8" s="1"/>
  <c r="D23" i="8"/>
  <c r="D83" i="8" s="1"/>
  <c r="H26" i="8"/>
  <c r="H86" i="8" s="1"/>
  <c r="D19" i="8"/>
  <c r="D79" i="8" s="1"/>
  <c r="W68" i="8"/>
  <c r="R71" i="8"/>
  <c r="N74" i="8"/>
  <c r="T83" i="8"/>
  <c r="B20" i="13" s="1"/>
  <c r="O86" i="8"/>
  <c r="B93" i="8"/>
  <c r="W95" i="8"/>
  <c r="V102" i="8"/>
  <c r="V105" i="8"/>
  <c r="D43" i="8"/>
  <c r="D103" i="8" s="1"/>
  <c r="D22" i="8"/>
  <c r="D82" i="8" s="1"/>
  <c r="C109" i="8"/>
  <c r="C98" i="8"/>
  <c r="C87" i="8"/>
  <c r="C76" i="8"/>
  <c r="C65" i="8"/>
  <c r="C108" i="8"/>
  <c r="C97" i="8"/>
  <c r="C86" i="8"/>
  <c r="C75" i="8"/>
  <c r="C64" i="8"/>
  <c r="C107" i="8"/>
  <c r="C96" i="8"/>
  <c r="C85" i="8"/>
  <c r="C74" i="8"/>
  <c r="C106" i="8"/>
  <c r="C95" i="8"/>
  <c r="C84" i="8"/>
  <c r="C73" i="8"/>
  <c r="F68" i="8"/>
  <c r="E87" i="8"/>
  <c r="J88" i="8"/>
  <c r="C91" i="8"/>
  <c r="C102" i="8"/>
  <c r="H42" i="8"/>
  <c r="H102" i="8" s="1"/>
  <c r="G42" i="8"/>
  <c r="G102" i="8" s="1"/>
  <c r="J76" i="8"/>
  <c r="C79" i="8"/>
  <c r="F87" i="8"/>
  <c r="K88" i="8"/>
  <c r="J109" i="8"/>
  <c r="J64" i="8"/>
  <c r="C67" i="8"/>
  <c r="F75" i="8"/>
  <c r="K76" i="8"/>
  <c r="I80" i="8"/>
  <c r="E91" i="8"/>
  <c r="J95" i="8"/>
  <c r="E98" i="8"/>
  <c r="J99" i="8"/>
  <c r="E102" i="8"/>
  <c r="K109" i="8"/>
  <c r="K64" i="8"/>
  <c r="E79" i="8"/>
  <c r="J80" i="8"/>
  <c r="C83" i="8"/>
  <c r="B3" i="13" s="1"/>
  <c r="F91" i="8"/>
  <c r="K95" i="8"/>
  <c r="F98" i="8"/>
  <c r="K99" i="8"/>
  <c r="F102" i="8"/>
  <c r="B8" i="9"/>
  <c r="C8" i="9" s="1"/>
  <c r="F107" i="8"/>
  <c r="F96" i="8"/>
  <c r="F85" i="8"/>
  <c r="F74" i="8"/>
  <c r="F106" i="8"/>
  <c r="F95" i="8"/>
  <c r="F84" i="8"/>
  <c r="F73" i="8"/>
  <c r="F104" i="8"/>
  <c r="F105" i="8"/>
  <c r="F94" i="8"/>
  <c r="F83" i="8"/>
  <c r="F72" i="8"/>
  <c r="H43" i="8"/>
  <c r="H103" i="8" s="1"/>
  <c r="H6" i="8"/>
  <c r="H66" i="8" s="1"/>
  <c r="I106" i="8"/>
  <c r="I95" i="8"/>
  <c r="I84" i="8"/>
  <c r="I73" i="8"/>
  <c r="I105" i="8"/>
  <c r="I94" i="8"/>
  <c r="I83" i="8"/>
  <c r="I72" i="8"/>
  <c r="I104" i="8"/>
  <c r="I93" i="8"/>
  <c r="I82" i="8"/>
  <c r="I71" i="8"/>
  <c r="I103" i="8"/>
  <c r="I92" i="8"/>
  <c r="I81" i="8"/>
  <c r="I70" i="8"/>
  <c r="I13" i="9" s="1"/>
  <c r="I15" i="9" s="1"/>
  <c r="D14" i="8"/>
  <c r="D74" i="8" s="1"/>
  <c r="G39" i="8"/>
  <c r="G99" i="8" s="1"/>
  <c r="E67" i="8"/>
  <c r="J68" i="8"/>
  <c r="C71" i="8"/>
  <c r="F79" i="8"/>
  <c r="I87" i="8"/>
  <c r="C105" i="8"/>
  <c r="C111" i="8"/>
  <c r="M46" i="8"/>
  <c r="M106" i="8" s="1"/>
  <c r="F67" i="8"/>
  <c r="F13" i="9" s="1"/>
  <c r="F15" i="9" s="1"/>
  <c r="K68" i="8"/>
  <c r="I75" i="8"/>
  <c r="J87" i="8"/>
  <c r="C90" i="8"/>
  <c r="C101" i="8"/>
  <c r="G22" i="8"/>
  <c r="G82" i="8" s="1"/>
  <c r="G14" i="8"/>
  <c r="G74" i="8" s="1"/>
  <c r="M30" i="8"/>
  <c r="M90" i="8" s="1"/>
  <c r="M39" i="8"/>
  <c r="M99" i="8" s="1"/>
  <c r="D47" i="8"/>
  <c r="D107" i="8" s="1"/>
  <c r="E71" i="8"/>
  <c r="J75" i="8"/>
  <c r="C78" i="8"/>
  <c r="F86" i="8"/>
  <c r="K87" i="8"/>
  <c r="I91" i="8"/>
  <c r="I98" i="8"/>
  <c r="I102" i="8"/>
  <c r="I108" i="8"/>
  <c r="E108" i="8"/>
  <c r="E97" i="8"/>
  <c r="E86" i="8"/>
  <c r="E75" i="8"/>
  <c r="E64" i="8"/>
  <c r="E107" i="8"/>
  <c r="E96" i="8"/>
  <c r="E85" i="8"/>
  <c r="E74" i="8"/>
  <c r="E106" i="8"/>
  <c r="E95" i="8"/>
  <c r="E84" i="8"/>
  <c r="E73" i="8"/>
  <c r="E105" i="8"/>
  <c r="E94" i="8"/>
  <c r="E83" i="8"/>
  <c r="B5" i="13" s="1"/>
  <c r="E72" i="8"/>
  <c r="G49" i="8"/>
  <c r="G109" i="8" s="1"/>
  <c r="H15" i="8"/>
  <c r="H75" i="8" s="1"/>
  <c r="H37" i="8"/>
  <c r="H97" i="8" s="1"/>
  <c r="D40" i="8"/>
  <c r="D100" i="8" s="1"/>
  <c r="G47" i="8"/>
  <c r="G107" i="8" s="1"/>
  <c r="C66" i="8"/>
  <c r="F71" i="8"/>
  <c r="I79" i="8"/>
  <c r="E90" i="8"/>
  <c r="J91" i="8"/>
  <c r="C94" i="8"/>
  <c r="J98" i="8"/>
  <c r="E101" i="8"/>
  <c r="F111" i="8"/>
  <c r="J105" i="8"/>
  <c r="J94" i="8"/>
  <c r="J83" i="8"/>
  <c r="B10" i="13" s="1"/>
  <c r="J72" i="8"/>
  <c r="J102" i="8"/>
  <c r="J104" i="8"/>
  <c r="J93" i="8"/>
  <c r="J82" i="8"/>
  <c r="J71" i="8"/>
  <c r="J103" i="8"/>
  <c r="J92" i="8"/>
  <c r="J81" i="8"/>
  <c r="J70" i="8"/>
  <c r="G9" i="8"/>
  <c r="G69" i="8" s="1"/>
  <c r="H9" i="8"/>
  <c r="H69" i="8" s="1"/>
  <c r="K105" i="8"/>
  <c r="K94" i="8"/>
  <c r="K83" i="8"/>
  <c r="B11" i="13" s="1"/>
  <c r="K72" i="8"/>
  <c r="K104" i="8"/>
  <c r="K93" i="8"/>
  <c r="K82" i="8"/>
  <c r="K71" i="8"/>
  <c r="K103" i="8"/>
  <c r="K92" i="8"/>
  <c r="K81" i="8"/>
  <c r="K70" i="8"/>
  <c r="K102" i="8"/>
  <c r="K91" i="8"/>
  <c r="K80" i="8"/>
  <c r="K69" i="8"/>
  <c r="M43" i="8"/>
  <c r="M103" i="8" s="1"/>
  <c r="M32" i="8"/>
  <c r="M92" i="8" s="1"/>
  <c r="M21" i="8"/>
  <c r="M81" i="8" s="1"/>
  <c r="M10" i="8"/>
  <c r="M70" i="8" s="1"/>
  <c r="M48" i="8"/>
  <c r="M108" i="8" s="1"/>
  <c r="M37" i="8"/>
  <c r="M97" i="8" s="1"/>
  <c r="M26" i="8"/>
  <c r="M86" i="8" s="1"/>
  <c r="M15" i="8"/>
  <c r="M75" i="8" s="1"/>
  <c r="M4" i="8"/>
  <c r="M64" i="8" s="1"/>
  <c r="M25" i="8"/>
  <c r="M85" i="8" s="1"/>
  <c r="M42" i="8"/>
  <c r="M102" i="8" s="1"/>
  <c r="M31" i="8"/>
  <c r="M91" i="8" s="1"/>
  <c r="M20" i="8"/>
  <c r="M80" i="8" s="1"/>
  <c r="M9" i="8"/>
  <c r="M69" i="8" s="1"/>
  <c r="M14" i="8"/>
  <c r="M74" i="8" s="1"/>
  <c r="M47" i="8"/>
  <c r="M107" i="8" s="1"/>
  <c r="M36" i="8"/>
  <c r="M96" i="8" s="1"/>
  <c r="M7" i="8"/>
  <c r="M67" i="8" s="1"/>
  <c r="M16" i="8"/>
  <c r="M76" i="8" s="1"/>
  <c r="I67" i="8"/>
  <c r="I16" i="9" s="1"/>
  <c r="E78" i="8"/>
  <c r="J79" i="8"/>
  <c r="C82" i="8"/>
  <c r="F90" i="8"/>
  <c r="K98" i="8"/>
  <c r="F101" i="8"/>
  <c r="K108" i="8"/>
  <c r="E66" i="8"/>
  <c r="J67" i="8"/>
  <c r="C70" i="8"/>
  <c r="F78" i="8"/>
  <c r="K79" i="8"/>
  <c r="I86" i="8"/>
  <c r="F97" i="8"/>
  <c r="D15" i="8"/>
  <c r="D75" i="8" s="1"/>
  <c r="D48" i="8"/>
  <c r="D108" i="8" s="1"/>
  <c r="D26" i="8"/>
  <c r="D86" i="8" s="1"/>
  <c r="D37" i="8"/>
  <c r="D97" i="8" s="1"/>
  <c r="G4" i="8"/>
  <c r="G64" i="8" s="1"/>
  <c r="G15" i="8"/>
  <c r="G75" i="8" s="1"/>
  <c r="G26" i="8"/>
  <c r="G86" i="8" s="1"/>
  <c r="G37" i="8"/>
  <c r="G97" i="8" s="1"/>
  <c r="G48" i="8"/>
  <c r="G108" i="8" s="1"/>
  <c r="G10" i="8"/>
  <c r="G70" i="8" s="1"/>
  <c r="G21" i="8"/>
  <c r="G81" i="8" s="1"/>
  <c r="G32" i="8"/>
  <c r="G92" i="8" s="1"/>
  <c r="G43" i="8"/>
  <c r="G103" i="8" s="1"/>
  <c r="D4" i="8"/>
  <c r="D64" i="8" s="1"/>
  <c r="D10" i="8"/>
  <c r="D70" i="8" s="1"/>
  <c r="D21" i="8"/>
  <c r="D81" i="8" s="1"/>
  <c r="D32" i="8"/>
  <c r="D92" i="8" s="1"/>
  <c r="D5" i="8"/>
  <c r="D65" i="8" s="1"/>
  <c r="H10" i="8"/>
  <c r="H70" i="8" s="1"/>
  <c r="D16" i="8"/>
  <c r="D76" i="8" s="1"/>
  <c r="H21" i="8"/>
  <c r="H81" i="8" s="1"/>
  <c r="D27" i="8"/>
  <c r="D87" i="8" s="1"/>
  <c r="H32" i="8"/>
  <c r="H92" i="8" s="1"/>
  <c r="D38" i="8"/>
  <c r="D98" i="8" s="1"/>
  <c r="D49" i="8"/>
  <c r="D109" i="8" s="1"/>
  <c r="G5" i="8"/>
  <c r="G65" i="8" s="1"/>
  <c r="G16" i="8"/>
  <c r="G76" i="8" s="1"/>
  <c r="G27" i="8"/>
  <c r="G87" i="8" s="1"/>
  <c r="G38" i="8"/>
  <c r="G98" i="8" s="1"/>
  <c r="C13" i="9" l="1"/>
  <c r="C15" i="9" s="1"/>
  <c r="C16" i="9"/>
  <c r="N16" i="9"/>
  <c r="N13" i="9"/>
  <c r="N15" i="9" s="1"/>
  <c r="U13" i="9"/>
  <c r="U15" i="9" s="1"/>
  <c r="U16" i="9"/>
  <c r="M16" i="9"/>
  <c r="M13" i="9"/>
  <c r="M15" i="9" s="1"/>
  <c r="B13" i="9"/>
  <c r="B15" i="9" s="1"/>
  <c r="B16" i="9"/>
  <c r="B6" i="9"/>
  <c r="C6" i="9" s="1"/>
  <c r="B5" i="9"/>
  <c r="C5" i="9" s="1"/>
  <c r="B3" i="9"/>
  <c r="C3" i="9" s="1"/>
  <c r="B2" i="9"/>
  <c r="C2" i="9" s="1"/>
  <c r="H16" i="9"/>
  <c r="H13" i="9"/>
  <c r="H15" i="9" s="1"/>
  <c r="S16" i="9"/>
  <c r="S13" i="9"/>
  <c r="S15" i="9" s="1"/>
  <c r="O16" i="9"/>
  <c r="O13" i="9"/>
  <c r="O15" i="9" s="1"/>
  <c r="T16" i="9"/>
  <c r="T13" i="9"/>
  <c r="T15" i="9" s="1"/>
  <c r="W13" i="9"/>
  <c r="W15" i="9" s="1"/>
  <c r="W16" i="9"/>
  <c r="E13" i="9"/>
  <c r="E15" i="9" s="1"/>
  <c r="E16" i="9"/>
  <c r="K16" i="9"/>
  <c r="K13" i="9"/>
  <c r="K15" i="9" s="1"/>
  <c r="G13" i="9"/>
  <c r="G15" i="9" s="1"/>
  <c r="G16" i="9"/>
  <c r="J16" i="9"/>
  <c r="J13" i="9"/>
  <c r="J15" i="9" s="1"/>
  <c r="Y13" i="9"/>
  <c r="Y15" i="9" s="1"/>
  <c r="Y16" i="9"/>
  <c r="V13" i="9"/>
  <c r="V15" i="9" s="1"/>
  <c r="V16" i="9"/>
  <c r="R16" i="9"/>
  <c r="R13" i="9"/>
  <c r="R15" i="9" s="1"/>
  <c r="F16" i="9"/>
  <c r="D13" i="9"/>
  <c r="D15" i="9" s="1"/>
  <c r="D16" i="9"/>
  <c r="L16" i="9"/>
  <c r="L13" i="9"/>
  <c r="L15" i="9" s="1"/>
  <c r="Q16" i="9"/>
  <c r="Q13" i="9"/>
  <c r="Q15" i="9" s="1"/>
  <c r="P16" i="9"/>
  <c r="P13" i="9"/>
  <c r="P15" i="9" s="1"/>
  <c r="X13" i="9"/>
  <c r="X15" i="9" s="1"/>
  <c r="X16" i="9"/>
  <c r="B9" i="9" l="1"/>
  <c r="C9" i="9" s="1"/>
  <c r="B18" i="9"/>
</calcChain>
</file>

<file path=xl/sharedStrings.xml><?xml version="1.0" encoding="utf-8"?>
<sst xmlns="http://schemas.openxmlformats.org/spreadsheetml/2006/main" count="7944" uniqueCount="327">
  <si>
    <t>CSCSCbPT Capacity Supply Curve</t>
  </si>
  <si>
    <t>Michigan</t>
  </si>
  <si>
    <t>State code (derived)</t>
  </si>
  <si>
    <t>Sources:</t>
  </si>
  <si>
    <t>Annual capacity additions by state, plant type and vintage</t>
  </si>
  <si>
    <t>U.S. Energy Information Administration</t>
  </si>
  <si>
    <t>Form EIA-860, 2025 Early Release -- Schedule 3.1 Generator Data</t>
  </si>
  <si>
    <t>https://www.eia.gov/electricity/data/eia860/</t>
  </si>
  <si>
    <t>File 3_1_Generator_Y2025_Early_Release.xlsx, sheets 'Operable' (all statuses) and 'Retired and Canceled' (status RE only). Capacity read from the 'Summer Capacity (MW)' column, NOT nameplate, because EPS capacity is net summer and seeds are absolute MW. Nationally summer = 0.939 x nameplate. Collapsed to (state, plant type, year) additions by _stage_seed_additions.py because the raw sheets are ~43k rows; see the Provenance tab for byte size, SHA-256 and drop counts. Accessed 2026-08-05.</t>
  </si>
  <si>
    <t>EIA plant type to EPS Electricity Source concordance</t>
  </si>
  <si>
    <t>Energy Innovation (this repo)</t>
  </si>
  <si>
    <t>outputs/build-cap-calibration/eia860_to_eps_source.csv</t>
  </si>
  <si>
    <t>Reviewed mapping of (Technology, Prime Mover, Energy Source 1) to the 24 EPS Electricity Sources: 87 combos, 66 mapped and 21 excluded (storage, byproduct gases, waste heat, hydrogen fuel cells). Built and validated in Phase 0 of the build-cap calibration project; the stager hard-errors on any unmapped combo so a new EIA vintage cannot pass silently.</t>
  </si>
  <si>
    <t>Minimum power plant capacity (MPPC) -- the seed floor</t>
  </si>
  <si>
    <t>Energy Innovation</t>
  </si>
  <si>
    <t>EPS state input data, &lt;STATE&gt;/elec/MPPC/MPPC.csv</t>
  </si>
  <si>
    <t>https://energyinnovation.org/energy-policy-simulator/</t>
  </si>
  <si>
    <t>Cross-variable paste of a different EPS input's deployed values, embedded so the MAX(seed, MPPC) floor is visible in-sheet. Byte-identical in every state (it is the national file), and the EPS.mdl comment on CSCSCbPT requires seeds to be at least as large as MPPC for the same plant type. MPPC is explicitly NOT state work -- do not edit it here.</t>
  </si>
  <si>
    <t>The default seed -- one value for every source and state</t>
  </si>
  <si>
    <t>Energy Innovation (staff decision)</t>
  </si>
  <si>
    <t>Seed-Capacity-Review-2026-08-21 (Robbie); Keys!uniform_seed_mw</t>
  </si>
  <si>
    <t>250 MW, adopted 2026-08-21 (D-CSC-14), replacing the 24-value per-technology vector of D-CSC-13. Not measured from a data source: it is a chosen entry rate of about one utility-scale project a year, on the reasoning that a seed sets how fast a technology can START, not how big one facility is. The retired vector let plant size set deployment rate (hydrogen CC 1,940 MW/yr vs hydrogen CT 430 MW/yr, same fuel and turbines, MPPC 100 MW for both) and meant wildly different things by state (1,940 MW/yr is 233% of Vermont's fleet, 1.1% of Texas's). Caveat: this is a judgement, not an observation -- there is no primary source to verify it against, and the D-CSC-13 derivations it supersedes are preserved in docs/methodology/CSC.md and qc/csc_default_value_validation_2026-08-17.md.</t>
  </si>
  <si>
    <t>Notes:</t>
  </si>
  <si>
    <t>What this file is</t>
  </si>
  <si>
    <t>Per-state seed capacities for CSCSCbPT, the pre-model ramp basis in the EPS 4.0.6 capacity-expansion redesign. The seed sets BOTH the growth basis of the annual build soft cap AND the entry floor (Minimum Buildable Capacity for Plants). Because the entry floor sits outside the MIN with the hard cap, a too-large seed cannot be clipped by HCFoTC -- which is why the US values must not be copied into states.</t>
  </si>
  <si>
    <t>Why not the US file</t>
  </si>
  <si>
    <t>The US CSC-CSCSCbPT.csv encodes national annual-addition records (solar 30,000 MW, onshore wind 15,000 MW). Those are 2.3% and 1.1% of the national fleet but 3,416% and 1,708% of Vermont's. Copied verbatim into all 48 states they create a per-source build floor of 75,750 MW/yr, exceeding the entire 2025 fleet in 36 of 51 states.</t>
  </si>
  <si>
    <t>Seed rule (flattened 2026-08-21)</t>
  </si>
  <si>
    <t>Every source in every state gets the same default seed, Keys!uniform_seed_mw = 250 MW net summer, floored at MPPC: MAX(250, MPPC). The four sources the model builds at state-varying scale -- solar PV, onshore wind, natural gas combined cycle, natural gas peaker -- take MAX(state record, 250, MPPC), where the state record is its largest single-year addition 1990-2025 in net summer MW. The default is a FLOOR for those four, not a no-history fallback: Delaware's 2 MW wind record is raised to 250 rather than locking wind out at a 4 MW/yr ceiling. Keys column C says which group each source is in; nuclear is the only row where MPPC (500) binds above the default.</t>
  </si>
  <si>
    <t>Why only four sources look at state history</t>
  </si>
  <si>
    <t>A seed only does work where the model wants to build the source faster than the soft cap allows. Measured on the deployed tree, the other 20 fail that screen: 4 are prohibited by MPCbS in all 48 states (nuclear, hydro, crude oil, heavy fuel oil); 7 have never been built anywhere, so their state variation came from the analogue rather than from data (the four CCS types, SMR, both hydrogen types); 7 are not built new (hard coal, lignite, NG steam turbine, petroleum, MSW, solar thermal, biomass); and 2 are already near-uniform wherever permitted (offshore wind, geothermal). The four that remain carry 42-47 distinct values across the states and span roughly 3,400x, so one national value would cost a real ramp lag in the large states.</t>
  </si>
  <si>
    <t>Known limitation -- no peak-load screen</t>
  </si>
  <si>
    <t>decisions.md D10 calls for screening no-history seeds at 10-15% of state peak load. Not implemented: the threshold is an open staff decision (plan open question #4) and no state peak-load series exists in this repo. A largest-unit-ever proxy from EIA-860 was tested and rejected -- the retired-generator sheet omits pre-2002 retirements, so Vermont reads 65 MW (Vermont Yankee absent), biasing the screen down hardest in the small states where it would matter most. Consequence: small states can receive a one-project seed that is a large share of their fleet (Vermont NGCC 600 MW against an 878 MW fleet). Still 17x tighter than the US value it replaces.</t>
  </si>
  <si>
    <t>Relation to D10</t>
  </si>
  <si>
    <t>D10 specifies MAX(state record, default). The 2026-08-17 build used the state record alone where a state had one, so a small record produced a small seed (Delaware wind 2 MW, a 4 MW/yr ceiling). D-CSC-14 restores the MAX, with 250 MW as the default arm, so no state is locked out of a technology by its own thin history. D10's other arm -- screening no-history seeds against state peak load -- is still not implemented; see the note below.</t>
  </si>
  <si>
    <t>Basis</t>
  </si>
  <si>
    <t>Net summer MW throughout, read from EIA-860's own Summer Capacity column. The Phase 0 panel used for other build-cap work is NAMEPLATE and is not used here: seeds are absolute MW compared against MPPC and fed to a build limit, so the basis has to match EPS. Summer runs 0.939 x nameplate nationally, which also rounds seeds down.</t>
  </si>
  <si>
    <t>Status</t>
  </si>
  <si>
    <t>INPUT FOR STAFF REVIEW -- not a deployed file and not an Energy Innovation position. Verify all numerical claims against the primary sources before any external use. Not yet gated by a paired BAU run; the first-project vector is unreviewed. See the Methodology tab for QC status and the Checks tab for live validation.</t>
  </si>
  <si>
    <t>category</t>
  </si>
  <si>
    <t>key</t>
  </si>
  <si>
    <t>value</t>
  </si>
  <si>
    <t>description</t>
  </si>
  <si>
    <t>window</t>
  </si>
  <si>
    <t>year_min</t>
  </si>
  <si>
    <t>First vintage year counted in the demonstrated record</t>
  </si>
  <si>
    <t>year_max</t>
  </si>
  <si>
    <t>Last vintage year (EIA-860 2025 Early Release)</t>
  </si>
  <si>
    <t>convention</t>
  </si>
  <si>
    <t>summer_over_nameplate</t>
  </si>
  <si>
    <t>National ratio of summer to nameplate additions; recorded for reference, not applied (summer is read directly from the source)</t>
  </si>
  <si>
    <t>qc</t>
  </si>
  <si>
    <t>expected_seed_cells</t>
  </si>
  <si>
    <t>States x sources; the Checks tab compares its populated-cell count to this</t>
  </si>
  <si>
    <t>max_seed_review_mw</t>
  </si>
  <si>
    <t>Above this the largest single seed gets a REVIEW verdict rather than PASS</t>
  </si>
  <si>
    <t>flag_state_specific</t>
  </si>
  <si>
    <t>yes</t>
  </si>
  <si>
    <t>Keys state_specific value marking a source whose seed is derived per state</t>
  </si>
  <si>
    <t>flag_uniform</t>
  </si>
  <si>
    <t>no</t>
  </si>
  <si>
    <t>Keys state_specific value marking a source carrying one national seed everywhere</t>
  </si>
  <si>
    <t>n_state_specific_sources</t>
  </si>
  <si>
    <t>How many of the 24 sources keep a state derivation (staff, 2026-08-17). The Checks tab counts the Keys flags and compares to this, so adding or removing a source from LIVE_SOURCES without a deliberate decision fails the gate.</t>
  </si>
  <si>
    <t>verdict_pass</t>
  </si>
  <si>
    <t>PASS</t>
  </si>
  <si>
    <t>Verdict label used by the Checks tab</t>
  </si>
  <si>
    <t>verdict_fail</t>
  </si>
  <si>
    <t>FAIL</t>
  </si>
  <si>
    <t>verdict_review</t>
  </si>
  <si>
    <t>REVIEW</t>
  </si>
  <si>
    <t>verdict_reference</t>
  </si>
  <si>
    <t>REF</t>
  </si>
  <si>
    <t>Verdict label for rows that report a reference number rather than testing anything</t>
  </si>
  <si>
    <t>not_computed_here</t>
  </si>
  <si>
    <t>n/a -- see Methodology</t>
  </si>
  <si>
    <t>Placeholder for a check deliberately not computed in-workbook (basis mismatch)</t>
  </si>
  <si>
    <t>assumption</t>
  </si>
  <si>
    <t>uniform_seed_mw</t>
  </si>
  <si>
    <t>THE default seed, MW net summer, for every source in every state (D-CSC-14, staff 2026-08-21). Edit this ONE cell and all 24 default_seed_mw rows and every seed recompute in place -- no rebuild. It is an entry rate (~one utility-scale project a year), not a plant size; the ramp supplies the scaling. MPPC still floors above it where MPPC is larger (nuclear, 500 MW).</t>
  </si>
  <si>
    <t>default_seed_mw</t>
  </si>
  <si>
    <t>hard coal</t>
  </si>
  <si>
    <t>Flat default seed, 250 MW in every state (D-CSC-14, staff 2026-08-21). Not a plant size: a seed is an entry rate, and the ramp (2 x seed in year one, then compounding at SCGF) supplies the scaling. Replaces the D-CSC-13 per-technology vector, which set deployment rate by facility size. On Calcs this row is the floor for every state; solar PV, onshore wind, NGCC and the gas peaker raise it where their own EIA-860 record is larger. MPPC still floors above it where MPPC is bigger -- nuclear only (500 MW).</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</si>
  <si>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</si>
  <si>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</si>
  <si>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</si>
  <si>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</si>
  <si>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</si>
  <si>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</si>
  <si>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</si>
  <si>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</si>
  <si>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</si>
  <si>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</si>
  <si>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</si>
  <si>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</si>
  <si>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</si>
  <si>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</si>
  <si>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</si>
  <si>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</si>
  <si>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</si>
  <si>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</si>
  <si>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</si>
  <si>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</si>
  <si>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</si>
  <si>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</si>
  <si>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</si>
  <si>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state_specific</t>
  </si>
  <si>
    <t>Seed is MAX(uniform_seed_mw, MPPC), identical in all 48 states</t>
  </si>
  <si>
    <t>Seed is MAX(this state's own EIA-860 record, uniform_seed_mw, MPPC) -- the state record can only raise it</t>
  </si>
  <si>
    <t>state</t>
  </si>
  <si>
    <t>AL</t>
  </si>
  <si>
    <t>Alabama</t>
  </si>
  <si>
    <t>AR</t>
  </si>
  <si>
    <t>Arkansas</t>
  </si>
  <si>
    <t>AZ</t>
  </si>
  <si>
    <t>Arizona</t>
  </si>
  <si>
    <t>CA</t>
  </si>
  <si>
    <t>California</t>
  </si>
  <si>
    <t>CO</t>
  </si>
  <si>
    <t>Colorado</t>
  </si>
  <si>
    <t>CT</t>
  </si>
  <si>
    <t>Connecticut</t>
  </si>
  <si>
    <t>DE</t>
  </si>
  <si>
    <t>Delaware</t>
  </si>
  <si>
    <t>FL</t>
  </si>
  <si>
    <t>Florida</t>
  </si>
  <si>
    <t>GA</t>
  </si>
  <si>
    <t>Georgia</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</si>
  <si>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</si>
  <si>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</si>
  <si>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</si>
  <si>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</si>
  <si>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</si>
  <si>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</si>
  <si>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</si>
  <si>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</si>
  <si>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</si>
  <si>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</si>
  <si>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</si>
  <si>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</si>
  <si>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</si>
  <si>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</si>
  <si>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</si>
  <si>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</si>
  <si>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</si>
  <si>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</si>
  <si>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</si>
  <si>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</si>
  <si>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</si>
  <si>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MN</t>
  </si>
  <si>
    <t>Minnesota</t>
  </si>
  <si>
    <t>MO</t>
  </si>
  <si>
    <t>Missouri</t>
  </si>
  <si>
    <t>MS</t>
  </si>
  <si>
    <t>Mississippi</t>
  </si>
  <si>
    <t>MT</t>
  </si>
  <si>
    <t>Montana</t>
  </si>
  <si>
    <t>NC</t>
  </si>
  <si>
    <t>North Carolina</t>
  </si>
  <si>
    <t>ND</t>
  </si>
  <si>
    <t>North Dakota</t>
  </si>
  <si>
    <t>NE</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</si>
  <si>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</si>
  <si>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</si>
  <si>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</si>
  <si>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</si>
  <si>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</si>
  <si>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</si>
  <si>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</si>
  <si>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</si>
  <si>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</si>
  <si>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</si>
  <si>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</si>
  <si>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</si>
  <si>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</si>
  <si>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</si>
  <si>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</si>
  <si>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</si>
  <si>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</si>
  <si>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</si>
  <si>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</si>
  <si>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</si>
  <si>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</si>
  <si>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</si>
  <si>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</si>
  <si>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</si>
  <si>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</si>
  <si>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</si>
  <si>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</si>
  <si>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</si>
  <si>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</si>
  <si>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</si>
  <si>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</si>
  <si>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</si>
  <si>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</si>
  <si>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</si>
  <si>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</si>
  <si>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</si>
  <si>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</si>
  <si>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</si>
  <si>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</si>
  <si>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</si>
  <si>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</si>
  <si>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</si>
  <si>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</si>
  <si>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CSCSCbPT Methodology</t>
  </si>
  <si>
    <t>Deliverable</t>
  </si>
  <si>
    <t>One seed capacity (MW, net summer) per state per EPS Electricity Source, written to &lt;STATE&gt;/elec/CSC/CSC-CSCSCbPT.csv. Row order matches eps-us exactly, including the 'solar PV' capitalisation, because EPS reads these files positionally via GET DIRECT CONSTANTS -- do not sort or re-case the rows.</t>
  </si>
  <si>
    <t>Tab-by-tab derivation</t>
  </si>
  <si>
    <t>Keys holds every constant (window years, first-project vector, the state_specific flag per source, MPPC, state codes) so no formula contains a bare string or number. EIA860_additions is the staged source, one row per (state, plant type, vintage year) with a nonzero addition, plus a LOWER() helper column for case-insensitive matching. MPPC_ref embeds the deployed MPPC vector. Calcs holds three stacked blocks: A demonstrated record, B first-project and MPPC (two national rows), C the seed. Block A carries formulas ONLY in the four state-specific columns -- a blank there means the source takes its national value straight from block B. MPCbS is not read at all (D-CSC-12). Checks validates. CSC-CSCSCbPT is the export view for the state named in About!B1.</t>
  </si>
  <si>
    <t>Block A -- demonstrated record</t>
  </si>
  <si>
    <t>MAXIFS over the staged additions: the largest single-year addition of that source in that state between Keys year_min and year_max. Returns 0 when the state has never built the source, which is what routes the cell to the first-project size. State-specific sources only.</t>
  </si>
  <si>
    <t>Decision D-CSC-14, 2026-08-21 -- one flat default seed of 250 MW</t>
  </si>
  <si>
    <t>Staff decision (Robbie, Seed-Capacity-Review-2026-08-21). Replaces the 24-value per-technology default vector of D-CSC-13 with a single number, Keys!uniform_seed_mw. Two problems it fixes. (1) The old values were plant sizes, so facility engineering set deployment rate: hydrogen combined cycle got 1,940 MW/yr and a hydrogen CT 430, same fuel and turbine vendors, with MPPC saying 100 MW for both -- and if anything big bespoke plants deploy more slowly, not faster. (2) A fixed MW/yr means different things by state: 1,940 MW/yr of hydrogen is 233% of Vermont's fleet and 1.1% of Texas's, and gas-CCS at 700 MW/yr is 24% of Delaware's, which is why DE and NH converted most of their gas fleet to CCS in a single year. The four state-specific sources also changed direction: the default is now a FLOOR under the state record rather than a fallback for states with none, so Delaware's 2 MW wind record no longer produces a 4 MW/yr ceiling. Expect small-state hydrogen, geothermal, CCS and offshore wind to fall sharply, Arkansas wind to grow at solar's expense, and Maine geothermal to drop well below the 78% of state generation it currently supplies; established wind and solar in TX, AZ, IA and AR must be UNCHANGED -- that is the regression check. No state-size term in the seed by design: pacing lives in CSCSoCECBiaSY. The D-CSC-13 derivations are not deleted -- they are preserved in docs/methodology/CSC.md and qc/csc_default_value_validation_2026-08-17.md.</t>
  </si>
  <si>
    <t>Decision D-CSC-12, 2026-08-17 -- MPCbS removed from the calculation</t>
  </si>
  <si>
    <t>The seed used to clamp at a finite MPCbS. Dropped, along with the MPCbS_ref tab. Two reasons. (1) It never bound: 0 of the 192 state-specific pairs, the closest being RI onshore wind at 1.3% of its cap -- structural, because MPCbS is a STOCK ceiling in the tens of GW while the seed is one year's addition. (2) EPS enforces it directly and later: Max Capacity Buildable This Year = MIN(MPCbS - surviving capacity, build limit), so the model intersects the build limit with the remaining headroom every year no matter what the seed says. Consequence, accepted by staff: prohibited sources now carry a populated seed (offshore wind reads 800 MW in landlocked states). The model ignores it; the methodology doc, not the sheet, is where that is explained.</t>
  </si>
  <si>
    <t>Decision 2026-08-05 -- basis is net summer</t>
  </si>
  <si>
    <t>Read from EIA-860's own Summer Capacity column rather than derating the nameplate Phase 0 panel. Seeds are absolute MW compared against MPPC and fed to a build limit, so they must be on EPS's basis. No invented derate; summer runs 0.939 x nameplate nationally, which also rounds seeds down per D10's risk asymmetry.</t>
  </si>
  <si>
    <t>Decision D-CSC-11, 2026-08-17 -- uniform seeds outside the four live sources</t>
  </si>
  <si>
    <t>Staff decision. Replaces the analogue map (retired) and the per-state derivation for 20 of 24 sources. Rationale on the About tab. The uniform value is the national first-project size floored at MPPC, which is what the previous build already fell back to for any state with no history. SUPERSEDED IN PART by D-CSC-14: the uniform GROUPING stands, but the value is now one flat 250 MW rather than a per-technology vector. Some uniform values rise against what was deployed (biomass 27 -&gt; 50 MW at the median, nuclear 500 -&gt; 1,100, hydro 1 -&gt; 50): safe, because the seed floors the build LIMIT, not the build. A 50 MW floor does not make a state build 50 MW of biomass unless the economics already want it. The rows where a large uniform floor WOULD be dangerous in a small state -- nuclear, hydro, offshore wind, hard coal, lignite -- are blocked by MPCbS = 0 in every state that is not already building them.</t>
  </si>
  <si>
    <t>Retired 2026-08-17 -- the analogue map</t>
  </si>
  <si>
    <t>Four CCS types inherited their unabated parent, hydrogen CT the gas peaker, hydrogen CC the NGCC. Its only job was to give never-built types a state-varying seed; all those sources are now uniform, so nothing consumed it. The reasoning is preserved in docs/methodology/CSC.md sections 8 and 9 -- read it before reintroducing a state derivation for any never-built source.</t>
  </si>
  <si>
    <t>Known caveat -- no peak-load screen</t>
  </si>
  <si>
    <t>See the About tab. D10 wants 10-15% of state peak load for no-history sources; the threshold is an open staff decision and no peak series exists in this repo. The largest-unit-ever proxy was tested and rejected because EIA-860's retired sheet omits pre-2002 retirements (Vermont reads 65 MW with Vermont Yankee absent). Small states can therefore carry a one-project seed that is a large share of their fleet.</t>
  </si>
  <si>
    <t>Known caveat -- retired-sheet coverage</t>
  </si>
  <si>
    <t>Additions are unaffected (they come from operating years, which are complete), but any comparison of a seed to a historical FLEET level inherits Phase 0's caveat that pre-2002 retirements are missing.</t>
  </si>
  <si>
    <t>QC status</t>
  </si>
  <si>
    <t>Checks tab is live in-workbook. An independent Python replica (qc/csc_replica_qc.py) re-derives every cell from the staged source and the published rule rather than from this builder. NOT yet gated by a paired BAU run -- per the CRpUNL precedent that gate is required before deploy. The 250 MW default is a staff judgement, not a measured quantity; the regression check that matters is that established wind and solar in TX, AZ, IA and AR are unchanged from the 2026-08-17 deployed values.</t>
  </si>
  <si>
    <t>Not final</t>
  </si>
  <si>
    <t>Input for staff review. Not an Energy Innovation position. Verify numbers against primary sources before external use.</t>
  </si>
  <si>
    <t>Staging provenance -- EIA-860 additions table</t>
  </si>
  <si>
    <t>CSCSCbPT seed staging provenance</t>
  </si>
  <si>
    <t>- Raw file: sources/raw/eia860_2025er/3_1_Generator_Y2025_Early_Release.xlsx</t>
  </si>
  <si>
    <t>- Bytes: 11,086,120</t>
  </si>
  <si>
    <t>- SHA-256: 0513a75bba11546b6a6c63118a3809e9c3097b63b6ecd2c3a6c909e4f4992eca</t>
  </si>
  <si>
    <t>- Sheets read: Operable (all statuses), Retired and Canceled (status RE only)</t>
  </si>
  <si>
    <t>- Generators contributing an addition in 1990-2025: 20,778</t>
  </si>
  <si>
    <t>- Output rows (nonzero (state, source, year) additions): 3,562</t>
  </si>
  <si>
    <t>- Capacity basis: Summer Capacity (MW) (EIA-860 col R) to match EPS net summer</t>
  </si>
  <si>
    <t>- Total staged additions: 793,276 MW summer vs 845,078 MW nameplate (summer = 0.939 x nameplate)</t>
  </si>
  <si>
    <t>Drops / fallbacks</t>
  </si>
  <si>
    <t>- missing operating year or state: 2 generators, 2 MW</t>
  </si>
  <si>
    <t>- summer blank -&gt; nameplate used: 166 generators, 12,934 MW</t>
  </si>
  <si>
    <t>eps_source</t>
  </si>
  <si>
    <t>year</t>
  </si>
  <si>
    <t>mw_added_summer</t>
  </si>
  <si>
    <t>mw_added_nameplate</t>
  </si>
  <si>
    <t>source_key</t>
  </si>
  <si>
    <t>AK</t>
  </si>
  <si>
    <t>solar pv</t>
  </si>
  <si>
    <t>DC</t>
  </si>
  <si>
    <t>HI</t>
  </si>
  <si>
    <t>MPPC Minimum Power Plant Capacity -- one national vector. Builder verified all 48 deployed state MPPC.csv files identical before embedding. EDITABLE: the Calcs seed floor reads row 3 live.</t>
  </si>
  <si>
    <t>value (MW)</t>
  </si>
  <si>
    <t>CSC-CSCPH.csv -- eps-us/InputData/elec/CSC/CSC-CSCPH.csv</t>
  </si>
  <si>
    <t>Procurement headroom. Structural constant 2.0 everywhere (decisions.md D12), not regional data.</t>
  </si>
  <si>
    <t>Multiple of annual build limit available for procurement</t>
  </si>
  <si>
    <t>Headroom</t>
  </si>
  <si>
    <t>CSC-CSCP.csv -- eps-us/InputData/elec/CSC/CSC-CSCP.csv</t>
  </si>
  <si>
    <t>Capacity supply curve shape parameters. National curve geometry; no state basis.</t>
  </si>
  <si>
    <t>parameters</t>
  </si>
  <si>
    <t>saturation</t>
  </si>
  <si>
    <t>scale parameter</t>
  </si>
  <si>
    <t>shape parameter</t>
  </si>
  <si>
    <t>location parameter</t>
  </si>
  <si>
    <t>cutoff parameter</t>
  </si>
  <si>
    <t>CSC-CSCSoCECBiaSY.csv -- eps-us/InputData/elec/CSC/CSC-CSCSoCECBiaSY.csv</t>
  </si>
  <si>
    <t>Share of cost-effective capacity built in a single year, by source and year. Already byte-identical to the US file in every deployed state.</t>
  </si>
  <si>
    <t>Time (Year)</t>
  </si>
  <si>
    <t>hard coal es</t>
  </si>
  <si>
    <t>natural gas steam turbine es</t>
  </si>
  <si>
    <t>natural gas combined cycle es</t>
  </si>
  <si>
    <t>nuclear es</t>
  </si>
  <si>
    <t>hydro es</t>
  </si>
  <si>
    <t>onshore wind es</t>
  </si>
  <si>
    <t>solar PV es</t>
  </si>
  <si>
    <t>solar thermal es</t>
  </si>
  <si>
    <t>biomass es</t>
  </si>
  <si>
    <t>geothermal es</t>
  </si>
  <si>
    <t>petroleum es</t>
  </si>
  <si>
    <t>natural gas peaker es</t>
  </si>
  <si>
    <t>lignite es</t>
  </si>
  <si>
    <t>offshore wind es</t>
  </si>
  <si>
    <t>crude oil es</t>
  </si>
  <si>
    <t>heavy or residual fuel oil es</t>
  </si>
  <si>
    <t>municipal solid waste es</t>
  </si>
  <si>
    <t>hard coal w CCS es</t>
  </si>
  <si>
    <t>natural gas combined cycle w CCS es</t>
  </si>
  <si>
    <t>biomass w CCS es</t>
  </si>
  <si>
    <t>lignite w CCS es</t>
  </si>
  <si>
    <t>small modular reactor es</t>
  </si>
  <si>
    <t>hydrogen combustion turbine es</t>
  </si>
  <si>
    <t>hydrogen combined cycle es</t>
  </si>
  <si>
    <t>A. Demonstrated record -- largest single-year addition, net summer MW (MAXIFS over EIA860_additions). State-specific sources only.</t>
  </si>
  <si>
    <t>source_key (helper)</t>
  </si>
  <si>
    <t>B. National rows -- first-project size (Keys) and MPPC floor (MPPC_ref, live). These two rows ARE the seed for the 20 sources that are not state-specific.</t>
  </si>
  <si>
    <t>first_project_mw</t>
  </si>
  <si>
    <t>mppc_mw (from MPPC_ref)</t>
  </si>
  <si>
    <t>C. SEED (MW, net summer) -- the deliverable</t>
  </si>
  <si>
    <t>check</t>
  </si>
  <si>
    <t>verdict</t>
  </si>
  <si>
    <t>what it proves</t>
  </si>
  <si>
    <t>Seeds populated (count of numeric cells)</t>
  </si>
  <si>
    <t>Every one of 48 states x 24 sources has a value.</t>
  </si>
  <si>
    <t>Seed cells below the default floor (must be 0)</t>
  </si>
  <si>
    <t>Identity check on D-CSC-14: the default is a FLOOR, so no cell in the 48 x 24 grid may sit below Keys!uniform_seed_mw. Exact by construction -- any nonzero means a state record was used as the value instead of as a floor-raiser.</t>
  </si>
  <si>
    <t>States whose seed total exceeds their 2025 fleet</t>
  </si>
  <si>
    <t>Recorded in the Methodology tab rather than computed here: the fleet series lives in the Phase 0 nameplate panel, a different basis from this workbook's summer MW.</t>
  </si>
  <si>
    <t>Maximum seed across all cells (MW)</t>
  </si>
  <si>
    <t>Largest single seed. Texas solar sets this; compare against its demonstrated record.</t>
  </si>
  <si>
    <t>Sum of all seeds, all states (MW)</t>
  </si>
  <si>
    <t>Scale reference against the US-file alternative in the row below.</t>
  </si>
  <si>
    <t>US-file total per state (MW), for contrast</t>
  </si>
  <si>
    <t>What every state would carry if the US file were copied verbatim.</t>
  </si>
  <si>
    <t>Sources deriving a state-specific seed</t>
  </si>
  <si>
    <t>The other sources must carry one national value in all 48 states; the row below is what proves they do.</t>
  </si>
  <si>
    <t>Non-state-specific sources that vary across states (must be 0)</t>
  </si>
  <si>
    <t>Identity check on the 2026-08-17 simplification: for every source Keys marks not state-specific, max-across-states minus min-across-states must be exactly 0. Any nonzero means a state derivation leaked back into a uniform row.</t>
  </si>
  <si>
    <t>Per-source detail (helper rows for the checks above)</t>
  </si>
  <si>
    <t>source</t>
  </si>
  <si>
    <t>min seed over states</t>
  </si>
  <si>
    <t>MPPC (national row)</t>
  </si>
  <si>
    <t>min - MPPC (must be &gt;= 0)</t>
  </si>
  <si>
    <t>max - min seed over states (0 = uniform)</t>
  </si>
  <si>
    <t>state-specific? (read from Keys)</t>
  </si>
  <si>
    <t>verdict -- all sources at or above MPPC</t>
  </si>
  <si>
    <t>Seed Capacity (MW)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</si>
</sst>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1"/>
      <color rgb="FFFFFFFF"/>
      <name val="Calibri"/>
    </font>
    <font>
      <b/>
      <sz val="11"/>
      <name val="Calibri"/>
    </font>
    <font>
      <b/>
      <sz val="11"/>
      <color rgb="FFC00000"/>
      <name val="Calibri"/>
    </font>
    <font>
      <u/>
      <sz val="11"/>
      <color rgb="FF0563C1"/>
      <name val="Calibri"/>
    </font>
    <font>
      <b/>
      <i/>
      <sz val="11"/>
      <name val="Calibri"/>
    </font>
    <font>
      <i/>
      <sz val="11"/>
      <name val="Calibri"/>
    </font>
  </fonts>
  <fills count="5">
    <fill>
      <patternFill patternType="none"/>
    </fill>
    <fill>
      <patternFill patternType="gray125"/>
    </fill>
    <fill>
      <patternFill patternType="solid">
        <fgColor rgb="FF305496"/>
        <bgColor rgb="FF305496"/>
      </patternFill>
    </fill>
    <fill>
      <patternFill patternType="solid">
        <fgColor rgb="FFD9D9D9"/>
        <bgColor rgb="FFD9D9D9"/>
      </patternFill>
    </fill>
    <fill>
      <patternFill patternType="solid">
        <fgColor rgb="FFFFE699"/>
        <bgColor rgb="FFFFE699"/>
      </patternFill>
    </fill>
  </fills>
  <borders count="1">
    <border>
      <left/>
      <right/>
      <top/>
      <bottom/>
      <diagonal/>
    </border>
  </borders>
  <cellStyleXfs count="1">
    <xf numFmtId="0" fontId="0" fillId="0" borderId="0"/>
  </cellStyleXfs>
  <cellXfs count="14">
    <xf numFmtId="0" fontId="0" fillId="0" borderId="0" xfId="0"/>
    <xf numFmtId="0" fontId="2" fillId="0" borderId="0" xfId="0" applyFont="1"/>
    <xf numFmtId="0" fontId="3"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4" fillId="0" borderId="0" xfId="0" applyFont="1" applyAlignment="1">
      <alignment horizontal="left" vertical="top" wrapText="1"/>
    </xf>
    <xf numFmtId="0" fontId="2" fillId="0" borderId="0" xfId="0" applyFont="1" applyAlignment="1">
      <alignment horizontal="left" vertical="top" wrapText="1"/>
    </xf>
    <xf numFmtId="0" fontId="1" fillId="2" borderId="0" xfId="0" applyFont="1" applyFill="1"/>
    <xf numFmtId="0" fontId="5" fillId="0" borderId="0" xfId="0" applyFont="1"/>
    <xf numFmtId="0" fontId="1" fillId="2" borderId="0" xfId="0" applyFont="1" applyFill="1" applyAlignment="1">
      <alignment textRotation="90"/>
    </xf>
    <xf numFmtId="0" fontId="2" fillId="3" borderId="0" xfId="0" applyFont="1" applyFill="1"/>
    <xf numFmtId="0" fontId="6" fillId="0" borderId="0" xfId="0" applyFont="1"/>
    <xf numFmtId="0" fontId="0" fillId="4" borderId="0" xfId="0" applyFill="1"/>
    <xf numFmtId="14" fontId="2"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energyinnovation.org/energy-policy-simulator/" TargetMode="External"/><Relationship Id="rId2" Type="http://schemas.openxmlformats.org/officeDocument/2006/relationships/hyperlink" Target="https://www.eia.gov/electricity/data/eia860/" TargetMode="External"/><Relationship Id="rId1" Type="http://schemas.openxmlformats.org/officeDocument/2006/relationships/hyperlink" Target="https://www.eia.gov/electricity/data/eia860/" TargetMode="External"/><Relationship Id="rId4" Type="http://schemas.openxmlformats.org/officeDocument/2006/relationships/hyperlink" Target="https://energyinnovation.org/energy-policy-simulato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1"/>
  <sheetViews>
    <sheetView tabSelected="1" workbookViewId="0">
      <pane ySplit="1" topLeftCell="A2" activePane="bottomLeft" state="frozen"/>
      <selection pane="bottomLeft"/>
    </sheetView>
  </sheetViews>
  <sheetFormatPr defaultRowHeight="15" x14ac:dyDescent="0.25"/>
  <cols>
    <col min="1" max="1" width="16" customWidth="1"/>
    <col min="2" max="2" width="112" customWidth="1"/>
  </cols>
  <sheetData>
    <row r="1" spans="1:3" x14ac:dyDescent="0.25">
      <c r="A1" s="1" t="s">
        <v>0</v>
      </c>
      <c r="B1" s="2" t="s">
        <v>135</v>
      </c>
      <c r="C1" s="13">
        <v>46255</v>
      </c>
    </row>
    <row r="2" spans="1:3" x14ac:dyDescent="0.25">
      <c r="B2" t="str">
        <f>INDEX(Keys!$C$64:$C$111,MATCH($B$1,Keys!$D$64:$D$111,0))</f>
        <v>IN</v>
      </c>
      <c r="C2" s="1" t="s">
        <v>2</v>
      </c>
    </row>
    <row r="4" spans="1:3" x14ac:dyDescent="0.25">
      <c r="A4" s="1" t="s">
        <v>3</v>
      </c>
      <c r="B4" s="3" t="s">
        <v>4</v>
      </c>
    </row>
    <row r="5" spans="1:3" x14ac:dyDescent="0.25">
      <c r="B5" s="4" t="s">
        <v>5</v>
      </c>
    </row>
    <row r="6" spans="1:3" x14ac:dyDescent="0.25">
      <c r="B6" s="4" t="s">
        <v>6</v>
      </c>
    </row>
    <row r="7" spans="1:3" x14ac:dyDescent="0.25">
      <c r="B7" s="4">
        <v>2025</v>
      </c>
    </row>
    <row r="8" spans="1:3" x14ac:dyDescent="0.25">
      <c r="B8" s="5" t="s">
        <v>7</v>
      </c>
    </row>
    <row r="9" spans="1:3" ht="75" x14ac:dyDescent="0.25">
      <c r="B9" s="4" t="s">
        <v>8</v>
      </c>
    </row>
    <row r="11" spans="1:3" x14ac:dyDescent="0.25">
      <c r="B11" s="3" t="s">
        <v>9</v>
      </c>
    </row>
    <row r="12" spans="1:3" x14ac:dyDescent="0.25">
      <c r="B12" s="4" t="s">
        <v>10</v>
      </c>
    </row>
    <row r="13" spans="1:3" x14ac:dyDescent="0.25">
      <c r="B13" s="4" t="s">
        <v>11</v>
      </c>
    </row>
    <row r="14" spans="1:3" x14ac:dyDescent="0.25">
      <c r="B14" s="4">
        <v>2026</v>
      </c>
    </row>
    <row r="15" spans="1:3" x14ac:dyDescent="0.25">
      <c r="B15" s="5" t="s">
        <v>7</v>
      </c>
    </row>
    <row r="16" spans="1:3" ht="45" x14ac:dyDescent="0.25">
      <c r="B16" s="4" t="s">
        <v>12</v>
      </c>
    </row>
    <row r="18" spans="2:2" x14ac:dyDescent="0.25">
      <c r="B18" s="3" t="s">
        <v>13</v>
      </c>
    </row>
    <row r="19" spans="2:2" x14ac:dyDescent="0.25">
      <c r="B19" s="4" t="s">
        <v>14</v>
      </c>
    </row>
    <row r="20" spans="2:2" x14ac:dyDescent="0.25">
      <c r="B20" s="4" t="s">
        <v>15</v>
      </c>
    </row>
    <row r="21" spans="2:2" x14ac:dyDescent="0.25">
      <c r="B21" s="4">
        <v>2026</v>
      </c>
    </row>
    <row r="22" spans="2:2" x14ac:dyDescent="0.25">
      <c r="B22" s="5" t="s">
        <v>16</v>
      </c>
    </row>
    <row r="23" spans="2:2" ht="45" x14ac:dyDescent="0.25">
      <c r="B23" s="4" t="s">
        <v>17</v>
      </c>
    </row>
    <row r="25" spans="2:2" x14ac:dyDescent="0.25">
      <c r="B25" s="3" t="s">
        <v>18</v>
      </c>
    </row>
    <row r="26" spans="2:2" x14ac:dyDescent="0.25">
      <c r="B26" s="4" t="s">
        <v>19</v>
      </c>
    </row>
    <row r="27" spans="2:2" x14ac:dyDescent="0.25">
      <c r="B27" s="4" t="s">
        <v>20</v>
      </c>
    </row>
    <row r="28" spans="2:2" x14ac:dyDescent="0.25">
      <c r="B28" s="4">
        <v>2026</v>
      </c>
    </row>
    <row r="29" spans="2:2" x14ac:dyDescent="0.25">
      <c r="B29" s="5" t="s">
        <v>16</v>
      </c>
    </row>
    <row r="30" spans="2:2" ht="105" x14ac:dyDescent="0.25">
      <c r="B30" s="4" t="s">
        <v>21</v>
      </c>
    </row>
    <row r="33" spans="1:2" x14ac:dyDescent="0.25">
      <c r="A33" s="1" t="s">
        <v>22</v>
      </c>
    </row>
    <row r="34" spans="1:2" ht="60" x14ac:dyDescent="0.25">
      <c r="A34" s="6" t="s">
        <v>23</v>
      </c>
      <c r="B34" s="4" t="s">
        <v>24</v>
      </c>
    </row>
    <row r="35" spans="1:2" ht="45" x14ac:dyDescent="0.25">
      <c r="A35" s="6" t="s">
        <v>25</v>
      </c>
      <c r="B35" s="4" t="s">
        <v>26</v>
      </c>
    </row>
    <row r="36" spans="1:2" ht="90" x14ac:dyDescent="0.25">
      <c r="A36" s="6" t="s">
        <v>27</v>
      </c>
      <c r="B36" s="4" t="s">
        <v>28</v>
      </c>
    </row>
    <row r="37" spans="1:2" ht="105" x14ac:dyDescent="0.25">
      <c r="A37" s="6" t="s">
        <v>29</v>
      </c>
      <c r="B37" s="4" t="s">
        <v>30</v>
      </c>
    </row>
    <row r="38" spans="1:2" ht="90" x14ac:dyDescent="0.25">
      <c r="A38" s="6" t="s">
        <v>31</v>
      </c>
      <c r="B38" s="4" t="s">
        <v>32</v>
      </c>
    </row>
    <row r="39" spans="1:2" ht="60" x14ac:dyDescent="0.25">
      <c r="A39" s="6" t="s">
        <v>33</v>
      </c>
      <c r="B39" s="4" t="s">
        <v>34</v>
      </c>
    </row>
    <row r="40" spans="1:2" ht="45" x14ac:dyDescent="0.25">
      <c r="A40" s="6" t="s">
        <v>35</v>
      </c>
      <c r="B40" s="4" t="s">
        <v>36</v>
      </c>
    </row>
    <row r="41" spans="1:2" ht="45" x14ac:dyDescent="0.25">
      <c r="A41" s="6" t="s">
        <v>37</v>
      </c>
      <c r="B41" s="4" t="s">
        <v>38</v>
      </c>
    </row>
  </sheetData>
  <hyperlinks>
    <hyperlink ref="B8" r:id="rId1" xr:uid="{00000000-0004-0000-0000-000000000000}"/>
    <hyperlink ref="B15" r:id="rId2" xr:uid="{00000000-0004-0000-0000-000001000000}"/>
    <hyperlink ref="B22" r:id="rId3" xr:uid="{00000000-0004-0000-0000-000002000000}"/>
    <hyperlink ref="B29" r:id="rId4" xr:uid="{00000000-0004-0000-0000-000003000000}"/>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111"/>
  <sheetViews>
    <sheetView workbookViewId="0">
      <pane ySplit="1" topLeftCell="A2" activePane="bottomLeft" state="frozen"/>
      <selection pane="bottomLeft"/>
    </sheetView>
  </sheetViews>
  <sheetFormatPr defaultRowHeight="15" x14ac:dyDescent="0.25"/>
  <cols>
    <col min="1" max="1" width="26" customWidth="1"/>
    <col min="2" max="2" width="34" customWidth="1"/>
    <col min="3" max="3" width="14" customWidth="1"/>
    <col min="4" max="4" width="104" customWidth="1"/>
  </cols>
  <sheetData>
    <row r="1" spans="1:4" x14ac:dyDescent="0.25">
      <c r="A1" s="7" t="s">
        <v>39</v>
      </c>
      <c r="B1" s="7" t="s">
        <v>40</v>
      </c>
      <c r="C1" s="7" t="s">
        <v>41</v>
      </c>
      <c r="D1" s="7" t="s">
        <v>42</v>
      </c>
    </row>
    <row r="2" spans="1:4" x14ac:dyDescent="0.25">
      <c r="A2" t="s">
        <v>43</v>
      </c>
      <c r="B2" t="s">
        <v>44</v>
      </c>
      <c r="C2">
        <v>1990</v>
      </c>
      <c r="D2" s="4" t="s">
        <v>45</v>
      </c>
    </row>
    <row r="3" spans="1:4" x14ac:dyDescent="0.25">
      <c r="A3" t="s">
        <v>43</v>
      </c>
      <c r="B3" t="s">
        <v>46</v>
      </c>
      <c r="C3">
        <v>2025</v>
      </c>
      <c r="D3" s="4" t="s">
        <v>47</v>
      </c>
    </row>
    <row r="4" spans="1:4" ht="30" x14ac:dyDescent="0.25">
      <c r="A4" t="s">
        <v>48</v>
      </c>
      <c r="B4" t="s">
        <v>49</v>
      </c>
      <c r="C4">
        <v>0.93899999999999995</v>
      </c>
      <c r="D4" s="4" t="s">
        <v>50</v>
      </c>
    </row>
    <row r="5" spans="1:4" x14ac:dyDescent="0.25">
      <c r="A5" t="s">
        <v>51</v>
      </c>
      <c r="B5" t="s">
        <v>52</v>
      </c>
      <c r="C5">
        <v>1152</v>
      </c>
      <c r="D5" s="4" t="s">
        <v>53</v>
      </c>
    </row>
    <row r="6" spans="1:4" x14ac:dyDescent="0.25">
      <c r="A6" t="s">
        <v>51</v>
      </c>
      <c r="B6" t="s">
        <v>54</v>
      </c>
      <c r="C6">
        <v>50000</v>
      </c>
      <c r="D6" s="4" t="s">
        <v>55</v>
      </c>
    </row>
    <row r="7" spans="1:4" x14ac:dyDescent="0.25">
      <c r="A7" t="s">
        <v>48</v>
      </c>
      <c r="B7" t="s">
        <v>56</v>
      </c>
      <c r="C7" t="s">
        <v>57</v>
      </c>
      <c r="D7" s="4" t="s">
        <v>58</v>
      </c>
    </row>
    <row r="8" spans="1:4" x14ac:dyDescent="0.25">
      <c r="A8" t="s">
        <v>48</v>
      </c>
      <c r="B8" t="s">
        <v>59</v>
      </c>
      <c r="C8" t="s">
        <v>60</v>
      </c>
      <c r="D8" s="4" t="s">
        <v>61</v>
      </c>
    </row>
    <row r="9" spans="1:4" ht="30" x14ac:dyDescent="0.25">
      <c r="A9" t="s">
        <v>51</v>
      </c>
      <c r="B9" t="s">
        <v>62</v>
      </c>
      <c r="C9">
        <v>4</v>
      </c>
      <c r="D9" s="4" t="s">
        <v>63</v>
      </c>
    </row>
    <row r="10" spans="1:4" x14ac:dyDescent="0.25">
      <c r="A10" t="s">
        <v>51</v>
      </c>
      <c r="B10" t="s">
        <v>64</v>
      </c>
      <c r="C10" t="s">
        <v>65</v>
      </c>
      <c r="D10" s="4" t="s">
        <v>66</v>
      </c>
    </row>
    <row r="11" spans="1:4" x14ac:dyDescent="0.25">
      <c r="A11" t="s">
        <v>51</v>
      </c>
      <c r="B11" t="s">
        <v>67</v>
      </c>
      <c r="C11" t="s">
        <v>68</v>
      </c>
      <c r="D11" s="4" t="s">
        <v>66</v>
      </c>
    </row>
    <row r="12" spans="1:4" x14ac:dyDescent="0.25">
      <c r="A12" t="s">
        <v>51</v>
      </c>
      <c r="B12" t="s">
        <v>69</v>
      </c>
      <c r="C12" t="s">
        <v>70</v>
      </c>
      <c r="D12" s="4" t="s">
        <v>66</v>
      </c>
    </row>
    <row r="13" spans="1:4" x14ac:dyDescent="0.25">
      <c r="A13" t="s">
        <v>51</v>
      </c>
      <c r="B13" t="s">
        <v>71</v>
      </c>
      <c r="C13" t="s">
        <v>72</v>
      </c>
      <c r="D13" s="4" t="s">
        <v>73</v>
      </c>
    </row>
    <row r="14" spans="1:4" x14ac:dyDescent="0.25">
      <c r="A14" t="s">
        <v>51</v>
      </c>
      <c r="B14" t="s">
        <v>74</v>
      </c>
      <c r="C14" t="s">
        <v>75</v>
      </c>
      <c r="D14" s="4" t="s">
        <v>76</v>
      </c>
    </row>
    <row r="15" spans="1:4" ht="60" x14ac:dyDescent="0.25">
      <c r="A15" t="s">
        <v>77</v>
      </c>
      <c r="B15" t="s">
        <v>78</v>
      </c>
      <c r="C15">
        <v>250</v>
      </c>
      <c r="D15" s="4" t="s">
        <v>79</v>
      </c>
    </row>
    <row r="16" spans="1:4" ht="75" x14ac:dyDescent="0.25">
      <c r="A16" t="s">
        <v>80</v>
      </c>
      <c r="B16" t="s">
        <v>81</v>
      </c>
      <c r="C16">
        <f t="shared" ref="C16:C39" si="0">$C$15</f>
        <v>250</v>
      </c>
      <c r="D16" s="4" t="s">
        <v>82</v>
      </c>
    </row>
    <row r="17" spans="1:4" ht="75" x14ac:dyDescent="0.25">
      <c r="A17" t="s">
        <v>80</v>
      </c>
      <c r="B17" t="s">
        <v>83</v>
      </c>
      <c r="C17">
        <f t="shared" si="0"/>
        <v>250</v>
      </c>
      <c r="D17" s="4" t="s">
        <v>82</v>
      </c>
    </row>
    <row r="18" spans="1:4" ht="75" x14ac:dyDescent="0.25">
      <c r="A18" t="s">
        <v>80</v>
      </c>
      <c r="B18" t="s">
        <v>84</v>
      </c>
      <c r="C18">
        <f t="shared" si="0"/>
        <v>250</v>
      </c>
      <c r="D18" s="4" t="s">
        <v>82</v>
      </c>
    </row>
    <row r="19" spans="1:4" ht="75" x14ac:dyDescent="0.25">
      <c r="A19" t="s">
        <v>80</v>
      </c>
      <c r="B19" t="s">
        <v>85</v>
      </c>
      <c r="C19">
        <f t="shared" si="0"/>
        <v>250</v>
      </c>
      <c r="D19" s="4" t="s">
        <v>82</v>
      </c>
    </row>
    <row r="20" spans="1:4" ht="75" x14ac:dyDescent="0.25">
      <c r="A20" t="s">
        <v>80</v>
      </c>
      <c r="B20" t="s">
        <v>86</v>
      </c>
      <c r="C20">
        <f t="shared" si="0"/>
        <v>250</v>
      </c>
      <c r="D20" s="4" t="s">
        <v>82</v>
      </c>
    </row>
    <row r="21" spans="1:4" ht="75" x14ac:dyDescent="0.25">
      <c r="A21" t="s">
        <v>80</v>
      </c>
      <c r="B21" t="s">
        <v>87</v>
      </c>
      <c r="C21">
        <f t="shared" si="0"/>
        <v>250</v>
      </c>
      <c r="D21" s="4" t="s">
        <v>82</v>
      </c>
    </row>
    <row r="22" spans="1:4" ht="75" x14ac:dyDescent="0.25">
      <c r="A22" t="s">
        <v>80</v>
      </c>
      <c r="B22" t="s">
        <v>88</v>
      </c>
      <c r="C22">
        <f t="shared" si="0"/>
        <v>250</v>
      </c>
      <c r="D22" s="4" t="s">
        <v>82</v>
      </c>
    </row>
    <row r="23" spans="1:4" ht="75" x14ac:dyDescent="0.25">
      <c r="A23" t="s">
        <v>80</v>
      </c>
      <c r="B23" t="s">
        <v>89</v>
      </c>
      <c r="C23">
        <f t="shared" si="0"/>
        <v>250</v>
      </c>
      <c r="D23" s="4" t="s">
        <v>82</v>
      </c>
    </row>
    <row r="24" spans="1:4" ht="75" x14ac:dyDescent="0.25">
      <c r="A24" t="s">
        <v>80</v>
      </c>
      <c r="B24" t="s">
        <v>90</v>
      </c>
      <c r="C24">
        <f t="shared" si="0"/>
        <v>250</v>
      </c>
      <c r="D24" s="4" t="s">
        <v>82</v>
      </c>
    </row>
    <row r="25" spans="1:4" ht="75" x14ac:dyDescent="0.25">
      <c r="A25" t="s">
        <v>80</v>
      </c>
      <c r="B25" t="s">
        <v>91</v>
      </c>
      <c r="C25">
        <f t="shared" si="0"/>
        <v>250</v>
      </c>
      <c r="D25" s="4" t="s">
        <v>82</v>
      </c>
    </row>
    <row r="26" spans="1:4" ht="75" x14ac:dyDescent="0.25">
      <c r="A26" t="s">
        <v>80</v>
      </c>
      <c r="B26" t="s">
        <v>92</v>
      </c>
      <c r="C26">
        <f t="shared" si="0"/>
        <v>250</v>
      </c>
      <c r="D26" s="4" t="s">
        <v>82</v>
      </c>
    </row>
    <row r="27" spans="1:4" ht="75" x14ac:dyDescent="0.25">
      <c r="A27" t="s">
        <v>80</v>
      </c>
      <c r="B27" t="s">
        <v>93</v>
      </c>
      <c r="C27">
        <f t="shared" si="0"/>
        <v>250</v>
      </c>
      <c r="D27" s="4" t="s">
        <v>82</v>
      </c>
    </row>
    <row r="28" spans="1:4" ht="75" x14ac:dyDescent="0.25">
      <c r="A28" t="s">
        <v>80</v>
      </c>
      <c r="B28" t="s">
        <v>94</v>
      </c>
      <c r="C28">
        <f t="shared" si="0"/>
        <v>250</v>
      </c>
      <c r="D28" s="4" t="s">
        <v>82</v>
      </c>
    </row>
    <row r="29" spans="1:4" ht="75" x14ac:dyDescent="0.25">
      <c r="A29" t="s">
        <v>80</v>
      </c>
      <c r="B29" t="s">
        <v>95</v>
      </c>
      <c r="C29">
        <f t="shared" si="0"/>
        <v>250</v>
      </c>
      <c r="D29" s="4" t="s">
        <v>82</v>
      </c>
    </row>
    <row r="30" spans="1:4" ht="75" x14ac:dyDescent="0.25">
      <c r="A30" t="s">
        <v>80</v>
      </c>
      <c r="B30" t="s">
        <v>96</v>
      </c>
      <c r="C30">
        <f t="shared" si="0"/>
        <v>250</v>
      </c>
      <c r="D30" s="4" t="s">
        <v>82</v>
      </c>
    </row>
    <row r="31" spans="1:4" ht="75" x14ac:dyDescent="0.25">
      <c r="A31" t="s">
        <v>80</v>
      </c>
      <c r="B31" t="s">
        <v>97</v>
      </c>
      <c r="C31">
        <f t="shared" si="0"/>
        <v>250</v>
      </c>
      <c r="D31" s="4" t="s">
        <v>82</v>
      </c>
    </row>
    <row r="32" spans="1:4" ht="75" x14ac:dyDescent="0.25">
      <c r="A32" t="s">
        <v>80</v>
      </c>
      <c r="B32" t="s">
        <v>98</v>
      </c>
      <c r="C32">
        <f t="shared" si="0"/>
        <v>250</v>
      </c>
      <c r="D32" s="4" t="s">
        <v>82</v>
      </c>
    </row>
    <row r="33" spans="1:4" ht="75" x14ac:dyDescent="0.25">
      <c r="A33" t="s">
        <v>80</v>
      </c>
      <c r="B33" t="s">
        <v>99</v>
      </c>
      <c r="C33">
        <f t="shared" si="0"/>
        <v>250</v>
      </c>
      <c r="D33" s="4" t="s">
        <v>82</v>
      </c>
    </row>
    <row r="34" spans="1:4" ht="75" x14ac:dyDescent="0.25">
      <c r="A34" t="s">
        <v>80</v>
      </c>
      <c r="B34" t="s">
        <v>100</v>
      </c>
      <c r="C34">
        <f t="shared" si="0"/>
        <v>250</v>
      </c>
      <c r="D34" s="4" t="s">
        <v>82</v>
      </c>
    </row>
    <row r="35" spans="1:4" ht="75" x14ac:dyDescent="0.25">
      <c r="A35" t="s">
        <v>80</v>
      </c>
      <c r="B35" t="s">
        <v>101</v>
      </c>
      <c r="C35">
        <f t="shared" si="0"/>
        <v>250</v>
      </c>
      <c r="D35" s="4" t="s">
        <v>82</v>
      </c>
    </row>
    <row r="36" spans="1:4" ht="75" x14ac:dyDescent="0.25">
      <c r="A36" t="s">
        <v>80</v>
      </c>
      <c r="B36" t="s">
        <v>102</v>
      </c>
      <c r="C36">
        <f t="shared" si="0"/>
        <v>250</v>
      </c>
      <c r="D36" s="4" t="s">
        <v>82</v>
      </c>
    </row>
    <row r="37" spans="1:4" ht="75" x14ac:dyDescent="0.25">
      <c r="A37" t="s">
        <v>80</v>
      </c>
      <c r="B37" t="s">
        <v>103</v>
      </c>
      <c r="C37">
        <f t="shared" si="0"/>
        <v>250</v>
      </c>
      <c r="D37" s="4" t="s">
        <v>82</v>
      </c>
    </row>
    <row r="38" spans="1:4" ht="75" x14ac:dyDescent="0.25">
      <c r="A38" t="s">
        <v>80</v>
      </c>
      <c r="B38" t="s">
        <v>104</v>
      </c>
      <c r="C38">
        <f t="shared" si="0"/>
        <v>250</v>
      </c>
      <c r="D38" s="4" t="s">
        <v>82</v>
      </c>
    </row>
    <row r="39" spans="1:4" ht="75" x14ac:dyDescent="0.25">
      <c r="A39" t="s">
        <v>80</v>
      </c>
      <c r="B39" t="s">
        <v>105</v>
      </c>
      <c r="C39">
        <f t="shared" si="0"/>
        <v>250</v>
      </c>
      <c r="D39" s="4" t="s">
        <v>82</v>
      </c>
    </row>
    <row r="40" spans="1:4" x14ac:dyDescent="0.25">
      <c r="A40" t="s">
        <v>106</v>
      </c>
      <c r="B40" t="s">
        <v>81</v>
      </c>
      <c r="C40" t="s">
        <v>60</v>
      </c>
      <c r="D40" s="4" t="s">
        <v>107</v>
      </c>
    </row>
    <row r="41" spans="1:4" x14ac:dyDescent="0.25">
      <c r="A41" t="s">
        <v>106</v>
      </c>
      <c r="B41" t="s">
        <v>83</v>
      </c>
      <c r="C41" t="s">
        <v>60</v>
      </c>
      <c r="D41" s="4" t="s">
        <v>107</v>
      </c>
    </row>
    <row r="42" spans="1:4" x14ac:dyDescent="0.25">
      <c r="A42" t="s">
        <v>106</v>
      </c>
      <c r="B42" t="s">
        <v>84</v>
      </c>
      <c r="C42" t="s">
        <v>57</v>
      </c>
      <c r="D42" s="4" t="s">
        <v>108</v>
      </c>
    </row>
    <row r="43" spans="1:4" x14ac:dyDescent="0.25">
      <c r="A43" t="s">
        <v>106</v>
      </c>
      <c r="B43" t="s">
        <v>85</v>
      </c>
      <c r="C43" t="s">
        <v>60</v>
      </c>
      <c r="D43" s="4" t="s">
        <v>107</v>
      </c>
    </row>
    <row r="44" spans="1:4" x14ac:dyDescent="0.25">
      <c r="A44" t="s">
        <v>106</v>
      </c>
      <c r="B44" t="s">
        <v>86</v>
      </c>
      <c r="C44" t="s">
        <v>60</v>
      </c>
      <c r="D44" s="4" t="s">
        <v>107</v>
      </c>
    </row>
    <row r="45" spans="1:4" x14ac:dyDescent="0.25">
      <c r="A45" t="s">
        <v>106</v>
      </c>
      <c r="B45" t="s">
        <v>87</v>
      </c>
      <c r="C45" t="s">
        <v>57</v>
      </c>
      <c r="D45" s="4" t="s">
        <v>108</v>
      </c>
    </row>
    <row r="46" spans="1:4" x14ac:dyDescent="0.25">
      <c r="A46" t="s">
        <v>106</v>
      </c>
      <c r="B46" t="s">
        <v>88</v>
      </c>
      <c r="C46" t="s">
        <v>57</v>
      </c>
      <c r="D46" s="4" t="s">
        <v>108</v>
      </c>
    </row>
    <row r="47" spans="1:4" x14ac:dyDescent="0.25">
      <c r="A47" t="s">
        <v>106</v>
      </c>
      <c r="B47" t="s">
        <v>89</v>
      </c>
      <c r="C47" t="s">
        <v>60</v>
      </c>
      <c r="D47" s="4" t="s">
        <v>107</v>
      </c>
    </row>
    <row r="48" spans="1:4" x14ac:dyDescent="0.25">
      <c r="A48" t="s">
        <v>106</v>
      </c>
      <c r="B48" t="s">
        <v>90</v>
      </c>
      <c r="C48" t="s">
        <v>60</v>
      </c>
      <c r="D48" s="4" t="s">
        <v>107</v>
      </c>
    </row>
    <row r="49" spans="1:4" x14ac:dyDescent="0.25">
      <c r="A49" t="s">
        <v>106</v>
      </c>
      <c r="B49" t="s">
        <v>91</v>
      </c>
      <c r="C49" t="s">
        <v>60</v>
      </c>
      <c r="D49" s="4" t="s">
        <v>107</v>
      </c>
    </row>
    <row r="50" spans="1:4" x14ac:dyDescent="0.25">
      <c r="A50" t="s">
        <v>106</v>
      </c>
      <c r="B50" t="s">
        <v>92</v>
      </c>
      <c r="C50" t="s">
        <v>60</v>
      </c>
      <c r="D50" s="4" t="s">
        <v>107</v>
      </c>
    </row>
    <row r="51" spans="1:4" x14ac:dyDescent="0.25">
      <c r="A51" t="s">
        <v>106</v>
      </c>
      <c r="B51" t="s">
        <v>93</v>
      </c>
      <c r="C51" t="s">
        <v>57</v>
      </c>
      <c r="D51" s="4" t="s">
        <v>108</v>
      </c>
    </row>
    <row r="52" spans="1:4" x14ac:dyDescent="0.25">
      <c r="A52" t="s">
        <v>106</v>
      </c>
      <c r="B52" t="s">
        <v>94</v>
      </c>
      <c r="C52" t="s">
        <v>60</v>
      </c>
      <c r="D52" s="4" t="s">
        <v>107</v>
      </c>
    </row>
    <row r="53" spans="1:4" x14ac:dyDescent="0.25">
      <c r="A53" t="s">
        <v>106</v>
      </c>
      <c r="B53" t="s">
        <v>95</v>
      </c>
      <c r="C53" t="s">
        <v>60</v>
      </c>
      <c r="D53" s="4" t="s">
        <v>107</v>
      </c>
    </row>
    <row r="54" spans="1:4" x14ac:dyDescent="0.25">
      <c r="A54" t="s">
        <v>106</v>
      </c>
      <c r="B54" t="s">
        <v>96</v>
      </c>
      <c r="C54" t="s">
        <v>60</v>
      </c>
      <c r="D54" s="4" t="s">
        <v>107</v>
      </c>
    </row>
    <row r="55" spans="1:4" x14ac:dyDescent="0.25">
      <c r="A55" t="s">
        <v>106</v>
      </c>
      <c r="B55" t="s">
        <v>97</v>
      </c>
      <c r="C55" t="s">
        <v>60</v>
      </c>
      <c r="D55" s="4" t="s">
        <v>107</v>
      </c>
    </row>
    <row r="56" spans="1:4" x14ac:dyDescent="0.25">
      <c r="A56" t="s">
        <v>106</v>
      </c>
      <c r="B56" t="s">
        <v>98</v>
      </c>
      <c r="C56" t="s">
        <v>60</v>
      </c>
      <c r="D56" s="4" t="s">
        <v>107</v>
      </c>
    </row>
    <row r="57" spans="1:4" x14ac:dyDescent="0.25">
      <c r="A57" t="s">
        <v>106</v>
      </c>
      <c r="B57" t="s">
        <v>99</v>
      </c>
      <c r="C57" t="s">
        <v>60</v>
      </c>
      <c r="D57" s="4" t="s">
        <v>107</v>
      </c>
    </row>
    <row r="58" spans="1:4" x14ac:dyDescent="0.25">
      <c r="A58" t="s">
        <v>106</v>
      </c>
      <c r="B58" t="s">
        <v>100</v>
      </c>
      <c r="C58" t="s">
        <v>60</v>
      </c>
      <c r="D58" s="4" t="s">
        <v>107</v>
      </c>
    </row>
    <row r="59" spans="1:4" x14ac:dyDescent="0.25">
      <c r="A59" t="s">
        <v>106</v>
      </c>
      <c r="B59" t="s">
        <v>101</v>
      </c>
      <c r="C59" t="s">
        <v>60</v>
      </c>
      <c r="D59" s="4" t="s">
        <v>107</v>
      </c>
    </row>
    <row r="60" spans="1:4" x14ac:dyDescent="0.25">
      <c r="A60" t="s">
        <v>106</v>
      </c>
      <c r="B60" t="s">
        <v>102</v>
      </c>
      <c r="C60" t="s">
        <v>60</v>
      </c>
      <c r="D60" s="4" t="s">
        <v>107</v>
      </c>
    </row>
    <row r="61" spans="1:4" x14ac:dyDescent="0.25">
      <c r="A61" t="s">
        <v>106</v>
      </c>
      <c r="B61" t="s">
        <v>103</v>
      </c>
      <c r="C61" t="s">
        <v>60</v>
      </c>
      <c r="D61" s="4" t="s">
        <v>107</v>
      </c>
    </row>
    <row r="62" spans="1:4" x14ac:dyDescent="0.25">
      <c r="A62" t="s">
        <v>106</v>
      </c>
      <c r="B62" t="s">
        <v>104</v>
      </c>
      <c r="C62" t="s">
        <v>60</v>
      </c>
      <c r="D62" s="4" t="s">
        <v>107</v>
      </c>
    </row>
    <row r="63" spans="1:4" x14ac:dyDescent="0.25">
      <c r="A63" t="s">
        <v>106</v>
      </c>
      <c r="B63" t="s">
        <v>105</v>
      </c>
      <c r="C63" t="s">
        <v>60</v>
      </c>
      <c r="D63" s="4" t="s">
        <v>107</v>
      </c>
    </row>
    <row r="64" spans="1:4" x14ac:dyDescent="0.25">
      <c r="A64" t="s">
        <v>109</v>
      </c>
      <c r="B64" t="s">
        <v>110</v>
      </c>
      <c r="C64" t="s">
        <v>110</v>
      </c>
      <c r="D64" s="4" t="s">
        <v>111</v>
      </c>
    </row>
    <row r="65" spans="1:4" x14ac:dyDescent="0.25">
      <c r="A65" t="s">
        <v>109</v>
      </c>
      <c r="B65" t="s">
        <v>112</v>
      </c>
      <c r="C65" t="s">
        <v>112</v>
      </c>
      <c r="D65" s="4" t="s">
        <v>113</v>
      </c>
    </row>
    <row r="66" spans="1:4" x14ac:dyDescent="0.25">
      <c r="A66" t="s">
        <v>109</v>
      </c>
      <c r="B66" t="s">
        <v>114</v>
      </c>
      <c r="C66" t="s">
        <v>114</v>
      </c>
      <c r="D66" s="4" t="s">
        <v>115</v>
      </c>
    </row>
    <row r="67" spans="1:4" x14ac:dyDescent="0.25">
      <c r="A67" t="s">
        <v>109</v>
      </c>
      <c r="B67" t="s">
        <v>116</v>
      </c>
      <c r="C67" t="s">
        <v>116</v>
      </c>
      <c r="D67" s="4" t="s">
        <v>117</v>
      </c>
    </row>
    <row r="68" spans="1:4" x14ac:dyDescent="0.25">
      <c r="A68" t="s">
        <v>109</v>
      </c>
      <c r="B68" t="s">
        <v>118</v>
      </c>
      <c r="C68" t="s">
        <v>118</v>
      </c>
      <c r="D68" s="4" t="s">
        <v>119</v>
      </c>
    </row>
    <row r="69" spans="1:4" x14ac:dyDescent="0.25">
      <c r="A69" t="s">
        <v>109</v>
      </c>
      <c r="B69" t="s">
        <v>120</v>
      </c>
      <c r="C69" t="s">
        <v>120</v>
      </c>
      <c r="D69" s="4" t="s">
        <v>121</v>
      </c>
    </row>
    <row r="70" spans="1:4" x14ac:dyDescent="0.25">
      <c r="A70" t="s">
        <v>109</v>
      </c>
      <c r="B70" t="s">
        <v>122</v>
      </c>
      <c r="C70" t="s">
        <v>122</v>
      </c>
      <c r="D70" s="4" t="s">
        <v>123</v>
      </c>
    </row>
    <row r="71" spans="1:4" x14ac:dyDescent="0.25">
      <c r="A71" t="s">
        <v>109</v>
      </c>
      <c r="B71" t="s">
        <v>124</v>
      </c>
      <c r="C71" t="s">
        <v>124</v>
      </c>
      <c r="D71" s="4" t="s">
        <v>125</v>
      </c>
    </row>
    <row r="72" spans="1:4" x14ac:dyDescent="0.25">
      <c r="A72" t="s">
        <v>109</v>
      </c>
      <c r="B72" t="s">
        <v>126</v>
      </c>
      <c r="C72" t="s">
        <v>126</v>
      </c>
      <c r="D72" s="4" t="s">
        <v>127</v>
      </c>
    </row>
    <row r="73" spans="1:4" x14ac:dyDescent="0.25">
      <c r="A73" t="s">
        <v>109</v>
      </c>
      <c r="B73" t="s">
        <v>128</v>
      </c>
      <c r="C73" t="s">
        <v>128</v>
      </c>
      <c r="D73" s="4" t="s">
        <v>129</v>
      </c>
    </row>
    <row r="74" spans="1:4" x14ac:dyDescent="0.25">
      <c r="A74" t="s">
        <v>109</v>
      </c>
      <c r="B74" t="s">
        <v>130</v>
      </c>
      <c r="C74" t="s">
        <v>130</v>
      </c>
      <c r="D74" s="4" t="s">
        <v>131</v>
      </c>
    </row>
    <row r="75" spans="1:4" x14ac:dyDescent="0.25">
      <c r="A75" t="s">
        <v>109</v>
      </c>
      <c r="B75" t="s">
        <v>132</v>
      </c>
      <c r="C75" t="s">
        <v>132</v>
      </c>
      <c r="D75" s="4" t="s">
        <v>133</v>
      </c>
    </row>
    <row r="76" spans="1:4" x14ac:dyDescent="0.25">
      <c r="A76" t="s">
        <v>109</v>
      </c>
      <c r="B76" t="s">
        <v>134</v>
      </c>
      <c r="C76" t="s">
        <v>134</v>
      </c>
      <c r="D76" s="4" t="s">
        <v>135</v>
      </c>
    </row>
    <row r="77" spans="1:4" x14ac:dyDescent="0.25">
      <c r="A77" t="s">
        <v>109</v>
      </c>
      <c r="B77" t="s">
        <v>136</v>
      </c>
      <c r="C77" t="s">
        <v>136</v>
      </c>
      <c r="D77" s="4" t="s">
        <v>137</v>
      </c>
    </row>
    <row r="78" spans="1:4" x14ac:dyDescent="0.25">
      <c r="A78" t="s">
        <v>109</v>
      </c>
      <c r="B78" t="s">
        <v>138</v>
      </c>
      <c r="C78" t="s">
        <v>138</v>
      </c>
      <c r="D78" s="4" t="s">
        <v>139</v>
      </c>
    </row>
    <row r="79" spans="1:4" x14ac:dyDescent="0.25">
      <c r="A79" t="s">
        <v>109</v>
      </c>
      <c r="B79" t="s">
        <v>140</v>
      </c>
      <c r="C79" t="s">
        <v>140</v>
      </c>
      <c r="D79" s="4" t="s">
        <v>141</v>
      </c>
    </row>
    <row r="80" spans="1:4" x14ac:dyDescent="0.25">
      <c r="A80" t="s">
        <v>109</v>
      </c>
      <c r="B80" t="s">
        <v>142</v>
      </c>
      <c r="C80" t="s">
        <v>142</v>
      </c>
      <c r="D80" s="4" t="s">
        <v>143</v>
      </c>
    </row>
    <row r="81" spans="1:4" x14ac:dyDescent="0.25">
      <c r="A81" t="s">
        <v>109</v>
      </c>
      <c r="B81" t="s">
        <v>144</v>
      </c>
      <c r="C81" t="s">
        <v>144</v>
      </c>
      <c r="D81" s="4" t="s">
        <v>145</v>
      </c>
    </row>
    <row r="82" spans="1:4" x14ac:dyDescent="0.25">
      <c r="A82" t="s">
        <v>109</v>
      </c>
      <c r="B82" t="s">
        <v>146</v>
      </c>
      <c r="C82" t="s">
        <v>146</v>
      </c>
      <c r="D82" s="4" t="s">
        <v>147</v>
      </c>
    </row>
    <row r="83" spans="1:4" x14ac:dyDescent="0.25">
      <c r="A83" t="s">
        <v>109</v>
      </c>
      <c r="B83" t="s">
        <v>148</v>
      </c>
      <c r="C83" t="s">
        <v>148</v>
      </c>
      <c r="D83" s="4" t="s">
        <v>1</v>
      </c>
    </row>
    <row r="84" spans="1:4" x14ac:dyDescent="0.25">
      <c r="A84" t="s">
        <v>109</v>
      </c>
      <c r="B84" t="s">
        <v>149</v>
      </c>
      <c r="C84" t="s">
        <v>149</v>
      </c>
      <c r="D84" s="4" t="s">
        <v>150</v>
      </c>
    </row>
    <row r="85" spans="1:4" x14ac:dyDescent="0.25">
      <c r="A85" t="s">
        <v>109</v>
      </c>
      <c r="B85" t="s">
        <v>151</v>
      </c>
      <c r="C85" t="s">
        <v>151</v>
      </c>
      <c r="D85" s="4" t="s">
        <v>152</v>
      </c>
    </row>
    <row r="86" spans="1:4" x14ac:dyDescent="0.25">
      <c r="A86" t="s">
        <v>109</v>
      </c>
      <c r="B86" t="s">
        <v>153</v>
      </c>
      <c r="C86" t="s">
        <v>153</v>
      </c>
      <c r="D86" s="4" t="s">
        <v>154</v>
      </c>
    </row>
    <row r="87" spans="1:4" x14ac:dyDescent="0.25">
      <c r="A87" t="s">
        <v>109</v>
      </c>
      <c r="B87" t="s">
        <v>155</v>
      </c>
      <c r="C87" t="s">
        <v>155</v>
      </c>
      <c r="D87" s="4" t="s">
        <v>156</v>
      </c>
    </row>
    <row r="88" spans="1:4" x14ac:dyDescent="0.25">
      <c r="A88" t="s">
        <v>109</v>
      </c>
      <c r="B88" t="s">
        <v>157</v>
      </c>
      <c r="C88" t="s">
        <v>157</v>
      </c>
      <c r="D88" s="4" t="s">
        <v>158</v>
      </c>
    </row>
    <row r="89" spans="1:4" x14ac:dyDescent="0.25">
      <c r="A89" t="s">
        <v>109</v>
      </c>
      <c r="B89" t="s">
        <v>159</v>
      </c>
      <c r="C89" t="s">
        <v>159</v>
      </c>
      <c r="D89" s="4" t="s">
        <v>160</v>
      </c>
    </row>
    <row r="90" spans="1:4" x14ac:dyDescent="0.25">
      <c r="A90" t="s">
        <v>109</v>
      </c>
      <c r="B90" t="s">
        <v>161</v>
      </c>
      <c r="C90" t="s">
        <v>161</v>
      </c>
      <c r="D90" s="4" t="s">
        <v>162</v>
      </c>
    </row>
    <row r="91" spans="1:4" x14ac:dyDescent="0.25">
      <c r="A91" t="s">
        <v>109</v>
      </c>
      <c r="B91" t="s">
        <v>163</v>
      </c>
      <c r="C91" t="s">
        <v>163</v>
      </c>
      <c r="D91" s="4" t="s">
        <v>164</v>
      </c>
    </row>
    <row r="92" spans="1:4" x14ac:dyDescent="0.25">
      <c r="A92" t="s">
        <v>109</v>
      </c>
      <c r="B92" t="s">
        <v>165</v>
      </c>
      <c r="C92" t="s">
        <v>165</v>
      </c>
      <c r="D92" s="4" t="s">
        <v>166</v>
      </c>
    </row>
    <row r="93" spans="1:4" x14ac:dyDescent="0.25">
      <c r="A93" t="s">
        <v>109</v>
      </c>
      <c r="B93" t="s">
        <v>167</v>
      </c>
      <c r="C93" t="s">
        <v>167</v>
      </c>
      <c r="D93" s="4" t="s">
        <v>168</v>
      </c>
    </row>
    <row r="94" spans="1:4" x14ac:dyDescent="0.25">
      <c r="A94" t="s">
        <v>109</v>
      </c>
      <c r="B94" t="s">
        <v>169</v>
      </c>
      <c r="C94" t="s">
        <v>169</v>
      </c>
      <c r="D94" s="4" t="s">
        <v>170</v>
      </c>
    </row>
    <row r="95" spans="1:4" x14ac:dyDescent="0.25">
      <c r="A95" t="s">
        <v>109</v>
      </c>
      <c r="B95" t="s">
        <v>171</v>
      </c>
      <c r="C95" t="s">
        <v>171</v>
      </c>
      <c r="D95" s="4" t="s">
        <v>172</v>
      </c>
    </row>
    <row r="96" spans="1:4" x14ac:dyDescent="0.25">
      <c r="A96" t="s">
        <v>109</v>
      </c>
      <c r="B96" t="s">
        <v>173</v>
      </c>
      <c r="C96" t="s">
        <v>173</v>
      </c>
      <c r="D96" s="4" t="s">
        <v>174</v>
      </c>
    </row>
    <row r="97" spans="1:4" x14ac:dyDescent="0.25">
      <c r="A97" t="s">
        <v>109</v>
      </c>
      <c r="B97" t="s">
        <v>175</v>
      </c>
      <c r="C97" t="s">
        <v>175</v>
      </c>
      <c r="D97" s="4" t="s">
        <v>176</v>
      </c>
    </row>
    <row r="98" spans="1:4" x14ac:dyDescent="0.25">
      <c r="A98" t="s">
        <v>109</v>
      </c>
      <c r="B98" t="s">
        <v>177</v>
      </c>
      <c r="C98" t="s">
        <v>177</v>
      </c>
      <c r="D98" s="4" t="s">
        <v>178</v>
      </c>
    </row>
    <row r="99" spans="1:4" x14ac:dyDescent="0.25">
      <c r="A99" t="s">
        <v>109</v>
      </c>
      <c r="B99" t="s">
        <v>179</v>
      </c>
      <c r="C99" t="s">
        <v>179</v>
      </c>
      <c r="D99" s="4" t="s">
        <v>180</v>
      </c>
    </row>
    <row r="100" spans="1:4" x14ac:dyDescent="0.25">
      <c r="A100" t="s">
        <v>109</v>
      </c>
      <c r="B100" t="s">
        <v>181</v>
      </c>
      <c r="C100" t="s">
        <v>181</v>
      </c>
      <c r="D100" s="4" t="s">
        <v>182</v>
      </c>
    </row>
    <row r="101" spans="1:4" x14ac:dyDescent="0.25">
      <c r="A101" t="s">
        <v>109</v>
      </c>
      <c r="B101" t="s">
        <v>183</v>
      </c>
      <c r="C101" t="s">
        <v>183</v>
      </c>
      <c r="D101" s="4" t="s">
        <v>184</v>
      </c>
    </row>
    <row r="102" spans="1:4" x14ac:dyDescent="0.25">
      <c r="A102" t="s">
        <v>109</v>
      </c>
      <c r="B102" t="s">
        <v>185</v>
      </c>
      <c r="C102" t="s">
        <v>185</v>
      </c>
      <c r="D102" s="4" t="s">
        <v>186</v>
      </c>
    </row>
    <row r="103" spans="1:4" x14ac:dyDescent="0.25">
      <c r="A103" t="s">
        <v>109</v>
      </c>
      <c r="B103" t="s">
        <v>187</v>
      </c>
      <c r="C103" t="s">
        <v>187</v>
      </c>
      <c r="D103" s="4" t="s">
        <v>188</v>
      </c>
    </row>
    <row r="104" spans="1:4" x14ac:dyDescent="0.25">
      <c r="A104" t="s">
        <v>109</v>
      </c>
      <c r="B104" t="s">
        <v>189</v>
      </c>
      <c r="C104" t="s">
        <v>189</v>
      </c>
      <c r="D104" s="4" t="s">
        <v>190</v>
      </c>
    </row>
    <row r="105" spans="1:4" x14ac:dyDescent="0.25">
      <c r="A105" t="s">
        <v>109</v>
      </c>
      <c r="B105" t="s">
        <v>191</v>
      </c>
      <c r="C105" t="s">
        <v>191</v>
      </c>
      <c r="D105" s="4" t="s">
        <v>192</v>
      </c>
    </row>
    <row r="106" spans="1:4" x14ac:dyDescent="0.25">
      <c r="A106" t="s">
        <v>109</v>
      </c>
      <c r="B106" t="s">
        <v>193</v>
      </c>
      <c r="C106" t="s">
        <v>193</v>
      </c>
      <c r="D106" s="4" t="s">
        <v>194</v>
      </c>
    </row>
    <row r="107" spans="1:4" x14ac:dyDescent="0.25">
      <c r="A107" t="s">
        <v>109</v>
      </c>
      <c r="B107" t="s">
        <v>195</v>
      </c>
      <c r="C107" t="s">
        <v>195</v>
      </c>
      <c r="D107" s="4" t="s">
        <v>196</v>
      </c>
    </row>
    <row r="108" spans="1:4" x14ac:dyDescent="0.25">
      <c r="A108" t="s">
        <v>109</v>
      </c>
      <c r="B108" t="s">
        <v>197</v>
      </c>
      <c r="C108" t="s">
        <v>197</v>
      </c>
      <c r="D108" s="4" t="s">
        <v>198</v>
      </c>
    </row>
    <row r="109" spans="1:4" x14ac:dyDescent="0.25">
      <c r="A109" t="s">
        <v>109</v>
      </c>
      <c r="B109" t="s">
        <v>199</v>
      </c>
      <c r="C109" t="s">
        <v>199</v>
      </c>
      <c r="D109" s="4" t="s">
        <v>200</v>
      </c>
    </row>
    <row r="110" spans="1:4" x14ac:dyDescent="0.25">
      <c r="A110" t="s">
        <v>109</v>
      </c>
      <c r="B110" t="s">
        <v>201</v>
      </c>
      <c r="C110" t="s">
        <v>201</v>
      </c>
      <c r="D110" s="4" t="s">
        <v>202</v>
      </c>
    </row>
    <row r="111" spans="1:4" x14ac:dyDescent="0.25">
      <c r="A111" t="s">
        <v>109</v>
      </c>
      <c r="B111" t="s">
        <v>203</v>
      </c>
      <c r="C111" t="s">
        <v>203</v>
      </c>
      <c r="D111" s="4" t="s">
        <v>204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4"/>
  <sheetViews>
    <sheetView workbookViewId="0"/>
  </sheetViews>
  <sheetFormatPr defaultRowHeight="15" x14ac:dyDescent="0.25"/>
  <cols>
    <col min="1" max="1" width="30" customWidth="1"/>
    <col min="2" max="2" width="112" customWidth="1"/>
  </cols>
  <sheetData>
    <row r="1" spans="1:2" x14ac:dyDescent="0.25">
      <c r="A1" s="1" t="s">
        <v>205</v>
      </c>
    </row>
    <row r="3" spans="1:2" ht="45" x14ac:dyDescent="0.25">
      <c r="A3" s="6" t="s">
        <v>206</v>
      </c>
      <c r="B3" s="4" t="s">
        <v>207</v>
      </c>
    </row>
    <row r="4" spans="1:2" ht="105" x14ac:dyDescent="0.25">
      <c r="A4" s="6" t="s">
        <v>208</v>
      </c>
      <c r="B4" s="4" t="s">
        <v>209</v>
      </c>
    </row>
    <row r="5" spans="1:2" ht="45" x14ac:dyDescent="0.25">
      <c r="A5" s="6" t="s">
        <v>210</v>
      </c>
      <c r="B5" s="4" t="s">
        <v>211</v>
      </c>
    </row>
    <row r="6" spans="1:2" ht="195" x14ac:dyDescent="0.25">
      <c r="A6" s="6" t="s">
        <v>212</v>
      </c>
      <c r="B6" s="4" t="s">
        <v>213</v>
      </c>
    </row>
    <row r="7" spans="1:2" ht="105" x14ac:dyDescent="0.25">
      <c r="A7" s="6" t="s">
        <v>214</v>
      </c>
      <c r="B7" s="4" t="s">
        <v>215</v>
      </c>
    </row>
    <row r="8" spans="1:2" ht="45" x14ac:dyDescent="0.25">
      <c r="A8" s="6" t="s">
        <v>216</v>
      </c>
      <c r="B8" s="4" t="s">
        <v>217</v>
      </c>
    </row>
    <row r="9" spans="1:2" ht="120" x14ac:dyDescent="0.25">
      <c r="A9" s="6" t="s">
        <v>218</v>
      </c>
      <c r="B9" s="4" t="s">
        <v>219</v>
      </c>
    </row>
    <row r="10" spans="1:2" ht="60" x14ac:dyDescent="0.25">
      <c r="A10" s="6" t="s">
        <v>220</v>
      </c>
      <c r="B10" s="4" t="s">
        <v>221</v>
      </c>
    </row>
    <row r="11" spans="1:2" ht="60" x14ac:dyDescent="0.25">
      <c r="A11" s="6" t="s">
        <v>222</v>
      </c>
      <c r="B11" s="4" t="s">
        <v>223</v>
      </c>
    </row>
    <row r="12" spans="1:2" ht="30" x14ac:dyDescent="0.25">
      <c r="A12" s="6" t="s">
        <v>224</v>
      </c>
      <c r="B12" s="4" t="s">
        <v>225</v>
      </c>
    </row>
    <row r="13" spans="1:2" ht="75" x14ac:dyDescent="0.25">
      <c r="A13" s="6" t="s">
        <v>226</v>
      </c>
      <c r="B13" s="4" t="s">
        <v>227</v>
      </c>
    </row>
    <row r="14" spans="1:2" x14ac:dyDescent="0.25">
      <c r="A14" s="6" t="s">
        <v>228</v>
      </c>
      <c r="B14" s="4" t="s">
        <v>229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17"/>
  <sheetViews>
    <sheetView workbookViewId="0"/>
  </sheetViews>
  <sheetFormatPr defaultRowHeight="15" x14ac:dyDescent="0.25"/>
  <cols>
    <col min="1" max="1" width="118" customWidth="1"/>
  </cols>
  <sheetData>
    <row r="1" spans="1:1" x14ac:dyDescent="0.25">
      <c r="A1" s="1" t="s">
        <v>230</v>
      </c>
    </row>
    <row r="3" spans="1:1" x14ac:dyDescent="0.25">
      <c r="A3" s="6" t="s">
        <v>231</v>
      </c>
    </row>
    <row r="5" spans="1:1" x14ac:dyDescent="0.25">
      <c r="A5" s="4" t="s">
        <v>232</v>
      </c>
    </row>
    <row r="6" spans="1:1" x14ac:dyDescent="0.25">
      <c r="A6" s="4" t="s">
        <v>233</v>
      </c>
    </row>
    <row r="7" spans="1:1" x14ac:dyDescent="0.25">
      <c r="A7" s="4" t="s">
        <v>234</v>
      </c>
    </row>
    <row r="8" spans="1:1" x14ac:dyDescent="0.25">
      <c r="A8" s="4" t="s">
        <v>235</v>
      </c>
    </row>
    <row r="9" spans="1:1" x14ac:dyDescent="0.25">
      <c r="A9" s="4" t="s">
        <v>236</v>
      </c>
    </row>
    <row r="10" spans="1:1" x14ac:dyDescent="0.25">
      <c r="A10" s="4" t="s">
        <v>237</v>
      </c>
    </row>
    <row r="11" spans="1:1" x14ac:dyDescent="0.25">
      <c r="A11" s="4" t="s">
        <v>238</v>
      </c>
    </row>
    <row r="12" spans="1:1" x14ac:dyDescent="0.25">
      <c r="A12" s="4" t="s">
        <v>239</v>
      </c>
    </row>
    <row r="14" spans="1:1" x14ac:dyDescent="0.25">
      <c r="A14" s="6" t="s">
        <v>240</v>
      </c>
    </row>
    <row r="16" spans="1:1" x14ac:dyDescent="0.25">
      <c r="A16" s="4" t="s">
        <v>241</v>
      </c>
    </row>
    <row r="17" spans="1:1" x14ac:dyDescent="0.25">
      <c r="A17" s="4" t="s">
        <v>242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3563"/>
  <sheetViews>
    <sheetView workbookViewId="0">
      <pane ySplit="1" topLeftCell="A2" activePane="bottomLeft" state="frozen"/>
      <selection pane="bottomLeft"/>
    </sheetView>
  </sheetViews>
  <sheetFormatPr defaultRowHeight="15" x14ac:dyDescent="0.25"/>
  <cols>
    <col min="1" max="1" width="8" customWidth="1"/>
    <col min="2" max="2" width="32" customWidth="1"/>
    <col min="3" max="3" width="8" customWidth="1"/>
    <col min="4" max="4" width="18" customWidth="1"/>
    <col min="5" max="5" width="20" customWidth="1"/>
    <col min="6" max="6" width="32" customWidth="1"/>
  </cols>
  <sheetData>
    <row r="1" spans="1:6" x14ac:dyDescent="0.25">
      <c r="A1" s="7" t="s">
        <v>109</v>
      </c>
      <c r="B1" s="7" t="s">
        <v>243</v>
      </c>
      <c r="C1" s="7" t="s">
        <v>244</v>
      </c>
      <c r="D1" s="7" t="s">
        <v>245</v>
      </c>
      <c r="E1" s="7" t="s">
        <v>246</v>
      </c>
      <c r="F1" s="8" t="s">
        <v>247</v>
      </c>
    </row>
    <row r="2" spans="1:6" x14ac:dyDescent="0.25">
      <c r="A2" t="s">
        <v>248</v>
      </c>
      <c r="B2" t="s">
        <v>90</v>
      </c>
      <c r="C2">
        <v>2012</v>
      </c>
      <c r="D2">
        <v>5.6</v>
      </c>
      <c r="E2">
        <v>9.1999999999999993</v>
      </c>
      <c r="F2" t="str">
        <f t="shared" ref="F2:F65" si="0">LOWER($B2)</f>
        <v>biomass</v>
      </c>
    </row>
    <row r="3" spans="1:6" x14ac:dyDescent="0.25">
      <c r="A3" t="s">
        <v>248</v>
      </c>
      <c r="B3" t="s">
        <v>90</v>
      </c>
      <c r="C3">
        <v>2013</v>
      </c>
      <c r="D3">
        <v>1.4</v>
      </c>
      <c r="E3">
        <v>2.2999999999999998</v>
      </c>
      <c r="F3" t="str">
        <f t="shared" si="0"/>
        <v>biomass</v>
      </c>
    </row>
    <row r="4" spans="1:6" x14ac:dyDescent="0.25">
      <c r="A4" t="s">
        <v>248</v>
      </c>
      <c r="B4" t="s">
        <v>81</v>
      </c>
      <c r="C4">
        <v>2020</v>
      </c>
      <c r="D4">
        <v>17</v>
      </c>
      <c r="E4">
        <v>17</v>
      </c>
      <c r="F4" t="str">
        <f t="shared" si="0"/>
        <v>hard coal</v>
      </c>
    </row>
    <row r="5" spans="1:6" x14ac:dyDescent="0.25">
      <c r="A5" t="s">
        <v>248</v>
      </c>
      <c r="B5" t="s">
        <v>81</v>
      </c>
      <c r="C5">
        <v>2025</v>
      </c>
      <c r="D5">
        <v>9</v>
      </c>
      <c r="E5">
        <v>10</v>
      </c>
      <c r="F5" t="str">
        <f t="shared" si="0"/>
        <v>hard coal</v>
      </c>
    </row>
    <row r="6" spans="1:6" x14ac:dyDescent="0.25">
      <c r="A6" t="s">
        <v>248</v>
      </c>
      <c r="B6" t="s">
        <v>86</v>
      </c>
      <c r="C6">
        <v>1990</v>
      </c>
      <c r="D6">
        <v>31</v>
      </c>
      <c r="E6">
        <v>31</v>
      </c>
      <c r="F6" t="str">
        <f t="shared" si="0"/>
        <v>hydro</v>
      </c>
    </row>
    <row r="7" spans="1:6" x14ac:dyDescent="0.25">
      <c r="A7" t="s">
        <v>248</v>
      </c>
      <c r="B7" t="s">
        <v>86</v>
      </c>
      <c r="C7">
        <v>1991</v>
      </c>
      <c r="D7">
        <v>127</v>
      </c>
      <c r="E7">
        <v>127.2</v>
      </c>
      <c r="F7" t="str">
        <f t="shared" si="0"/>
        <v>hydro</v>
      </c>
    </row>
    <row r="8" spans="1:6" x14ac:dyDescent="0.25">
      <c r="A8" t="s">
        <v>248</v>
      </c>
      <c r="B8" t="s">
        <v>86</v>
      </c>
      <c r="C8">
        <v>1995</v>
      </c>
      <c r="D8">
        <v>4.8</v>
      </c>
      <c r="E8">
        <v>5.3</v>
      </c>
      <c r="F8" t="str">
        <f t="shared" si="0"/>
        <v>hydro</v>
      </c>
    </row>
    <row r="9" spans="1:6" x14ac:dyDescent="0.25">
      <c r="A9" t="s">
        <v>248</v>
      </c>
      <c r="B9" t="s">
        <v>86</v>
      </c>
      <c r="C9">
        <v>1997</v>
      </c>
      <c r="D9">
        <v>4</v>
      </c>
      <c r="E9">
        <v>4</v>
      </c>
      <c r="F9" t="str">
        <f t="shared" si="0"/>
        <v>hydro</v>
      </c>
    </row>
    <row r="10" spans="1:6" x14ac:dyDescent="0.25">
      <c r="A10" t="s">
        <v>248</v>
      </c>
      <c r="B10" t="s">
        <v>86</v>
      </c>
      <c r="C10">
        <v>1998</v>
      </c>
      <c r="D10">
        <v>0.8</v>
      </c>
      <c r="E10">
        <v>0.8</v>
      </c>
      <c r="F10" t="str">
        <f t="shared" si="0"/>
        <v>hydro</v>
      </c>
    </row>
    <row r="11" spans="1:6" x14ac:dyDescent="0.25">
      <c r="A11" t="s">
        <v>248</v>
      </c>
      <c r="B11" t="s">
        <v>86</v>
      </c>
      <c r="C11">
        <v>2001</v>
      </c>
      <c r="D11">
        <v>5.6</v>
      </c>
      <c r="E11">
        <v>6</v>
      </c>
      <c r="F11" t="str">
        <f t="shared" si="0"/>
        <v>hydro</v>
      </c>
    </row>
    <row r="12" spans="1:6" x14ac:dyDescent="0.25">
      <c r="A12" t="s">
        <v>248</v>
      </c>
      <c r="B12" t="s">
        <v>86</v>
      </c>
      <c r="C12">
        <v>2005</v>
      </c>
      <c r="D12">
        <v>1.9</v>
      </c>
      <c r="E12">
        <v>2</v>
      </c>
      <c r="F12" t="str">
        <f t="shared" si="0"/>
        <v>hydro</v>
      </c>
    </row>
    <row r="13" spans="1:6" x14ac:dyDescent="0.25">
      <c r="A13" t="s">
        <v>248</v>
      </c>
      <c r="B13" t="s">
        <v>86</v>
      </c>
      <c r="C13">
        <v>2008</v>
      </c>
      <c r="D13">
        <v>3</v>
      </c>
      <c r="E13">
        <v>3</v>
      </c>
      <c r="F13" t="str">
        <f t="shared" si="0"/>
        <v>hydro</v>
      </c>
    </row>
    <row r="14" spans="1:6" x14ac:dyDescent="0.25">
      <c r="A14" t="s">
        <v>248</v>
      </c>
      <c r="B14" t="s">
        <v>86</v>
      </c>
      <c r="C14">
        <v>2009</v>
      </c>
      <c r="D14">
        <v>15.1</v>
      </c>
      <c r="E14">
        <v>15.1</v>
      </c>
      <c r="F14" t="str">
        <f t="shared" si="0"/>
        <v>hydro</v>
      </c>
    </row>
    <row r="15" spans="1:6" x14ac:dyDescent="0.25">
      <c r="A15" t="s">
        <v>248</v>
      </c>
      <c r="B15" t="s">
        <v>86</v>
      </c>
      <c r="C15">
        <v>2014</v>
      </c>
      <c r="D15">
        <v>27.1</v>
      </c>
      <c r="E15">
        <v>27.1</v>
      </c>
      <c r="F15" t="str">
        <f t="shared" si="0"/>
        <v>hydro</v>
      </c>
    </row>
    <row r="16" spans="1:6" x14ac:dyDescent="0.25">
      <c r="A16" t="s">
        <v>248</v>
      </c>
      <c r="B16" t="s">
        <v>86</v>
      </c>
      <c r="C16">
        <v>2015</v>
      </c>
      <c r="D16">
        <v>4.8</v>
      </c>
      <c r="E16">
        <v>4.8</v>
      </c>
      <c r="F16" t="str">
        <f t="shared" si="0"/>
        <v>hydro</v>
      </c>
    </row>
    <row r="17" spans="1:6" x14ac:dyDescent="0.25">
      <c r="A17" t="s">
        <v>248</v>
      </c>
      <c r="B17" t="s">
        <v>86</v>
      </c>
      <c r="C17">
        <v>2016</v>
      </c>
      <c r="D17">
        <v>6.5</v>
      </c>
      <c r="E17">
        <v>6.5</v>
      </c>
      <c r="F17" t="str">
        <f t="shared" si="0"/>
        <v>hydro</v>
      </c>
    </row>
    <row r="18" spans="1:6" x14ac:dyDescent="0.25">
      <c r="A18" t="s">
        <v>248</v>
      </c>
      <c r="B18" t="s">
        <v>86</v>
      </c>
      <c r="C18">
        <v>2017</v>
      </c>
      <c r="D18">
        <v>0.4</v>
      </c>
      <c r="E18">
        <v>0.4</v>
      </c>
      <c r="F18" t="str">
        <f t="shared" si="0"/>
        <v>hydro</v>
      </c>
    </row>
    <row r="19" spans="1:6" x14ac:dyDescent="0.25">
      <c r="A19" t="s">
        <v>248</v>
      </c>
      <c r="B19" t="s">
        <v>86</v>
      </c>
      <c r="C19">
        <v>2021</v>
      </c>
      <c r="D19">
        <v>5</v>
      </c>
      <c r="E19">
        <v>5</v>
      </c>
      <c r="F19" t="str">
        <f t="shared" si="0"/>
        <v>hydro</v>
      </c>
    </row>
    <row r="20" spans="1:6" x14ac:dyDescent="0.25">
      <c r="A20" t="s">
        <v>248</v>
      </c>
      <c r="B20" t="s">
        <v>86</v>
      </c>
      <c r="C20">
        <v>2023</v>
      </c>
      <c r="D20">
        <v>1.8</v>
      </c>
      <c r="E20">
        <v>1.8</v>
      </c>
      <c r="F20" t="str">
        <f t="shared" si="0"/>
        <v>hydro</v>
      </c>
    </row>
    <row r="21" spans="1:6" x14ac:dyDescent="0.25">
      <c r="A21" t="s">
        <v>248</v>
      </c>
      <c r="B21" t="s">
        <v>94</v>
      </c>
      <c r="C21">
        <v>1998</v>
      </c>
      <c r="D21">
        <v>50</v>
      </c>
      <c r="E21">
        <v>62</v>
      </c>
      <c r="F21" t="str">
        <f t="shared" si="0"/>
        <v>lignite</v>
      </c>
    </row>
    <row r="22" spans="1:6" x14ac:dyDescent="0.25">
      <c r="A22" t="s">
        <v>248</v>
      </c>
      <c r="B22" t="s">
        <v>84</v>
      </c>
      <c r="C22">
        <v>2013</v>
      </c>
      <c r="D22">
        <v>207.7</v>
      </c>
      <c r="E22">
        <v>243.9</v>
      </c>
      <c r="F22" t="str">
        <f t="shared" si="0"/>
        <v>natural gas combined cycle</v>
      </c>
    </row>
    <row r="23" spans="1:6" x14ac:dyDescent="0.25">
      <c r="A23" t="s">
        <v>248</v>
      </c>
      <c r="B23" t="s">
        <v>84</v>
      </c>
      <c r="C23">
        <v>2017</v>
      </c>
      <c r="D23">
        <v>129</v>
      </c>
      <c r="E23">
        <v>151.69999999999999</v>
      </c>
      <c r="F23" t="str">
        <f t="shared" si="0"/>
        <v>natural gas combined cycle</v>
      </c>
    </row>
    <row r="24" spans="1:6" x14ac:dyDescent="0.25">
      <c r="A24" t="s">
        <v>248</v>
      </c>
      <c r="B24" t="s">
        <v>93</v>
      </c>
      <c r="C24">
        <v>1992</v>
      </c>
      <c r="D24">
        <v>1.6</v>
      </c>
      <c r="E24">
        <v>1.6</v>
      </c>
      <c r="F24" t="str">
        <f t="shared" si="0"/>
        <v>natural gas peaker</v>
      </c>
    </row>
    <row r="25" spans="1:6" x14ac:dyDescent="0.25">
      <c r="A25" t="s">
        <v>248</v>
      </c>
      <c r="B25" t="s">
        <v>93</v>
      </c>
      <c r="C25">
        <v>1994</v>
      </c>
      <c r="D25">
        <v>3</v>
      </c>
      <c r="E25">
        <v>3</v>
      </c>
      <c r="F25" t="str">
        <f t="shared" si="0"/>
        <v>natural gas peaker</v>
      </c>
    </row>
    <row r="26" spans="1:6" x14ac:dyDescent="0.25">
      <c r="A26" t="s">
        <v>248</v>
      </c>
      <c r="B26" t="s">
        <v>93</v>
      </c>
      <c r="C26">
        <v>1996</v>
      </c>
      <c r="D26">
        <v>4.8</v>
      </c>
      <c r="E26">
        <v>4.8</v>
      </c>
      <c r="F26" t="str">
        <f t="shared" si="0"/>
        <v>natural gas peaker</v>
      </c>
    </row>
    <row r="27" spans="1:6" x14ac:dyDescent="0.25">
      <c r="A27" t="s">
        <v>248</v>
      </c>
      <c r="B27" t="s">
        <v>93</v>
      </c>
      <c r="C27">
        <v>2001</v>
      </c>
      <c r="D27">
        <v>5</v>
      </c>
      <c r="E27">
        <v>5</v>
      </c>
      <c r="F27" t="str">
        <f t="shared" si="0"/>
        <v>natural gas peaker</v>
      </c>
    </row>
    <row r="28" spans="1:6" x14ac:dyDescent="0.25">
      <c r="A28" t="s">
        <v>248</v>
      </c>
      <c r="B28" t="s">
        <v>93</v>
      </c>
      <c r="C28">
        <v>2003</v>
      </c>
      <c r="D28">
        <v>3</v>
      </c>
      <c r="E28">
        <v>3.4</v>
      </c>
      <c r="F28" t="str">
        <f t="shared" si="0"/>
        <v>natural gas peaker</v>
      </c>
    </row>
    <row r="29" spans="1:6" x14ac:dyDescent="0.25">
      <c r="A29" t="s">
        <v>248</v>
      </c>
      <c r="B29" t="s">
        <v>93</v>
      </c>
      <c r="C29">
        <v>2006</v>
      </c>
      <c r="D29">
        <v>2.6</v>
      </c>
      <c r="E29">
        <v>2.8</v>
      </c>
      <c r="F29" t="str">
        <f t="shared" si="0"/>
        <v>natural gas peaker</v>
      </c>
    </row>
    <row r="30" spans="1:6" x14ac:dyDescent="0.25">
      <c r="A30" t="s">
        <v>248</v>
      </c>
      <c r="B30" t="s">
        <v>93</v>
      </c>
      <c r="C30">
        <v>2007</v>
      </c>
      <c r="D30">
        <v>29.3</v>
      </c>
      <c r="E30">
        <v>48.9</v>
      </c>
      <c r="F30" t="str">
        <f t="shared" si="0"/>
        <v>natural gas peaker</v>
      </c>
    </row>
    <row r="31" spans="1:6" x14ac:dyDescent="0.25">
      <c r="A31" t="s">
        <v>248</v>
      </c>
      <c r="B31" t="s">
        <v>93</v>
      </c>
      <c r="C31">
        <v>2008</v>
      </c>
      <c r="D31">
        <v>6.1</v>
      </c>
      <c r="E31">
        <v>6.8</v>
      </c>
      <c r="F31" t="str">
        <f t="shared" si="0"/>
        <v>natural gas peaker</v>
      </c>
    </row>
    <row r="32" spans="1:6" x14ac:dyDescent="0.25">
      <c r="A32" t="s">
        <v>248</v>
      </c>
      <c r="B32" t="s">
        <v>93</v>
      </c>
      <c r="C32">
        <v>2009</v>
      </c>
      <c r="D32">
        <v>4.5</v>
      </c>
      <c r="E32">
        <v>5.2</v>
      </c>
      <c r="F32" t="str">
        <f t="shared" si="0"/>
        <v>natural gas peaker</v>
      </c>
    </row>
    <row r="33" spans="1:6" x14ac:dyDescent="0.25">
      <c r="A33" t="s">
        <v>248</v>
      </c>
      <c r="B33" t="s">
        <v>93</v>
      </c>
      <c r="C33">
        <v>2010</v>
      </c>
      <c r="D33">
        <v>0.6</v>
      </c>
      <c r="E33">
        <v>0.6</v>
      </c>
      <c r="F33" t="str">
        <f t="shared" si="0"/>
        <v>natural gas peaker</v>
      </c>
    </row>
    <row r="34" spans="1:6" x14ac:dyDescent="0.25">
      <c r="A34" t="s">
        <v>248</v>
      </c>
      <c r="B34" t="s">
        <v>93</v>
      </c>
      <c r="C34">
        <v>2013</v>
      </c>
      <c r="D34">
        <v>0.6</v>
      </c>
      <c r="E34">
        <v>0.6</v>
      </c>
      <c r="F34" t="str">
        <f t="shared" si="0"/>
        <v>natural gas peaker</v>
      </c>
    </row>
    <row r="35" spans="1:6" x14ac:dyDescent="0.25">
      <c r="A35" t="s">
        <v>248</v>
      </c>
      <c r="B35" t="s">
        <v>93</v>
      </c>
      <c r="C35">
        <v>2014</v>
      </c>
      <c r="D35">
        <v>57.8</v>
      </c>
      <c r="E35">
        <v>65</v>
      </c>
      <c r="F35" t="str">
        <f t="shared" si="0"/>
        <v>natural gas peaker</v>
      </c>
    </row>
    <row r="36" spans="1:6" x14ac:dyDescent="0.25">
      <c r="A36" t="s">
        <v>248</v>
      </c>
      <c r="B36" t="s">
        <v>93</v>
      </c>
      <c r="C36">
        <v>2015</v>
      </c>
      <c r="D36">
        <v>165</v>
      </c>
      <c r="E36">
        <v>171</v>
      </c>
      <c r="F36" t="str">
        <f t="shared" si="0"/>
        <v>natural gas peaker</v>
      </c>
    </row>
    <row r="37" spans="1:6" x14ac:dyDescent="0.25">
      <c r="A37" t="s">
        <v>248</v>
      </c>
      <c r="B37" t="s">
        <v>87</v>
      </c>
      <c r="C37">
        <v>1997</v>
      </c>
      <c r="D37">
        <v>0.2</v>
      </c>
      <c r="E37">
        <v>0.2</v>
      </c>
      <c r="F37" t="str">
        <f t="shared" si="0"/>
        <v>onshore wind</v>
      </c>
    </row>
    <row r="38" spans="1:6" x14ac:dyDescent="0.25">
      <c r="A38" t="s">
        <v>248</v>
      </c>
      <c r="B38" t="s">
        <v>87</v>
      </c>
      <c r="C38">
        <v>1999</v>
      </c>
      <c r="D38">
        <v>1.5</v>
      </c>
      <c r="E38">
        <v>1.5</v>
      </c>
      <c r="F38" t="str">
        <f t="shared" si="0"/>
        <v>onshore wind</v>
      </c>
    </row>
    <row r="39" spans="1:6" x14ac:dyDescent="0.25">
      <c r="A39" t="s">
        <v>248</v>
      </c>
      <c r="B39" t="s">
        <v>87</v>
      </c>
      <c r="C39">
        <v>2002</v>
      </c>
      <c r="D39">
        <v>0.2</v>
      </c>
      <c r="E39">
        <v>0.2</v>
      </c>
      <c r="F39" t="str">
        <f t="shared" si="0"/>
        <v>onshore wind</v>
      </c>
    </row>
    <row r="40" spans="1:6" x14ac:dyDescent="0.25">
      <c r="A40" t="s">
        <v>248</v>
      </c>
      <c r="B40" t="s">
        <v>87</v>
      </c>
      <c r="C40">
        <v>2005</v>
      </c>
      <c r="D40">
        <v>0.3</v>
      </c>
      <c r="E40">
        <v>0.3</v>
      </c>
      <c r="F40" t="str">
        <f t="shared" si="0"/>
        <v>onshore wind</v>
      </c>
    </row>
    <row r="41" spans="1:6" x14ac:dyDescent="0.25">
      <c r="A41" t="s">
        <v>248</v>
      </c>
      <c r="B41" t="s">
        <v>87</v>
      </c>
      <c r="C41">
        <v>2006</v>
      </c>
      <c r="D41">
        <v>0.5</v>
      </c>
      <c r="E41">
        <v>0.5</v>
      </c>
      <c r="F41" t="str">
        <f t="shared" si="0"/>
        <v>onshore wind</v>
      </c>
    </row>
    <row r="42" spans="1:6" x14ac:dyDescent="0.25">
      <c r="A42" t="s">
        <v>248</v>
      </c>
      <c r="B42" t="s">
        <v>87</v>
      </c>
      <c r="C42">
        <v>2008</v>
      </c>
      <c r="D42">
        <v>0.1</v>
      </c>
      <c r="E42">
        <v>0.1</v>
      </c>
      <c r="F42" t="str">
        <f t="shared" si="0"/>
        <v>onshore wind</v>
      </c>
    </row>
    <row r="43" spans="1:6" x14ac:dyDescent="0.25">
      <c r="A43" t="s">
        <v>248</v>
      </c>
      <c r="B43" t="s">
        <v>87</v>
      </c>
      <c r="C43">
        <v>2009</v>
      </c>
      <c r="D43">
        <v>5.4</v>
      </c>
      <c r="E43">
        <v>5.4</v>
      </c>
      <c r="F43" t="str">
        <f t="shared" si="0"/>
        <v>onshore wind</v>
      </c>
    </row>
    <row r="44" spans="1:6" x14ac:dyDescent="0.25">
      <c r="A44" t="s">
        <v>248</v>
      </c>
      <c r="B44" t="s">
        <v>87</v>
      </c>
      <c r="C44">
        <v>2011</v>
      </c>
      <c r="D44">
        <v>0.4</v>
      </c>
      <c r="E44">
        <v>1</v>
      </c>
      <c r="F44" t="str">
        <f t="shared" si="0"/>
        <v>onshore wind</v>
      </c>
    </row>
    <row r="45" spans="1:6" x14ac:dyDescent="0.25">
      <c r="A45" t="s">
        <v>248</v>
      </c>
      <c r="B45" t="s">
        <v>87</v>
      </c>
      <c r="C45">
        <v>2012</v>
      </c>
      <c r="D45">
        <v>24.3</v>
      </c>
      <c r="E45">
        <v>24.3</v>
      </c>
      <c r="F45" t="str">
        <f t="shared" si="0"/>
        <v>onshore wind</v>
      </c>
    </row>
    <row r="46" spans="1:6" x14ac:dyDescent="0.25">
      <c r="A46" t="s">
        <v>248</v>
      </c>
      <c r="B46" t="s">
        <v>87</v>
      </c>
      <c r="C46">
        <v>2013</v>
      </c>
      <c r="D46">
        <v>27.3</v>
      </c>
      <c r="E46">
        <v>27.3</v>
      </c>
      <c r="F46" t="str">
        <f t="shared" si="0"/>
        <v>onshore wind</v>
      </c>
    </row>
    <row r="47" spans="1:6" x14ac:dyDescent="0.25">
      <c r="A47" t="s">
        <v>248</v>
      </c>
      <c r="B47" t="s">
        <v>87</v>
      </c>
      <c r="C47">
        <v>2015</v>
      </c>
      <c r="D47">
        <v>0.8</v>
      </c>
      <c r="E47">
        <v>0.8</v>
      </c>
      <c r="F47" t="str">
        <f t="shared" si="0"/>
        <v>onshore wind</v>
      </c>
    </row>
    <row r="48" spans="1:6" x14ac:dyDescent="0.25">
      <c r="A48" t="s">
        <v>248</v>
      </c>
      <c r="B48" t="s">
        <v>92</v>
      </c>
      <c r="C48">
        <v>1990</v>
      </c>
      <c r="D48">
        <v>20</v>
      </c>
      <c r="E48">
        <v>22.6</v>
      </c>
      <c r="F48" t="str">
        <f t="shared" si="0"/>
        <v>petroleum</v>
      </c>
    </row>
    <row r="49" spans="1:6" x14ac:dyDescent="0.25">
      <c r="A49" t="s">
        <v>248</v>
      </c>
      <c r="B49" t="s">
        <v>92</v>
      </c>
      <c r="C49">
        <v>1991</v>
      </c>
      <c r="D49">
        <v>16.3</v>
      </c>
      <c r="E49">
        <v>16.7</v>
      </c>
      <c r="F49" t="str">
        <f t="shared" si="0"/>
        <v>petroleum</v>
      </c>
    </row>
    <row r="50" spans="1:6" x14ac:dyDescent="0.25">
      <c r="A50" t="s">
        <v>248</v>
      </c>
      <c r="B50" t="s">
        <v>92</v>
      </c>
      <c r="C50">
        <v>1992</v>
      </c>
      <c r="D50">
        <v>6.7</v>
      </c>
      <c r="E50">
        <v>6.7</v>
      </c>
      <c r="F50" t="str">
        <f t="shared" si="0"/>
        <v>petroleum</v>
      </c>
    </row>
    <row r="51" spans="1:6" x14ac:dyDescent="0.25">
      <c r="A51" t="s">
        <v>248</v>
      </c>
      <c r="B51" t="s">
        <v>92</v>
      </c>
      <c r="C51">
        <v>1993</v>
      </c>
      <c r="D51">
        <v>11.65</v>
      </c>
      <c r="E51">
        <v>12.2</v>
      </c>
      <c r="F51" t="str">
        <f t="shared" si="0"/>
        <v>petroleum</v>
      </c>
    </row>
    <row r="52" spans="1:6" x14ac:dyDescent="0.25">
      <c r="A52" t="s">
        <v>248</v>
      </c>
      <c r="B52" t="s">
        <v>92</v>
      </c>
      <c r="C52">
        <v>1994</v>
      </c>
      <c r="D52">
        <v>33.1</v>
      </c>
      <c r="E52">
        <v>41.2</v>
      </c>
      <c r="F52" t="str">
        <f t="shared" si="0"/>
        <v>petroleum</v>
      </c>
    </row>
    <row r="53" spans="1:6" x14ac:dyDescent="0.25">
      <c r="A53" t="s">
        <v>248</v>
      </c>
      <c r="B53" t="s">
        <v>92</v>
      </c>
      <c r="C53">
        <v>1995</v>
      </c>
      <c r="D53">
        <v>5.16</v>
      </c>
      <c r="E53">
        <v>5.0999999999999996</v>
      </c>
      <c r="F53" t="str">
        <f t="shared" si="0"/>
        <v>petroleum</v>
      </c>
    </row>
    <row r="54" spans="1:6" x14ac:dyDescent="0.25">
      <c r="A54" t="s">
        <v>248</v>
      </c>
      <c r="B54" t="s">
        <v>92</v>
      </c>
      <c r="C54">
        <v>1996</v>
      </c>
      <c r="D54">
        <v>6.3</v>
      </c>
      <c r="E54">
        <v>6.2</v>
      </c>
      <c r="F54" t="str">
        <f t="shared" si="0"/>
        <v>petroleum</v>
      </c>
    </row>
    <row r="55" spans="1:6" x14ac:dyDescent="0.25">
      <c r="A55" t="s">
        <v>248</v>
      </c>
      <c r="B55" t="s">
        <v>92</v>
      </c>
      <c r="C55">
        <v>1997</v>
      </c>
      <c r="D55">
        <v>2.75</v>
      </c>
      <c r="E55">
        <v>2.9</v>
      </c>
      <c r="F55" t="str">
        <f t="shared" si="0"/>
        <v>petroleum</v>
      </c>
    </row>
    <row r="56" spans="1:6" x14ac:dyDescent="0.25">
      <c r="A56" t="s">
        <v>248</v>
      </c>
      <c r="B56" t="s">
        <v>92</v>
      </c>
      <c r="C56">
        <v>1998</v>
      </c>
      <c r="D56">
        <v>17.7</v>
      </c>
      <c r="E56">
        <v>18.100000000000001</v>
      </c>
      <c r="F56" t="str">
        <f t="shared" si="0"/>
        <v>petroleum</v>
      </c>
    </row>
    <row r="57" spans="1:6" x14ac:dyDescent="0.25">
      <c r="A57" t="s">
        <v>248</v>
      </c>
      <c r="B57" t="s">
        <v>92</v>
      </c>
      <c r="C57">
        <v>1999</v>
      </c>
      <c r="D57">
        <v>11.42</v>
      </c>
      <c r="E57">
        <v>11.5</v>
      </c>
      <c r="F57" t="str">
        <f t="shared" si="0"/>
        <v>petroleum</v>
      </c>
    </row>
    <row r="58" spans="1:6" x14ac:dyDescent="0.25">
      <c r="A58" t="s">
        <v>248</v>
      </c>
      <c r="B58" t="s">
        <v>92</v>
      </c>
      <c r="C58">
        <v>2000</v>
      </c>
      <c r="D58">
        <v>36.4</v>
      </c>
      <c r="E58">
        <v>38.200000000000003</v>
      </c>
      <c r="F58" t="str">
        <f t="shared" si="0"/>
        <v>petroleum</v>
      </c>
    </row>
    <row r="59" spans="1:6" x14ac:dyDescent="0.25">
      <c r="A59" t="s">
        <v>248</v>
      </c>
      <c r="B59" t="s">
        <v>92</v>
      </c>
      <c r="C59">
        <v>2001</v>
      </c>
      <c r="D59">
        <v>6.1</v>
      </c>
      <c r="E59">
        <v>6.4</v>
      </c>
      <c r="F59" t="str">
        <f t="shared" si="0"/>
        <v>petroleum</v>
      </c>
    </row>
    <row r="60" spans="1:6" x14ac:dyDescent="0.25">
      <c r="A60" t="s">
        <v>248</v>
      </c>
      <c r="B60" t="s">
        <v>92</v>
      </c>
      <c r="C60">
        <v>2002</v>
      </c>
      <c r="D60">
        <v>13</v>
      </c>
      <c r="E60">
        <v>13.5</v>
      </c>
      <c r="F60" t="str">
        <f t="shared" si="0"/>
        <v>petroleum</v>
      </c>
    </row>
    <row r="61" spans="1:6" x14ac:dyDescent="0.25">
      <c r="A61" t="s">
        <v>248</v>
      </c>
      <c r="B61" t="s">
        <v>92</v>
      </c>
      <c r="C61">
        <v>2003</v>
      </c>
      <c r="D61">
        <v>9.6</v>
      </c>
      <c r="E61">
        <v>10.1</v>
      </c>
      <c r="F61" t="str">
        <f t="shared" si="0"/>
        <v>petroleum</v>
      </c>
    </row>
    <row r="62" spans="1:6" x14ac:dyDescent="0.25">
      <c r="A62" t="s">
        <v>248</v>
      </c>
      <c r="B62" t="s">
        <v>92</v>
      </c>
      <c r="C62">
        <v>2004</v>
      </c>
      <c r="D62">
        <v>7.8</v>
      </c>
      <c r="E62">
        <v>7.8</v>
      </c>
      <c r="F62" t="str">
        <f t="shared" si="0"/>
        <v>petroleum</v>
      </c>
    </row>
    <row r="63" spans="1:6" x14ac:dyDescent="0.25">
      <c r="A63" t="s">
        <v>248</v>
      </c>
      <c r="B63" t="s">
        <v>92</v>
      </c>
      <c r="C63">
        <v>2005</v>
      </c>
      <c r="D63">
        <v>16</v>
      </c>
      <c r="E63">
        <v>16</v>
      </c>
      <c r="F63" t="str">
        <f t="shared" si="0"/>
        <v>petroleum</v>
      </c>
    </row>
    <row r="64" spans="1:6" x14ac:dyDescent="0.25">
      <c r="A64" t="s">
        <v>248</v>
      </c>
      <c r="B64" t="s">
        <v>92</v>
      </c>
      <c r="C64">
        <v>2006</v>
      </c>
      <c r="D64">
        <v>12.9</v>
      </c>
      <c r="E64">
        <v>13</v>
      </c>
      <c r="F64" t="str">
        <f t="shared" si="0"/>
        <v>petroleum</v>
      </c>
    </row>
    <row r="65" spans="1:6" x14ac:dyDescent="0.25">
      <c r="A65" t="s">
        <v>248</v>
      </c>
      <c r="B65" t="s">
        <v>92</v>
      </c>
      <c r="C65">
        <v>2007</v>
      </c>
      <c r="D65">
        <v>65.599999999999994</v>
      </c>
      <c r="E65">
        <v>74.400000000000006</v>
      </c>
      <c r="F65" t="str">
        <f t="shared" si="0"/>
        <v>petroleum</v>
      </c>
    </row>
    <row r="66" spans="1:6" x14ac:dyDescent="0.25">
      <c r="A66" t="s">
        <v>248</v>
      </c>
      <c r="B66" t="s">
        <v>92</v>
      </c>
      <c r="C66">
        <v>2008</v>
      </c>
      <c r="D66">
        <v>9.25</v>
      </c>
      <c r="E66">
        <v>9.3000000000000007</v>
      </c>
      <c r="F66" t="str">
        <f t="shared" ref="F66:F129" si="1">LOWER($B66)</f>
        <v>petroleum</v>
      </c>
    </row>
    <row r="67" spans="1:6" x14ac:dyDescent="0.25">
      <c r="A67" t="s">
        <v>248</v>
      </c>
      <c r="B67" t="s">
        <v>92</v>
      </c>
      <c r="C67">
        <v>2009</v>
      </c>
      <c r="D67">
        <v>9.25</v>
      </c>
      <c r="E67">
        <v>9.5</v>
      </c>
      <c r="F67" t="str">
        <f t="shared" si="1"/>
        <v>petroleum</v>
      </c>
    </row>
    <row r="68" spans="1:6" x14ac:dyDescent="0.25">
      <c r="A68" t="s">
        <v>248</v>
      </c>
      <c r="B68" t="s">
        <v>92</v>
      </c>
      <c r="C68">
        <v>2010</v>
      </c>
      <c r="D68">
        <v>27.5</v>
      </c>
      <c r="E68">
        <v>29.8</v>
      </c>
      <c r="F68" t="str">
        <f t="shared" si="1"/>
        <v>petroleum</v>
      </c>
    </row>
    <row r="69" spans="1:6" x14ac:dyDescent="0.25">
      <c r="A69" t="s">
        <v>248</v>
      </c>
      <c r="B69" t="s">
        <v>92</v>
      </c>
      <c r="C69">
        <v>2011</v>
      </c>
      <c r="D69">
        <v>5</v>
      </c>
      <c r="E69">
        <v>5.9</v>
      </c>
      <c r="F69" t="str">
        <f t="shared" si="1"/>
        <v>petroleum</v>
      </c>
    </row>
    <row r="70" spans="1:6" x14ac:dyDescent="0.25">
      <c r="A70" t="s">
        <v>248</v>
      </c>
      <c r="B70" t="s">
        <v>92</v>
      </c>
      <c r="C70">
        <v>2012</v>
      </c>
      <c r="D70">
        <v>11.5</v>
      </c>
      <c r="E70">
        <v>12</v>
      </c>
      <c r="F70" t="str">
        <f t="shared" si="1"/>
        <v>petroleum</v>
      </c>
    </row>
    <row r="71" spans="1:6" x14ac:dyDescent="0.25">
      <c r="A71" t="s">
        <v>248</v>
      </c>
      <c r="B71" t="s">
        <v>92</v>
      </c>
      <c r="C71">
        <v>2013</v>
      </c>
      <c r="D71">
        <v>6.5</v>
      </c>
      <c r="E71">
        <v>6.5</v>
      </c>
      <c r="F71" t="str">
        <f t="shared" si="1"/>
        <v>petroleum</v>
      </c>
    </row>
    <row r="72" spans="1:6" x14ac:dyDescent="0.25">
      <c r="A72" t="s">
        <v>248</v>
      </c>
      <c r="B72" t="s">
        <v>92</v>
      </c>
      <c r="C72">
        <v>2014</v>
      </c>
      <c r="D72">
        <v>17.8</v>
      </c>
      <c r="E72">
        <v>18.2</v>
      </c>
      <c r="F72" t="str">
        <f t="shared" si="1"/>
        <v>petroleum</v>
      </c>
    </row>
    <row r="73" spans="1:6" x14ac:dyDescent="0.25">
      <c r="A73" t="s">
        <v>248</v>
      </c>
      <c r="B73" t="s">
        <v>92</v>
      </c>
      <c r="C73">
        <v>2015</v>
      </c>
      <c r="D73">
        <v>12.8</v>
      </c>
      <c r="E73">
        <v>14.1</v>
      </c>
      <c r="F73" t="str">
        <f t="shared" si="1"/>
        <v>petroleum</v>
      </c>
    </row>
    <row r="74" spans="1:6" x14ac:dyDescent="0.25">
      <c r="A74" t="s">
        <v>248</v>
      </c>
      <c r="B74" t="s">
        <v>92</v>
      </c>
      <c r="C74">
        <v>2016</v>
      </c>
      <c r="D74">
        <v>28.85</v>
      </c>
      <c r="E74">
        <v>48.1</v>
      </c>
      <c r="F74" t="str">
        <f t="shared" si="1"/>
        <v>petroleum</v>
      </c>
    </row>
    <row r="75" spans="1:6" x14ac:dyDescent="0.25">
      <c r="A75" t="s">
        <v>248</v>
      </c>
      <c r="B75" t="s">
        <v>92</v>
      </c>
      <c r="C75">
        <v>2017</v>
      </c>
      <c r="D75">
        <v>12.9</v>
      </c>
      <c r="E75">
        <v>12.9</v>
      </c>
      <c r="F75" t="str">
        <f t="shared" si="1"/>
        <v>petroleum</v>
      </c>
    </row>
    <row r="76" spans="1:6" x14ac:dyDescent="0.25">
      <c r="A76" t="s">
        <v>248</v>
      </c>
      <c r="B76" t="s">
        <v>92</v>
      </c>
      <c r="C76">
        <v>2018</v>
      </c>
      <c r="D76">
        <v>1.8</v>
      </c>
      <c r="E76">
        <v>1.8</v>
      </c>
      <c r="F76" t="str">
        <f t="shared" si="1"/>
        <v>petroleum</v>
      </c>
    </row>
    <row r="77" spans="1:6" x14ac:dyDescent="0.25">
      <c r="A77" t="s">
        <v>248</v>
      </c>
      <c r="B77" t="s">
        <v>92</v>
      </c>
      <c r="C77">
        <v>2019</v>
      </c>
      <c r="D77">
        <v>15.9</v>
      </c>
      <c r="E77">
        <v>16.5</v>
      </c>
      <c r="F77" t="str">
        <f t="shared" si="1"/>
        <v>petroleum</v>
      </c>
    </row>
    <row r="78" spans="1:6" x14ac:dyDescent="0.25">
      <c r="A78" t="s">
        <v>248</v>
      </c>
      <c r="B78" t="s">
        <v>92</v>
      </c>
      <c r="C78">
        <v>2020</v>
      </c>
      <c r="D78">
        <v>5.2</v>
      </c>
      <c r="E78">
        <v>5.2</v>
      </c>
      <c r="F78" t="str">
        <f t="shared" si="1"/>
        <v>petroleum</v>
      </c>
    </row>
    <row r="79" spans="1:6" x14ac:dyDescent="0.25">
      <c r="A79" t="s">
        <v>248</v>
      </c>
      <c r="B79" t="s">
        <v>92</v>
      </c>
      <c r="C79">
        <v>2021</v>
      </c>
      <c r="D79">
        <v>3.95</v>
      </c>
      <c r="E79">
        <v>4</v>
      </c>
      <c r="F79" t="str">
        <f t="shared" si="1"/>
        <v>petroleum</v>
      </c>
    </row>
    <row r="80" spans="1:6" x14ac:dyDescent="0.25">
      <c r="A80" t="s">
        <v>248</v>
      </c>
      <c r="B80" t="s">
        <v>92</v>
      </c>
      <c r="C80">
        <v>2022</v>
      </c>
      <c r="D80">
        <v>8</v>
      </c>
      <c r="E80">
        <v>7.9</v>
      </c>
      <c r="F80" t="str">
        <f t="shared" si="1"/>
        <v>petroleum</v>
      </c>
    </row>
    <row r="81" spans="1:6" x14ac:dyDescent="0.25">
      <c r="A81" t="s">
        <v>248</v>
      </c>
      <c r="B81" t="s">
        <v>92</v>
      </c>
      <c r="C81">
        <v>2023</v>
      </c>
      <c r="D81">
        <v>9.0500000000000007</v>
      </c>
      <c r="E81">
        <v>9.1999999999999993</v>
      </c>
      <c r="F81" t="str">
        <f t="shared" si="1"/>
        <v>petroleum</v>
      </c>
    </row>
    <row r="82" spans="1:6" x14ac:dyDescent="0.25">
      <c r="A82" t="s">
        <v>248</v>
      </c>
      <c r="B82" t="s">
        <v>92</v>
      </c>
      <c r="C82">
        <v>2024</v>
      </c>
      <c r="D82">
        <v>2.95</v>
      </c>
      <c r="E82">
        <v>3</v>
      </c>
      <c r="F82" t="str">
        <f t="shared" si="1"/>
        <v>petroleum</v>
      </c>
    </row>
    <row r="83" spans="1:6" x14ac:dyDescent="0.25">
      <c r="A83" t="s">
        <v>248</v>
      </c>
      <c r="B83" t="s">
        <v>92</v>
      </c>
      <c r="C83">
        <v>2025</v>
      </c>
      <c r="D83">
        <v>3.9</v>
      </c>
      <c r="E83">
        <v>3.9</v>
      </c>
      <c r="F83" t="str">
        <f t="shared" si="1"/>
        <v>petroleum</v>
      </c>
    </row>
    <row r="84" spans="1:6" x14ac:dyDescent="0.25">
      <c r="A84" t="s">
        <v>248</v>
      </c>
      <c r="B84" t="s">
        <v>249</v>
      </c>
      <c r="C84">
        <v>2020</v>
      </c>
      <c r="D84">
        <v>0.8</v>
      </c>
      <c r="E84">
        <v>0.8</v>
      </c>
      <c r="F84" t="str">
        <f t="shared" si="1"/>
        <v>solar pv</v>
      </c>
    </row>
    <row r="85" spans="1:6" x14ac:dyDescent="0.25">
      <c r="A85" t="s">
        <v>248</v>
      </c>
      <c r="B85" t="s">
        <v>249</v>
      </c>
      <c r="C85">
        <v>2023</v>
      </c>
      <c r="D85">
        <v>6.9</v>
      </c>
      <c r="E85">
        <v>6.9</v>
      </c>
      <c r="F85" t="str">
        <f t="shared" si="1"/>
        <v>solar pv</v>
      </c>
    </row>
    <row r="86" spans="1:6" x14ac:dyDescent="0.25">
      <c r="A86" t="s">
        <v>110</v>
      </c>
      <c r="B86" t="s">
        <v>90</v>
      </c>
      <c r="C86">
        <v>1990</v>
      </c>
      <c r="D86">
        <v>55.5</v>
      </c>
      <c r="E86">
        <v>55.5</v>
      </c>
      <c r="F86" t="str">
        <f t="shared" si="1"/>
        <v>biomass</v>
      </c>
    </row>
    <row r="87" spans="1:6" x14ac:dyDescent="0.25">
      <c r="A87" t="s">
        <v>110</v>
      </c>
      <c r="B87" t="s">
        <v>90</v>
      </c>
      <c r="C87">
        <v>1991</v>
      </c>
      <c r="D87">
        <v>68.7</v>
      </c>
      <c r="E87">
        <v>69</v>
      </c>
      <c r="F87" t="str">
        <f t="shared" si="1"/>
        <v>biomass</v>
      </c>
    </row>
    <row r="88" spans="1:6" x14ac:dyDescent="0.25">
      <c r="A88" t="s">
        <v>110</v>
      </c>
      <c r="B88" t="s">
        <v>90</v>
      </c>
      <c r="C88">
        <v>1993</v>
      </c>
      <c r="D88">
        <v>37.4</v>
      </c>
      <c r="E88">
        <v>47.2</v>
      </c>
      <c r="F88" t="str">
        <f t="shared" si="1"/>
        <v>biomass</v>
      </c>
    </row>
    <row r="89" spans="1:6" x14ac:dyDescent="0.25">
      <c r="A89" t="s">
        <v>110</v>
      </c>
      <c r="B89" t="s">
        <v>90</v>
      </c>
      <c r="C89">
        <v>1996</v>
      </c>
      <c r="D89">
        <v>15.3</v>
      </c>
      <c r="E89">
        <v>15.6</v>
      </c>
      <c r="F89" t="str">
        <f t="shared" si="1"/>
        <v>biomass</v>
      </c>
    </row>
    <row r="90" spans="1:6" x14ac:dyDescent="0.25">
      <c r="A90" t="s">
        <v>110</v>
      </c>
      <c r="B90" t="s">
        <v>90</v>
      </c>
      <c r="C90">
        <v>2003</v>
      </c>
      <c r="D90">
        <v>16</v>
      </c>
      <c r="E90">
        <v>19</v>
      </c>
      <c r="F90" t="str">
        <f t="shared" si="1"/>
        <v>biomass</v>
      </c>
    </row>
    <row r="91" spans="1:6" x14ac:dyDescent="0.25">
      <c r="A91" t="s">
        <v>110</v>
      </c>
      <c r="B91" t="s">
        <v>90</v>
      </c>
      <c r="C91">
        <v>2007</v>
      </c>
      <c r="D91">
        <v>24.9</v>
      </c>
      <c r="E91">
        <v>25.9</v>
      </c>
      <c r="F91" t="str">
        <f t="shared" si="1"/>
        <v>biomass</v>
      </c>
    </row>
    <row r="92" spans="1:6" x14ac:dyDescent="0.25">
      <c r="A92" t="s">
        <v>110</v>
      </c>
      <c r="B92" t="s">
        <v>90</v>
      </c>
      <c r="C92">
        <v>2010</v>
      </c>
      <c r="D92">
        <v>0.8</v>
      </c>
      <c r="E92">
        <v>0.8</v>
      </c>
      <c r="F92" t="str">
        <f t="shared" si="1"/>
        <v>biomass</v>
      </c>
    </row>
    <row r="93" spans="1:6" x14ac:dyDescent="0.25">
      <c r="A93" t="s">
        <v>110</v>
      </c>
      <c r="B93" t="s">
        <v>90</v>
      </c>
      <c r="C93">
        <v>2011</v>
      </c>
      <c r="D93">
        <v>0.8</v>
      </c>
      <c r="E93">
        <v>0.8</v>
      </c>
      <c r="F93" t="str">
        <f t="shared" si="1"/>
        <v>biomass</v>
      </c>
    </row>
    <row r="94" spans="1:6" x14ac:dyDescent="0.25">
      <c r="A94" t="s">
        <v>110</v>
      </c>
      <c r="B94" t="s">
        <v>90</v>
      </c>
      <c r="C94">
        <v>2013</v>
      </c>
      <c r="D94">
        <v>4.8</v>
      </c>
      <c r="E94">
        <v>4.8</v>
      </c>
      <c r="F94" t="str">
        <f t="shared" si="1"/>
        <v>biomass</v>
      </c>
    </row>
    <row r="95" spans="1:6" x14ac:dyDescent="0.25">
      <c r="A95" t="s">
        <v>110</v>
      </c>
      <c r="B95" t="s">
        <v>90</v>
      </c>
      <c r="C95">
        <v>2014</v>
      </c>
      <c r="D95">
        <v>34.9</v>
      </c>
      <c r="E95">
        <v>34.9</v>
      </c>
      <c r="F95" t="str">
        <f t="shared" si="1"/>
        <v>biomass</v>
      </c>
    </row>
    <row r="96" spans="1:6" x14ac:dyDescent="0.25">
      <c r="A96" t="s">
        <v>110</v>
      </c>
      <c r="B96" t="s">
        <v>90</v>
      </c>
      <c r="C96">
        <v>2017</v>
      </c>
      <c r="D96">
        <v>56</v>
      </c>
      <c r="E96">
        <v>75</v>
      </c>
      <c r="F96" t="str">
        <f t="shared" si="1"/>
        <v>biomass</v>
      </c>
    </row>
    <row r="97" spans="1:6" x14ac:dyDescent="0.25">
      <c r="A97" t="s">
        <v>110</v>
      </c>
      <c r="B97" t="s">
        <v>90</v>
      </c>
      <c r="C97">
        <v>2019</v>
      </c>
      <c r="D97">
        <v>29.4</v>
      </c>
      <c r="E97">
        <v>40.299999999999997</v>
      </c>
      <c r="F97" t="str">
        <f t="shared" si="1"/>
        <v>biomass</v>
      </c>
    </row>
    <row r="98" spans="1:6" x14ac:dyDescent="0.25">
      <c r="A98" t="s">
        <v>110</v>
      </c>
      <c r="B98" t="s">
        <v>81</v>
      </c>
      <c r="C98">
        <v>1991</v>
      </c>
      <c r="D98">
        <v>704</v>
      </c>
      <c r="E98">
        <v>705.5</v>
      </c>
      <c r="F98" t="str">
        <f t="shared" si="1"/>
        <v>hard coal</v>
      </c>
    </row>
    <row r="99" spans="1:6" x14ac:dyDescent="0.25">
      <c r="A99" t="s">
        <v>110</v>
      </c>
      <c r="B99" t="s">
        <v>86</v>
      </c>
      <c r="C99">
        <v>2005</v>
      </c>
      <c r="D99">
        <v>18.600000000000001</v>
      </c>
      <c r="E99">
        <v>18.600000000000001</v>
      </c>
      <c r="F99" t="str">
        <f t="shared" si="1"/>
        <v>hydro</v>
      </c>
    </row>
    <row r="100" spans="1:6" x14ac:dyDescent="0.25">
      <c r="A100" t="s">
        <v>110</v>
      </c>
      <c r="B100" t="s">
        <v>84</v>
      </c>
      <c r="C100">
        <v>1993</v>
      </c>
      <c r="D100">
        <v>11.1</v>
      </c>
      <c r="E100">
        <v>12</v>
      </c>
      <c r="F100" t="str">
        <f t="shared" si="1"/>
        <v>natural gas combined cycle</v>
      </c>
    </row>
    <row r="101" spans="1:6" x14ac:dyDescent="0.25">
      <c r="A101" t="s">
        <v>110</v>
      </c>
      <c r="B101" t="s">
        <v>84</v>
      </c>
      <c r="C101">
        <v>1994</v>
      </c>
      <c r="D101">
        <v>55.2</v>
      </c>
      <c r="E101">
        <v>55.2</v>
      </c>
      <c r="F101" t="str">
        <f t="shared" si="1"/>
        <v>natural gas combined cycle</v>
      </c>
    </row>
    <row r="102" spans="1:6" x14ac:dyDescent="0.25">
      <c r="A102" t="s">
        <v>110</v>
      </c>
      <c r="B102" t="s">
        <v>84</v>
      </c>
      <c r="C102">
        <v>1996</v>
      </c>
      <c r="D102">
        <v>109</v>
      </c>
      <c r="E102">
        <v>107</v>
      </c>
      <c r="F102" t="str">
        <f t="shared" si="1"/>
        <v>natural gas combined cycle</v>
      </c>
    </row>
    <row r="103" spans="1:6" x14ac:dyDescent="0.25">
      <c r="A103" t="s">
        <v>110</v>
      </c>
      <c r="B103" t="s">
        <v>84</v>
      </c>
      <c r="C103">
        <v>1999</v>
      </c>
      <c r="D103">
        <v>184.5</v>
      </c>
      <c r="E103">
        <v>219.5</v>
      </c>
      <c r="F103" t="str">
        <f t="shared" si="1"/>
        <v>natural gas combined cycle</v>
      </c>
    </row>
    <row r="104" spans="1:6" x14ac:dyDescent="0.25">
      <c r="A104" t="s">
        <v>110</v>
      </c>
      <c r="B104" t="s">
        <v>84</v>
      </c>
      <c r="C104">
        <v>2000</v>
      </c>
      <c r="D104">
        <v>1367.2</v>
      </c>
      <c r="E104">
        <v>1388.2</v>
      </c>
      <c r="F104" t="str">
        <f t="shared" si="1"/>
        <v>natural gas combined cycle</v>
      </c>
    </row>
    <row r="105" spans="1:6" x14ac:dyDescent="0.25">
      <c r="A105" t="s">
        <v>110</v>
      </c>
      <c r="B105" t="s">
        <v>84</v>
      </c>
      <c r="C105">
        <v>2001</v>
      </c>
      <c r="D105">
        <v>230</v>
      </c>
      <c r="E105">
        <v>280</v>
      </c>
      <c r="F105" t="str">
        <f t="shared" si="1"/>
        <v>natural gas combined cycle</v>
      </c>
    </row>
    <row r="106" spans="1:6" x14ac:dyDescent="0.25">
      <c r="A106" t="s">
        <v>110</v>
      </c>
      <c r="B106" t="s">
        <v>84</v>
      </c>
      <c r="C106">
        <v>2002</v>
      </c>
      <c r="D106">
        <v>3221.6</v>
      </c>
      <c r="E106">
        <v>3445.6</v>
      </c>
      <c r="F106" t="str">
        <f t="shared" si="1"/>
        <v>natural gas combined cycle</v>
      </c>
    </row>
    <row r="107" spans="1:6" x14ac:dyDescent="0.25">
      <c r="A107" t="s">
        <v>110</v>
      </c>
      <c r="B107" t="s">
        <v>84</v>
      </c>
      <c r="C107">
        <v>2003</v>
      </c>
      <c r="D107">
        <v>3030.8</v>
      </c>
      <c r="E107">
        <v>3131.9</v>
      </c>
      <c r="F107" t="str">
        <f t="shared" si="1"/>
        <v>natural gas combined cycle</v>
      </c>
    </row>
    <row r="108" spans="1:6" x14ac:dyDescent="0.25">
      <c r="A108" t="s">
        <v>110</v>
      </c>
      <c r="B108" t="s">
        <v>84</v>
      </c>
      <c r="C108">
        <v>2004</v>
      </c>
      <c r="D108">
        <v>163</v>
      </c>
      <c r="E108">
        <v>210</v>
      </c>
      <c r="F108" t="str">
        <f t="shared" si="1"/>
        <v>natural gas combined cycle</v>
      </c>
    </row>
    <row r="109" spans="1:6" x14ac:dyDescent="0.25">
      <c r="A109" t="s">
        <v>110</v>
      </c>
      <c r="B109" t="s">
        <v>84</v>
      </c>
      <c r="C109">
        <v>2008</v>
      </c>
      <c r="D109">
        <v>658.2</v>
      </c>
      <c r="E109">
        <v>688.1</v>
      </c>
      <c r="F109" t="str">
        <f t="shared" si="1"/>
        <v>natural gas combined cycle</v>
      </c>
    </row>
    <row r="110" spans="1:6" x14ac:dyDescent="0.25">
      <c r="A110" t="s">
        <v>110</v>
      </c>
      <c r="B110" t="s">
        <v>84</v>
      </c>
      <c r="C110">
        <v>2010</v>
      </c>
      <c r="D110">
        <v>752.7</v>
      </c>
      <c r="E110">
        <v>822.8</v>
      </c>
      <c r="F110" t="str">
        <f t="shared" si="1"/>
        <v>natural gas combined cycle</v>
      </c>
    </row>
    <row r="111" spans="1:6" x14ac:dyDescent="0.25">
      <c r="A111" t="s">
        <v>110</v>
      </c>
      <c r="B111" t="s">
        <v>84</v>
      </c>
      <c r="C111">
        <v>2023</v>
      </c>
      <c r="D111">
        <v>1324</v>
      </c>
      <c r="E111">
        <v>1506.7</v>
      </c>
      <c r="F111" t="str">
        <f t="shared" si="1"/>
        <v>natural gas combined cycle</v>
      </c>
    </row>
    <row r="112" spans="1:6" x14ac:dyDescent="0.25">
      <c r="A112" t="s">
        <v>110</v>
      </c>
      <c r="B112" t="s">
        <v>93</v>
      </c>
      <c r="C112">
        <v>1992</v>
      </c>
      <c r="D112">
        <v>3</v>
      </c>
      <c r="E112">
        <v>3.4</v>
      </c>
      <c r="F112" t="str">
        <f t="shared" si="1"/>
        <v>natural gas peaker</v>
      </c>
    </row>
    <row r="113" spans="1:6" x14ac:dyDescent="0.25">
      <c r="A113" t="s">
        <v>110</v>
      </c>
      <c r="B113" t="s">
        <v>93</v>
      </c>
      <c r="C113">
        <v>1995</v>
      </c>
      <c r="D113">
        <v>406</v>
      </c>
      <c r="E113">
        <v>400</v>
      </c>
      <c r="F113" t="str">
        <f t="shared" si="1"/>
        <v>natural gas peaker</v>
      </c>
    </row>
    <row r="114" spans="1:6" x14ac:dyDescent="0.25">
      <c r="A114" t="s">
        <v>110</v>
      </c>
      <c r="B114" t="s">
        <v>93</v>
      </c>
      <c r="C114">
        <v>1996</v>
      </c>
      <c r="D114">
        <v>334</v>
      </c>
      <c r="E114">
        <v>320</v>
      </c>
      <c r="F114" t="str">
        <f t="shared" si="1"/>
        <v>natural gas peaker</v>
      </c>
    </row>
    <row r="115" spans="1:6" x14ac:dyDescent="0.25">
      <c r="A115" t="s">
        <v>110</v>
      </c>
      <c r="B115" t="s">
        <v>93</v>
      </c>
      <c r="C115">
        <v>1998</v>
      </c>
      <c r="D115">
        <v>241</v>
      </c>
      <c r="E115">
        <v>251</v>
      </c>
      <c r="F115" t="str">
        <f t="shared" si="1"/>
        <v>natural gas peaker</v>
      </c>
    </row>
    <row r="116" spans="1:6" x14ac:dyDescent="0.25">
      <c r="A116" t="s">
        <v>110</v>
      </c>
      <c r="B116" t="s">
        <v>93</v>
      </c>
      <c r="C116">
        <v>1999</v>
      </c>
      <c r="D116">
        <v>100</v>
      </c>
      <c r="E116">
        <v>103</v>
      </c>
      <c r="F116" t="str">
        <f t="shared" si="1"/>
        <v>natural gas peaker</v>
      </c>
    </row>
    <row r="117" spans="1:6" x14ac:dyDescent="0.25">
      <c r="A117" t="s">
        <v>110</v>
      </c>
      <c r="B117" t="s">
        <v>93</v>
      </c>
      <c r="C117">
        <v>2003</v>
      </c>
      <c r="D117">
        <v>704</v>
      </c>
      <c r="E117">
        <v>748</v>
      </c>
      <c r="F117" t="str">
        <f t="shared" si="1"/>
        <v>natural gas peaker</v>
      </c>
    </row>
    <row r="118" spans="1:6" x14ac:dyDescent="0.25">
      <c r="A118" t="s">
        <v>110</v>
      </c>
      <c r="B118" t="s">
        <v>93</v>
      </c>
      <c r="C118">
        <v>2004</v>
      </c>
      <c r="D118">
        <v>95</v>
      </c>
      <c r="E118">
        <v>98.6</v>
      </c>
      <c r="F118" t="str">
        <f t="shared" si="1"/>
        <v>natural gas peaker</v>
      </c>
    </row>
    <row r="119" spans="1:6" x14ac:dyDescent="0.25">
      <c r="A119" t="s">
        <v>110</v>
      </c>
      <c r="B119" t="s">
        <v>93</v>
      </c>
      <c r="C119">
        <v>2010</v>
      </c>
      <c r="D119">
        <v>335</v>
      </c>
      <c r="E119">
        <v>340</v>
      </c>
      <c r="F119" t="str">
        <f t="shared" si="1"/>
        <v>natural gas peaker</v>
      </c>
    </row>
    <row r="120" spans="1:6" x14ac:dyDescent="0.25">
      <c r="A120" t="s">
        <v>110</v>
      </c>
      <c r="B120" t="s">
        <v>93</v>
      </c>
      <c r="C120">
        <v>2019</v>
      </c>
      <c r="D120">
        <v>43.6</v>
      </c>
      <c r="E120">
        <v>50</v>
      </c>
      <c r="F120" t="str">
        <f t="shared" si="1"/>
        <v>natural gas peaker</v>
      </c>
    </row>
    <row r="121" spans="1:6" x14ac:dyDescent="0.25">
      <c r="A121" t="s">
        <v>110</v>
      </c>
      <c r="B121" t="s">
        <v>93</v>
      </c>
      <c r="C121">
        <v>2023</v>
      </c>
      <c r="D121">
        <v>663</v>
      </c>
      <c r="E121">
        <v>693.6</v>
      </c>
      <c r="F121" t="str">
        <f t="shared" si="1"/>
        <v>natural gas peaker</v>
      </c>
    </row>
    <row r="122" spans="1:6" x14ac:dyDescent="0.25">
      <c r="A122" t="s">
        <v>110</v>
      </c>
      <c r="B122" t="s">
        <v>83</v>
      </c>
      <c r="C122">
        <v>2023</v>
      </c>
      <c r="D122">
        <v>26.8</v>
      </c>
      <c r="E122">
        <v>28.8</v>
      </c>
      <c r="F122" t="str">
        <f t="shared" si="1"/>
        <v>natural gas steam turbine</v>
      </c>
    </row>
    <row r="123" spans="1:6" x14ac:dyDescent="0.25">
      <c r="A123" t="s">
        <v>110</v>
      </c>
      <c r="B123" t="s">
        <v>92</v>
      </c>
      <c r="C123">
        <v>1995</v>
      </c>
      <c r="D123">
        <v>2.4</v>
      </c>
      <c r="E123">
        <v>2</v>
      </c>
      <c r="F123" t="str">
        <f t="shared" si="1"/>
        <v>petroleum</v>
      </c>
    </row>
    <row r="124" spans="1:6" x14ac:dyDescent="0.25">
      <c r="A124" t="s">
        <v>110</v>
      </c>
      <c r="B124" t="s">
        <v>92</v>
      </c>
      <c r="C124">
        <v>1996</v>
      </c>
      <c r="D124">
        <v>1.2</v>
      </c>
      <c r="E124">
        <v>1</v>
      </c>
      <c r="F124" t="str">
        <f t="shared" si="1"/>
        <v>petroleum</v>
      </c>
    </row>
    <row r="125" spans="1:6" x14ac:dyDescent="0.25">
      <c r="A125" t="s">
        <v>110</v>
      </c>
      <c r="B125" t="s">
        <v>92</v>
      </c>
      <c r="C125">
        <v>1997</v>
      </c>
      <c r="D125">
        <v>1.9</v>
      </c>
      <c r="E125">
        <v>1.6</v>
      </c>
      <c r="F125" t="str">
        <f t="shared" si="1"/>
        <v>petroleum</v>
      </c>
    </row>
    <row r="126" spans="1:6" x14ac:dyDescent="0.25">
      <c r="A126" t="s">
        <v>110</v>
      </c>
      <c r="B126" t="s">
        <v>92</v>
      </c>
      <c r="C126">
        <v>1998</v>
      </c>
      <c r="D126">
        <v>14</v>
      </c>
      <c r="E126">
        <v>14</v>
      </c>
      <c r="F126" t="str">
        <f t="shared" si="1"/>
        <v>petroleum</v>
      </c>
    </row>
    <row r="127" spans="1:6" x14ac:dyDescent="0.25">
      <c r="A127" t="s">
        <v>110</v>
      </c>
      <c r="B127" t="s">
        <v>92</v>
      </c>
      <c r="C127">
        <v>2000</v>
      </c>
      <c r="D127">
        <v>3.6</v>
      </c>
      <c r="E127">
        <v>4</v>
      </c>
      <c r="F127" t="str">
        <f t="shared" si="1"/>
        <v>petroleum</v>
      </c>
    </row>
    <row r="128" spans="1:6" x14ac:dyDescent="0.25">
      <c r="A128" t="s">
        <v>110</v>
      </c>
      <c r="B128" t="s">
        <v>92</v>
      </c>
      <c r="C128">
        <v>2002</v>
      </c>
      <c r="D128">
        <v>3.5</v>
      </c>
      <c r="E128">
        <v>4</v>
      </c>
      <c r="F128" t="str">
        <f t="shared" si="1"/>
        <v>petroleum</v>
      </c>
    </row>
    <row r="129" spans="1:6" x14ac:dyDescent="0.25">
      <c r="A129" t="s">
        <v>110</v>
      </c>
      <c r="B129" t="s">
        <v>249</v>
      </c>
      <c r="C129">
        <v>2015</v>
      </c>
      <c r="D129">
        <v>30</v>
      </c>
      <c r="E129">
        <v>30</v>
      </c>
      <c r="F129" t="str">
        <f t="shared" si="1"/>
        <v>solar pv</v>
      </c>
    </row>
    <row r="130" spans="1:6" x14ac:dyDescent="0.25">
      <c r="A130" t="s">
        <v>110</v>
      </c>
      <c r="B130" t="s">
        <v>249</v>
      </c>
      <c r="C130">
        <v>2016</v>
      </c>
      <c r="D130">
        <v>75</v>
      </c>
      <c r="E130">
        <v>75</v>
      </c>
      <c r="F130" t="str">
        <f t="shared" ref="F130:F193" si="2">LOWER($B130)</f>
        <v>solar pv</v>
      </c>
    </row>
    <row r="131" spans="1:6" x14ac:dyDescent="0.25">
      <c r="A131" t="s">
        <v>110</v>
      </c>
      <c r="B131" t="s">
        <v>249</v>
      </c>
      <c r="C131">
        <v>2017</v>
      </c>
      <c r="D131">
        <v>104.4</v>
      </c>
      <c r="E131">
        <v>107.2</v>
      </c>
      <c r="F131" t="str">
        <f t="shared" si="2"/>
        <v>solar pv</v>
      </c>
    </row>
    <row r="132" spans="1:6" x14ac:dyDescent="0.25">
      <c r="A132" t="s">
        <v>110</v>
      </c>
      <c r="B132" t="s">
        <v>249</v>
      </c>
      <c r="C132">
        <v>2018</v>
      </c>
      <c r="D132">
        <v>14.7</v>
      </c>
      <c r="E132">
        <v>14.7</v>
      </c>
      <c r="F132" t="str">
        <f t="shared" si="2"/>
        <v>solar pv</v>
      </c>
    </row>
    <row r="133" spans="1:6" x14ac:dyDescent="0.25">
      <c r="A133" t="s">
        <v>110</v>
      </c>
      <c r="B133" t="s">
        <v>249</v>
      </c>
      <c r="C133">
        <v>2021</v>
      </c>
      <c r="D133">
        <v>227</v>
      </c>
      <c r="E133">
        <v>227</v>
      </c>
      <c r="F133" t="str">
        <f t="shared" si="2"/>
        <v>solar pv</v>
      </c>
    </row>
    <row r="134" spans="1:6" x14ac:dyDescent="0.25">
      <c r="A134" t="s">
        <v>110</v>
      </c>
      <c r="B134" t="s">
        <v>249</v>
      </c>
      <c r="C134">
        <v>2023</v>
      </c>
      <c r="D134">
        <v>180</v>
      </c>
      <c r="E134">
        <v>180</v>
      </c>
      <c r="F134" t="str">
        <f t="shared" si="2"/>
        <v>solar pv</v>
      </c>
    </row>
    <row r="135" spans="1:6" x14ac:dyDescent="0.25">
      <c r="A135" t="s">
        <v>110</v>
      </c>
      <c r="B135" t="s">
        <v>249</v>
      </c>
      <c r="C135">
        <v>2024</v>
      </c>
      <c r="D135">
        <v>32.4</v>
      </c>
      <c r="E135">
        <v>32.4</v>
      </c>
      <c r="F135" t="str">
        <f t="shared" si="2"/>
        <v>solar pv</v>
      </c>
    </row>
    <row r="136" spans="1:6" x14ac:dyDescent="0.25">
      <c r="A136" t="s">
        <v>110</v>
      </c>
      <c r="B136" t="s">
        <v>249</v>
      </c>
      <c r="C136">
        <v>2025</v>
      </c>
      <c r="D136">
        <v>80</v>
      </c>
      <c r="E136">
        <v>80</v>
      </c>
      <c r="F136" t="str">
        <f t="shared" si="2"/>
        <v>solar pv</v>
      </c>
    </row>
    <row r="137" spans="1:6" x14ac:dyDescent="0.25">
      <c r="A137" t="s">
        <v>112</v>
      </c>
      <c r="B137" t="s">
        <v>90</v>
      </c>
      <c r="C137">
        <v>1991</v>
      </c>
      <c r="D137">
        <v>71</v>
      </c>
      <c r="E137">
        <v>90</v>
      </c>
      <c r="F137" t="str">
        <f t="shared" si="2"/>
        <v>biomass</v>
      </c>
    </row>
    <row r="138" spans="1:6" x14ac:dyDescent="0.25">
      <c r="A138" t="s">
        <v>112</v>
      </c>
      <c r="B138" t="s">
        <v>90</v>
      </c>
      <c r="C138">
        <v>2006</v>
      </c>
      <c r="D138">
        <v>4.8</v>
      </c>
      <c r="E138">
        <v>4.8</v>
      </c>
      <c r="F138" t="str">
        <f t="shared" si="2"/>
        <v>biomass</v>
      </c>
    </row>
    <row r="139" spans="1:6" x14ac:dyDescent="0.25">
      <c r="A139" t="s">
        <v>112</v>
      </c>
      <c r="B139" t="s">
        <v>90</v>
      </c>
      <c r="C139">
        <v>2010</v>
      </c>
      <c r="D139">
        <v>4</v>
      </c>
      <c r="E139">
        <v>4</v>
      </c>
      <c r="F139" t="str">
        <f t="shared" si="2"/>
        <v>biomass</v>
      </c>
    </row>
    <row r="140" spans="1:6" x14ac:dyDescent="0.25">
      <c r="A140" t="s">
        <v>112</v>
      </c>
      <c r="B140" t="s">
        <v>90</v>
      </c>
      <c r="C140">
        <v>2017</v>
      </c>
      <c r="D140">
        <v>0.8</v>
      </c>
      <c r="E140">
        <v>0.8</v>
      </c>
      <c r="F140" t="str">
        <f t="shared" si="2"/>
        <v>biomass</v>
      </c>
    </row>
    <row r="141" spans="1:6" x14ac:dyDescent="0.25">
      <c r="A141" t="s">
        <v>112</v>
      </c>
      <c r="B141" t="s">
        <v>81</v>
      </c>
      <c r="C141">
        <v>2010</v>
      </c>
      <c r="D141">
        <v>680</v>
      </c>
      <c r="E141">
        <v>720</v>
      </c>
      <c r="F141" t="str">
        <f t="shared" si="2"/>
        <v>hard coal</v>
      </c>
    </row>
    <row r="142" spans="1:6" x14ac:dyDescent="0.25">
      <c r="A142" t="s">
        <v>112</v>
      </c>
      <c r="B142" t="s">
        <v>81</v>
      </c>
      <c r="C142">
        <v>2012</v>
      </c>
      <c r="D142">
        <v>650</v>
      </c>
      <c r="E142">
        <v>609</v>
      </c>
      <c r="F142" t="str">
        <f t="shared" si="2"/>
        <v>hard coal</v>
      </c>
    </row>
    <row r="143" spans="1:6" x14ac:dyDescent="0.25">
      <c r="A143" t="s">
        <v>112</v>
      </c>
      <c r="B143" t="s">
        <v>86</v>
      </c>
      <c r="C143">
        <v>1992</v>
      </c>
      <c r="D143">
        <v>1.3</v>
      </c>
      <c r="E143">
        <v>1.3</v>
      </c>
      <c r="F143" t="str">
        <f t="shared" si="2"/>
        <v>hydro</v>
      </c>
    </row>
    <row r="144" spans="1:6" x14ac:dyDescent="0.25">
      <c r="A144" t="s">
        <v>112</v>
      </c>
      <c r="B144" t="s">
        <v>86</v>
      </c>
      <c r="C144">
        <v>1993</v>
      </c>
      <c r="D144">
        <v>17</v>
      </c>
      <c r="E144">
        <v>32.4</v>
      </c>
      <c r="F144" t="str">
        <f t="shared" si="2"/>
        <v>hydro</v>
      </c>
    </row>
    <row r="145" spans="1:6" x14ac:dyDescent="0.25">
      <c r="A145" t="s">
        <v>112</v>
      </c>
      <c r="B145" t="s">
        <v>86</v>
      </c>
      <c r="C145">
        <v>1999</v>
      </c>
      <c r="D145">
        <v>35</v>
      </c>
      <c r="E145">
        <v>102.6</v>
      </c>
      <c r="F145" t="str">
        <f t="shared" si="2"/>
        <v>hydro</v>
      </c>
    </row>
    <row r="146" spans="1:6" x14ac:dyDescent="0.25">
      <c r="A146" t="s">
        <v>112</v>
      </c>
      <c r="B146" t="s">
        <v>86</v>
      </c>
      <c r="C146">
        <v>2006</v>
      </c>
      <c r="D146">
        <v>4.3</v>
      </c>
      <c r="E146">
        <v>4.3</v>
      </c>
      <c r="F146" t="str">
        <f t="shared" si="2"/>
        <v>hydro</v>
      </c>
    </row>
    <row r="147" spans="1:6" x14ac:dyDescent="0.25">
      <c r="A147" t="s">
        <v>112</v>
      </c>
      <c r="B147" t="s">
        <v>86</v>
      </c>
      <c r="C147">
        <v>2007</v>
      </c>
      <c r="D147">
        <v>7.8</v>
      </c>
      <c r="E147">
        <v>7.8</v>
      </c>
      <c r="F147" t="str">
        <f t="shared" si="2"/>
        <v>hydro</v>
      </c>
    </row>
    <row r="148" spans="1:6" x14ac:dyDescent="0.25">
      <c r="A148" t="s">
        <v>112</v>
      </c>
      <c r="B148" t="s">
        <v>84</v>
      </c>
      <c r="C148">
        <v>2001</v>
      </c>
      <c r="D148">
        <v>179</v>
      </c>
      <c r="E148">
        <v>230.4</v>
      </c>
      <c r="F148" t="str">
        <f t="shared" si="2"/>
        <v>natural gas combined cycle</v>
      </c>
    </row>
    <row r="149" spans="1:6" x14ac:dyDescent="0.25">
      <c r="A149" t="s">
        <v>112</v>
      </c>
      <c r="B149" t="s">
        <v>84</v>
      </c>
      <c r="C149">
        <v>2002</v>
      </c>
      <c r="D149">
        <v>1606</v>
      </c>
      <c r="E149">
        <v>1440.3</v>
      </c>
      <c r="F149" t="str">
        <f t="shared" si="2"/>
        <v>natural gas combined cycle</v>
      </c>
    </row>
    <row r="150" spans="1:6" x14ac:dyDescent="0.25">
      <c r="A150" t="s">
        <v>112</v>
      </c>
      <c r="B150" t="s">
        <v>84</v>
      </c>
      <c r="C150">
        <v>2003</v>
      </c>
      <c r="D150">
        <v>3456.6</v>
      </c>
      <c r="E150">
        <v>2428</v>
      </c>
      <c r="F150" t="str">
        <f t="shared" si="2"/>
        <v>natural gas combined cycle</v>
      </c>
    </row>
    <row r="151" spans="1:6" x14ac:dyDescent="0.25">
      <c r="A151" t="s">
        <v>112</v>
      </c>
      <c r="B151" t="s">
        <v>84</v>
      </c>
      <c r="C151">
        <v>2005</v>
      </c>
      <c r="D151">
        <v>433.4</v>
      </c>
      <c r="E151">
        <v>504</v>
      </c>
      <c r="F151" t="str">
        <f t="shared" si="2"/>
        <v>natural gas combined cycle</v>
      </c>
    </row>
    <row r="152" spans="1:6" x14ac:dyDescent="0.25">
      <c r="A152" t="s">
        <v>112</v>
      </c>
      <c r="B152" t="s">
        <v>84</v>
      </c>
      <c r="C152">
        <v>2006</v>
      </c>
      <c r="D152">
        <v>208.1</v>
      </c>
      <c r="E152">
        <v>242</v>
      </c>
      <c r="F152" t="str">
        <f t="shared" si="2"/>
        <v>natural gas combined cycle</v>
      </c>
    </row>
    <row r="153" spans="1:6" x14ac:dyDescent="0.25">
      <c r="A153" t="s">
        <v>112</v>
      </c>
      <c r="B153" t="s">
        <v>84</v>
      </c>
      <c r="C153">
        <v>2007</v>
      </c>
      <c r="D153">
        <v>478</v>
      </c>
      <c r="E153">
        <v>679.1</v>
      </c>
      <c r="F153" t="str">
        <f t="shared" si="2"/>
        <v>natural gas combined cycle</v>
      </c>
    </row>
    <row r="154" spans="1:6" x14ac:dyDescent="0.25">
      <c r="A154" t="s">
        <v>112</v>
      </c>
      <c r="B154" t="s">
        <v>93</v>
      </c>
      <c r="C154">
        <v>1990</v>
      </c>
      <c r="D154">
        <v>13.6</v>
      </c>
      <c r="E154">
        <v>13.6</v>
      </c>
      <c r="F154" t="str">
        <f t="shared" si="2"/>
        <v>natural gas peaker</v>
      </c>
    </row>
    <row r="155" spans="1:6" x14ac:dyDescent="0.25">
      <c r="A155" t="s">
        <v>112</v>
      </c>
      <c r="B155" t="s">
        <v>93</v>
      </c>
      <c r="C155">
        <v>1993</v>
      </c>
      <c r="D155">
        <v>4</v>
      </c>
      <c r="E155">
        <v>4</v>
      </c>
      <c r="F155" t="str">
        <f t="shared" si="2"/>
        <v>natural gas peaker</v>
      </c>
    </row>
    <row r="156" spans="1:6" x14ac:dyDescent="0.25">
      <c r="A156" t="s">
        <v>112</v>
      </c>
      <c r="B156" t="s">
        <v>93</v>
      </c>
      <c r="C156">
        <v>1999</v>
      </c>
      <c r="D156">
        <v>39</v>
      </c>
      <c r="E156">
        <v>45.9</v>
      </c>
      <c r="F156" t="str">
        <f t="shared" si="2"/>
        <v>natural gas peaker</v>
      </c>
    </row>
    <row r="157" spans="1:6" x14ac:dyDescent="0.25">
      <c r="A157" t="s">
        <v>112</v>
      </c>
      <c r="B157" t="s">
        <v>93</v>
      </c>
      <c r="C157">
        <v>2000</v>
      </c>
      <c r="D157">
        <v>46</v>
      </c>
      <c r="E157">
        <v>60.5</v>
      </c>
      <c r="F157" t="str">
        <f t="shared" si="2"/>
        <v>natural gas peaker</v>
      </c>
    </row>
    <row r="158" spans="1:6" x14ac:dyDescent="0.25">
      <c r="A158" t="s">
        <v>112</v>
      </c>
      <c r="B158" t="s">
        <v>93</v>
      </c>
      <c r="C158">
        <v>2001</v>
      </c>
      <c r="D158">
        <v>171</v>
      </c>
      <c r="E158">
        <v>174</v>
      </c>
      <c r="F158" t="str">
        <f t="shared" si="2"/>
        <v>natural gas peaker</v>
      </c>
    </row>
    <row r="159" spans="1:6" x14ac:dyDescent="0.25">
      <c r="A159" t="s">
        <v>112</v>
      </c>
      <c r="B159" t="s">
        <v>93</v>
      </c>
      <c r="C159">
        <v>2003</v>
      </c>
      <c r="D159">
        <v>46</v>
      </c>
      <c r="E159">
        <v>57.4</v>
      </c>
      <c r="F159" t="str">
        <f t="shared" si="2"/>
        <v>natural gas peaker</v>
      </c>
    </row>
    <row r="160" spans="1:6" x14ac:dyDescent="0.25">
      <c r="A160" t="s">
        <v>112</v>
      </c>
      <c r="B160" t="s">
        <v>93</v>
      </c>
      <c r="C160">
        <v>2007</v>
      </c>
      <c r="D160">
        <v>340</v>
      </c>
      <c r="E160">
        <v>409.5</v>
      </c>
      <c r="F160" t="str">
        <f t="shared" si="2"/>
        <v>natural gas peaker</v>
      </c>
    </row>
    <row r="161" spans="1:6" x14ac:dyDescent="0.25">
      <c r="A161" t="s">
        <v>112</v>
      </c>
      <c r="B161" t="s">
        <v>93</v>
      </c>
      <c r="C161">
        <v>2009</v>
      </c>
      <c r="D161">
        <v>1.3</v>
      </c>
      <c r="E161">
        <v>1.3</v>
      </c>
      <c r="F161" t="str">
        <f t="shared" si="2"/>
        <v>natural gas peaker</v>
      </c>
    </row>
    <row r="162" spans="1:6" x14ac:dyDescent="0.25">
      <c r="A162" t="s">
        <v>112</v>
      </c>
      <c r="B162" t="s">
        <v>93</v>
      </c>
      <c r="C162">
        <v>2010</v>
      </c>
      <c r="D162">
        <v>40</v>
      </c>
      <c r="E162">
        <v>44</v>
      </c>
      <c r="F162" t="str">
        <f t="shared" si="2"/>
        <v>natural gas peaker</v>
      </c>
    </row>
    <row r="163" spans="1:6" x14ac:dyDescent="0.25">
      <c r="A163" t="s">
        <v>112</v>
      </c>
      <c r="B163" t="s">
        <v>93</v>
      </c>
      <c r="C163">
        <v>2013</v>
      </c>
      <c r="D163">
        <v>20</v>
      </c>
      <c r="E163">
        <v>22</v>
      </c>
      <c r="F163" t="str">
        <f t="shared" si="2"/>
        <v>natural gas peaker</v>
      </c>
    </row>
    <row r="164" spans="1:6" x14ac:dyDescent="0.25">
      <c r="A164" t="s">
        <v>112</v>
      </c>
      <c r="B164" t="s">
        <v>93</v>
      </c>
      <c r="C164">
        <v>2016</v>
      </c>
      <c r="D164">
        <v>5.2</v>
      </c>
      <c r="E164">
        <v>5.6</v>
      </c>
      <c r="F164" t="str">
        <f t="shared" si="2"/>
        <v>natural gas peaker</v>
      </c>
    </row>
    <row r="165" spans="1:6" x14ac:dyDescent="0.25">
      <c r="A165" t="s">
        <v>112</v>
      </c>
      <c r="B165" t="s">
        <v>87</v>
      </c>
      <c r="C165">
        <v>2025</v>
      </c>
      <c r="D165">
        <v>135</v>
      </c>
      <c r="E165">
        <v>144</v>
      </c>
      <c r="F165" t="str">
        <f t="shared" si="2"/>
        <v>onshore wind</v>
      </c>
    </row>
    <row r="166" spans="1:6" x14ac:dyDescent="0.25">
      <c r="A166" t="s">
        <v>112</v>
      </c>
      <c r="B166" t="s">
        <v>92</v>
      </c>
      <c r="C166">
        <v>1991</v>
      </c>
      <c r="D166">
        <v>0.2</v>
      </c>
      <c r="E166">
        <v>0.3</v>
      </c>
      <c r="F166" t="str">
        <f t="shared" si="2"/>
        <v>petroleum</v>
      </c>
    </row>
    <row r="167" spans="1:6" x14ac:dyDescent="0.25">
      <c r="A167" t="s">
        <v>112</v>
      </c>
      <c r="B167" t="s">
        <v>92</v>
      </c>
      <c r="C167">
        <v>1992</v>
      </c>
      <c r="D167">
        <v>3.2</v>
      </c>
      <c r="E167">
        <v>3.2</v>
      </c>
      <c r="F167" t="str">
        <f t="shared" si="2"/>
        <v>petroleum</v>
      </c>
    </row>
    <row r="168" spans="1:6" x14ac:dyDescent="0.25">
      <c r="A168" t="s">
        <v>112</v>
      </c>
      <c r="B168" t="s">
        <v>92</v>
      </c>
      <c r="C168">
        <v>1993</v>
      </c>
      <c r="D168">
        <v>1.6</v>
      </c>
      <c r="E168">
        <v>1.6</v>
      </c>
      <c r="F168" t="str">
        <f t="shared" si="2"/>
        <v>petroleum</v>
      </c>
    </row>
    <row r="169" spans="1:6" x14ac:dyDescent="0.25">
      <c r="A169" t="s">
        <v>112</v>
      </c>
      <c r="B169" t="s">
        <v>92</v>
      </c>
      <c r="C169">
        <v>1999</v>
      </c>
      <c r="D169">
        <v>4.8</v>
      </c>
      <c r="E169">
        <v>4.8</v>
      </c>
      <c r="F169" t="str">
        <f t="shared" si="2"/>
        <v>petroleum</v>
      </c>
    </row>
    <row r="170" spans="1:6" x14ac:dyDescent="0.25">
      <c r="A170" t="s">
        <v>112</v>
      </c>
      <c r="B170" t="s">
        <v>249</v>
      </c>
      <c r="C170">
        <v>2015</v>
      </c>
      <c r="D170">
        <v>12</v>
      </c>
      <c r="E170">
        <v>12</v>
      </c>
      <c r="F170" t="str">
        <f t="shared" si="2"/>
        <v>solar pv</v>
      </c>
    </row>
    <row r="171" spans="1:6" x14ac:dyDescent="0.25">
      <c r="A171" t="s">
        <v>112</v>
      </c>
      <c r="B171" t="s">
        <v>249</v>
      </c>
      <c r="C171">
        <v>2016</v>
      </c>
      <c r="D171">
        <v>1</v>
      </c>
      <c r="E171">
        <v>1</v>
      </c>
      <c r="F171" t="str">
        <f t="shared" si="2"/>
        <v>solar pv</v>
      </c>
    </row>
    <row r="172" spans="1:6" x14ac:dyDescent="0.25">
      <c r="A172" t="s">
        <v>112</v>
      </c>
      <c r="B172" t="s">
        <v>249</v>
      </c>
      <c r="C172">
        <v>2017</v>
      </c>
      <c r="D172">
        <v>6</v>
      </c>
      <c r="E172">
        <v>6</v>
      </c>
      <c r="F172" t="str">
        <f t="shared" si="2"/>
        <v>solar pv</v>
      </c>
    </row>
    <row r="173" spans="1:6" x14ac:dyDescent="0.25">
      <c r="A173" t="s">
        <v>112</v>
      </c>
      <c r="B173" t="s">
        <v>249</v>
      </c>
      <c r="C173">
        <v>2018</v>
      </c>
      <c r="D173">
        <v>84</v>
      </c>
      <c r="E173">
        <v>84</v>
      </c>
      <c r="F173" t="str">
        <f t="shared" si="2"/>
        <v>solar pv</v>
      </c>
    </row>
    <row r="174" spans="1:6" x14ac:dyDescent="0.25">
      <c r="A174" t="s">
        <v>112</v>
      </c>
      <c r="B174" t="s">
        <v>249</v>
      </c>
      <c r="C174">
        <v>2019</v>
      </c>
      <c r="D174">
        <v>16.2</v>
      </c>
      <c r="E174">
        <v>16.2</v>
      </c>
      <c r="F174" t="str">
        <f t="shared" si="2"/>
        <v>solar pv</v>
      </c>
    </row>
    <row r="175" spans="1:6" x14ac:dyDescent="0.25">
      <c r="A175" t="s">
        <v>112</v>
      </c>
      <c r="B175" t="s">
        <v>249</v>
      </c>
      <c r="C175">
        <v>2020</v>
      </c>
      <c r="D175">
        <v>107.5</v>
      </c>
      <c r="E175">
        <v>107.5</v>
      </c>
      <c r="F175" t="str">
        <f t="shared" si="2"/>
        <v>solar pv</v>
      </c>
    </row>
    <row r="176" spans="1:6" x14ac:dyDescent="0.25">
      <c r="A176" t="s">
        <v>112</v>
      </c>
      <c r="B176" t="s">
        <v>249</v>
      </c>
      <c r="C176">
        <v>2021</v>
      </c>
      <c r="D176">
        <v>17.7</v>
      </c>
      <c r="E176">
        <v>17.7</v>
      </c>
      <c r="F176" t="str">
        <f t="shared" si="2"/>
        <v>solar pv</v>
      </c>
    </row>
    <row r="177" spans="1:6" x14ac:dyDescent="0.25">
      <c r="A177" t="s">
        <v>112</v>
      </c>
      <c r="B177" t="s">
        <v>249</v>
      </c>
      <c r="C177">
        <v>2022</v>
      </c>
      <c r="D177">
        <v>116.1</v>
      </c>
      <c r="E177">
        <v>116.1</v>
      </c>
      <c r="F177" t="str">
        <f t="shared" si="2"/>
        <v>solar pv</v>
      </c>
    </row>
    <row r="178" spans="1:6" x14ac:dyDescent="0.25">
      <c r="A178" t="s">
        <v>112</v>
      </c>
      <c r="B178" t="s">
        <v>249</v>
      </c>
      <c r="C178">
        <v>2023</v>
      </c>
      <c r="D178">
        <v>479.3</v>
      </c>
      <c r="E178">
        <v>479.3</v>
      </c>
      <c r="F178" t="str">
        <f t="shared" si="2"/>
        <v>solar pv</v>
      </c>
    </row>
    <row r="179" spans="1:6" x14ac:dyDescent="0.25">
      <c r="A179" t="s">
        <v>112</v>
      </c>
      <c r="B179" t="s">
        <v>249</v>
      </c>
      <c r="C179">
        <v>2024</v>
      </c>
      <c r="D179">
        <v>945.66</v>
      </c>
      <c r="E179">
        <v>954.9</v>
      </c>
      <c r="F179" t="str">
        <f t="shared" si="2"/>
        <v>solar pv</v>
      </c>
    </row>
    <row r="180" spans="1:6" x14ac:dyDescent="0.25">
      <c r="A180" t="s">
        <v>112</v>
      </c>
      <c r="B180" t="s">
        <v>249</v>
      </c>
      <c r="C180">
        <v>2025</v>
      </c>
      <c r="D180">
        <v>753</v>
      </c>
      <c r="E180">
        <v>753</v>
      </c>
      <c r="F180" t="str">
        <f t="shared" si="2"/>
        <v>solar pv</v>
      </c>
    </row>
    <row r="181" spans="1:6" x14ac:dyDescent="0.25">
      <c r="A181" t="s">
        <v>114</v>
      </c>
      <c r="B181" t="s">
        <v>90</v>
      </c>
      <c r="C181">
        <v>2001</v>
      </c>
      <c r="D181">
        <v>4</v>
      </c>
      <c r="E181">
        <v>5</v>
      </c>
      <c r="F181" t="str">
        <f t="shared" si="2"/>
        <v>biomass</v>
      </c>
    </row>
    <row r="182" spans="1:6" x14ac:dyDescent="0.25">
      <c r="A182" t="s">
        <v>114</v>
      </c>
      <c r="B182" t="s">
        <v>90</v>
      </c>
      <c r="C182">
        <v>2004</v>
      </c>
      <c r="D182">
        <v>2.5</v>
      </c>
      <c r="E182">
        <v>3</v>
      </c>
      <c r="F182" t="str">
        <f t="shared" si="2"/>
        <v>biomass</v>
      </c>
    </row>
    <row r="183" spans="1:6" x14ac:dyDescent="0.25">
      <c r="A183" t="s">
        <v>114</v>
      </c>
      <c r="B183" t="s">
        <v>90</v>
      </c>
      <c r="C183">
        <v>2008</v>
      </c>
      <c r="D183">
        <v>22.2</v>
      </c>
      <c r="E183">
        <v>27.2</v>
      </c>
      <c r="F183" t="str">
        <f t="shared" si="2"/>
        <v>biomass</v>
      </c>
    </row>
    <row r="184" spans="1:6" x14ac:dyDescent="0.25">
      <c r="A184" t="s">
        <v>114</v>
      </c>
      <c r="B184" t="s">
        <v>90</v>
      </c>
      <c r="C184">
        <v>2012</v>
      </c>
      <c r="D184">
        <v>3.2</v>
      </c>
      <c r="E184">
        <v>3.2</v>
      </c>
      <c r="F184" t="str">
        <f t="shared" si="2"/>
        <v>biomass</v>
      </c>
    </row>
    <row r="185" spans="1:6" x14ac:dyDescent="0.25">
      <c r="A185" t="s">
        <v>114</v>
      </c>
      <c r="B185" t="s">
        <v>81</v>
      </c>
      <c r="C185">
        <v>1990</v>
      </c>
      <c r="D185">
        <v>406</v>
      </c>
      <c r="E185">
        <v>424.8</v>
      </c>
      <c r="F185" t="str">
        <f t="shared" si="2"/>
        <v>hard coal</v>
      </c>
    </row>
    <row r="186" spans="1:6" x14ac:dyDescent="0.25">
      <c r="A186" t="s">
        <v>114</v>
      </c>
      <c r="B186" t="s">
        <v>81</v>
      </c>
      <c r="C186">
        <v>2006</v>
      </c>
      <c r="D186">
        <v>417</v>
      </c>
      <c r="E186">
        <v>458.1</v>
      </c>
      <c r="F186" t="str">
        <f t="shared" si="2"/>
        <v>hard coal</v>
      </c>
    </row>
    <row r="187" spans="1:6" x14ac:dyDescent="0.25">
      <c r="A187" t="s">
        <v>114</v>
      </c>
      <c r="B187" t="s">
        <v>81</v>
      </c>
      <c r="C187">
        <v>2009</v>
      </c>
      <c r="D187">
        <v>415</v>
      </c>
      <c r="E187">
        <v>458.1</v>
      </c>
      <c r="F187" t="str">
        <f t="shared" si="2"/>
        <v>hard coal</v>
      </c>
    </row>
    <row r="188" spans="1:6" x14ac:dyDescent="0.25">
      <c r="A188" t="s">
        <v>114</v>
      </c>
      <c r="B188" t="s">
        <v>86</v>
      </c>
      <c r="C188">
        <v>1993</v>
      </c>
      <c r="D188">
        <v>19.5</v>
      </c>
      <c r="E188">
        <v>19.5</v>
      </c>
      <c r="F188" t="str">
        <f t="shared" si="2"/>
        <v>hydro</v>
      </c>
    </row>
    <row r="189" spans="1:6" x14ac:dyDescent="0.25">
      <c r="A189" t="s">
        <v>114</v>
      </c>
      <c r="B189" t="s">
        <v>84</v>
      </c>
      <c r="C189">
        <v>1994</v>
      </c>
      <c r="D189">
        <v>52.2</v>
      </c>
      <c r="E189">
        <v>62.6</v>
      </c>
      <c r="F189" t="str">
        <f t="shared" si="2"/>
        <v>natural gas combined cycle</v>
      </c>
    </row>
    <row r="190" spans="1:6" x14ac:dyDescent="0.25">
      <c r="A190" t="s">
        <v>114</v>
      </c>
      <c r="B190" t="s">
        <v>84</v>
      </c>
      <c r="C190">
        <v>2001</v>
      </c>
      <c r="D190">
        <v>1235.5999999999999</v>
      </c>
      <c r="E190">
        <v>1489.7</v>
      </c>
      <c r="F190" t="str">
        <f t="shared" si="2"/>
        <v>natural gas combined cycle</v>
      </c>
    </row>
    <row r="191" spans="1:6" x14ac:dyDescent="0.25">
      <c r="A191" t="s">
        <v>114</v>
      </c>
      <c r="B191" t="s">
        <v>84</v>
      </c>
      <c r="C191">
        <v>2002</v>
      </c>
      <c r="D191">
        <v>2437.3000000000002</v>
      </c>
      <c r="E191">
        <v>2824.2</v>
      </c>
      <c r="F191" t="str">
        <f t="shared" si="2"/>
        <v>natural gas combined cycle</v>
      </c>
    </row>
    <row r="192" spans="1:6" x14ac:dyDescent="0.25">
      <c r="A192" t="s">
        <v>114</v>
      </c>
      <c r="B192" t="s">
        <v>84</v>
      </c>
      <c r="C192">
        <v>2003</v>
      </c>
      <c r="D192">
        <v>3996</v>
      </c>
      <c r="E192">
        <v>4428.8</v>
      </c>
      <c r="F192" t="str">
        <f t="shared" si="2"/>
        <v>natural gas combined cycle</v>
      </c>
    </row>
    <row r="193" spans="1:6" x14ac:dyDescent="0.25">
      <c r="A193" t="s">
        <v>114</v>
      </c>
      <c r="B193" t="s">
        <v>84</v>
      </c>
      <c r="C193">
        <v>2004</v>
      </c>
      <c r="D193">
        <v>1042.9000000000001</v>
      </c>
      <c r="E193">
        <v>1277.0999999999999</v>
      </c>
      <c r="F193" t="str">
        <f t="shared" si="2"/>
        <v>natural gas combined cycle</v>
      </c>
    </row>
    <row r="194" spans="1:6" x14ac:dyDescent="0.25">
      <c r="A194" t="s">
        <v>114</v>
      </c>
      <c r="B194" t="s">
        <v>84</v>
      </c>
      <c r="C194">
        <v>2005</v>
      </c>
      <c r="D194">
        <v>616</v>
      </c>
      <c r="E194">
        <v>622.1</v>
      </c>
      <c r="F194" t="str">
        <f t="shared" ref="F194:F257" si="3">LOWER($B194)</f>
        <v>natural gas combined cycle</v>
      </c>
    </row>
    <row r="195" spans="1:6" x14ac:dyDescent="0.25">
      <c r="A195" t="s">
        <v>114</v>
      </c>
      <c r="B195" t="s">
        <v>84</v>
      </c>
      <c r="C195">
        <v>2006</v>
      </c>
      <c r="D195">
        <v>311.2</v>
      </c>
      <c r="E195">
        <v>299.10000000000002</v>
      </c>
      <c r="F195" t="str">
        <f t="shared" si="3"/>
        <v>natural gas combined cycle</v>
      </c>
    </row>
    <row r="196" spans="1:6" x14ac:dyDescent="0.25">
      <c r="A196" t="s">
        <v>114</v>
      </c>
      <c r="B196" t="s">
        <v>93</v>
      </c>
      <c r="C196">
        <v>2000</v>
      </c>
      <c r="D196">
        <v>1.6</v>
      </c>
      <c r="E196">
        <v>1.6</v>
      </c>
      <c r="F196" t="str">
        <f t="shared" si="3"/>
        <v>natural gas peaker</v>
      </c>
    </row>
    <row r="197" spans="1:6" x14ac:dyDescent="0.25">
      <c r="A197" t="s">
        <v>114</v>
      </c>
      <c r="B197" t="s">
        <v>93</v>
      </c>
      <c r="C197">
        <v>2001</v>
      </c>
      <c r="D197">
        <v>95</v>
      </c>
      <c r="E197">
        <v>111.8</v>
      </c>
      <c r="F197" t="str">
        <f t="shared" si="3"/>
        <v>natural gas peaker</v>
      </c>
    </row>
    <row r="198" spans="1:6" x14ac:dyDescent="0.25">
      <c r="A198" t="s">
        <v>114</v>
      </c>
      <c r="B198" t="s">
        <v>93</v>
      </c>
      <c r="C198">
        <v>2002</v>
      </c>
      <c r="D198">
        <v>507</v>
      </c>
      <c r="E198">
        <v>743.8</v>
      </c>
      <c r="F198" t="str">
        <f t="shared" si="3"/>
        <v>natural gas peaker</v>
      </c>
    </row>
    <row r="199" spans="1:6" x14ac:dyDescent="0.25">
      <c r="A199" t="s">
        <v>114</v>
      </c>
      <c r="B199" t="s">
        <v>93</v>
      </c>
      <c r="C199">
        <v>2006</v>
      </c>
      <c r="D199">
        <v>19.8</v>
      </c>
      <c r="E199">
        <v>54</v>
      </c>
      <c r="F199" t="str">
        <f t="shared" si="3"/>
        <v>natural gas peaker</v>
      </c>
    </row>
    <row r="200" spans="1:6" x14ac:dyDescent="0.25">
      <c r="A200" t="s">
        <v>114</v>
      </c>
      <c r="B200" t="s">
        <v>93</v>
      </c>
      <c r="C200">
        <v>2008</v>
      </c>
      <c r="D200">
        <v>174</v>
      </c>
      <c r="E200">
        <v>242</v>
      </c>
      <c r="F200" t="str">
        <f t="shared" si="3"/>
        <v>natural gas peaker</v>
      </c>
    </row>
    <row r="201" spans="1:6" x14ac:dyDescent="0.25">
      <c r="A201" t="s">
        <v>114</v>
      </c>
      <c r="B201" t="s">
        <v>93</v>
      </c>
      <c r="C201">
        <v>2011</v>
      </c>
      <c r="D201">
        <v>520.79999999999995</v>
      </c>
      <c r="E201">
        <v>726</v>
      </c>
      <c r="F201" t="str">
        <f t="shared" si="3"/>
        <v>natural gas peaker</v>
      </c>
    </row>
    <row r="202" spans="1:6" x14ac:dyDescent="0.25">
      <c r="A202" t="s">
        <v>114</v>
      </c>
      <c r="B202" t="s">
        <v>93</v>
      </c>
      <c r="C202">
        <v>2019</v>
      </c>
      <c r="D202">
        <v>613.9</v>
      </c>
      <c r="E202">
        <v>801.9</v>
      </c>
      <c r="F202" t="str">
        <f t="shared" si="3"/>
        <v>natural gas peaker</v>
      </c>
    </row>
    <row r="203" spans="1:6" x14ac:dyDescent="0.25">
      <c r="A203" t="s">
        <v>114</v>
      </c>
      <c r="B203" t="s">
        <v>93</v>
      </c>
      <c r="C203">
        <v>2020</v>
      </c>
      <c r="D203">
        <v>91</v>
      </c>
      <c r="E203">
        <v>94</v>
      </c>
      <c r="F203" t="str">
        <f t="shared" si="3"/>
        <v>natural gas peaker</v>
      </c>
    </row>
    <row r="204" spans="1:6" x14ac:dyDescent="0.25">
      <c r="A204" t="s">
        <v>114</v>
      </c>
      <c r="B204" t="s">
        <v>93</v>
      </c>
      <c r="C204">
        <v>2022</v>
      </c>
      <c r="D204">
        <v>176.8</v>
      </c>
      <c r="E204">
        <v>198</v>
      </c>
      <c r="F204" t="str">
        <f t="shared" si="3"/>
        <v>natural gas peaker</v>
      </c>
    </row>
    <row r="205" spans="1:6" x14ac:dyDescent="0.25">
      <c r="A205" t="s">
        <v>114</v>
      </c>
      <c r="B205" t="s">
        <v>93</v>
      </c>
      <c r="C205">
        <v>2024</v>
      </c>
      <c r="D205">
        <v>88</v>
      </c>
      <c r="E205">
        <v>99</v>
      </c>
      <c r="F205" t="str">
        <f t="shared" si="3"/>
        <v>natural gas peaker</v>
      </c>
    </row>
    <row r="206" spans="1:6" x14ac:dyDescent="0.25">
      <c r="A206" t="s">
        <v>114</v>
      </c>
      <c r="B206" t="s">
        <v>93</v>
      </c>
      <c r="C206">
        <v>2025</v>
      </c>
      <c r="D206">
        <v>165.8</v>
      </c>
      <c r="E206">
        <v>211</v>
      </c>
      <c r="F206" t="str">
        <f t="shared" si="3"/>
        <v>natural gas peaker</v>
      </c>
    </row>
    <row r="207" spans="1:6" x14ac:dyDescent="0.25">
      <c r="A207" t="s">
        <v>114</v>
      </c>
      <c r="B207" t="s">
        <v>87</v>
      </c>
      <c r="C207">
        <v>2009</v>
      </c>
      <c r="D207">
        <v>63</v>
      </c>
      <c r="E207">
        <v>63</v>
      </c>
      <c r="F207" t="str">
        <f t="shared" si="3"/>
        <v>onshore wind</v>
      </c>
    </row>
    <row r="208" spans="1:6" x14ac:dyDescent="0.25">
      <c r="A208" t="s">
        <v>114</v>
      </c>
      <c r="B208" t="s">
        <v>87</v>
      </c>
      <c r="C208">
        <v>2010</v>
      </c>
      <c r="D208">
        <v>65.099999999999994</v>
      </c>
      <c r="E208">
        <v>65.099999999999994</v>
      </c>
      <c r="F208" t="str">
        <f t="shared" si="3"/>
        <v>onshore wind</v>
      </c>
    </row>
    <row r="209" spans="1:6" x14ac:dyDescent="0.25">
      <c r="A209" t="s">
        <v>114</v>
      </c>
      <c r="B209" t="s">
        <v>87</v>
      </c>
      <c r="C209">
        <v>2011</v>
      </c>
      <c r="D209">
        <v>10</v>
      </c>
      <c r="E209">
        <v>10</v>
      </c>
      <c r="F209" t="str">
        <f t="shared" si="3"/>
        <v>onshore wind</v>
      </c>
    </row>
    <row r="210" spans="1:6" x14ac:dyDescent="0.25">
      <c r="A210" t="s">
        <v>114</v>
      </c>
      <c r="B210" t="s">
        <v>87</v>
      </c>
      <c r="C210">
        <v>2012</v>
      </c>
      <c r="D210">
        <v>99.2</v>
      </c>
      <c r="E210">
        <v>99.2</v>
      </c>
      <c r="F210" t="str">
        <f t="shared" si="3"/>
        <v>onshore wind</v>
      </c>
    </row>
    <row r="211" spans="1:6" x14ac:dyDescent="0.25">
      <c r="A211" t="s">
        <v>114</v>
      </c>
      <c r="B211" t="s">
        <v>87</v>
      </c>
      <c r="C211">
        <v>2015</v>
      </c>
      <c r="D211">
        <v>30</v>
      </c>
      <c r="E211">
        <v>30</v>
      </c>
      <c r="F211" t="str">
        <f t="shared" si="3"/>
        <v>onshore wind</v>
      </c>
    </row>
    <row r="212" spans="1:6" x14ac:dyDescent="0.25">
      <c r="A212" t="s">
        <v>114</v>
      </c>
      <c r="B212" t="s">
        <v>87</v>
      </c>
      <c r="C212">
        <v>2020</v>
      </c>
      <c r="D212">
        <v>350</v>
      </c>
      <c r="E212">
        <v>350</v>
      </c>
      <c r="F212" t="str">
        <f t="shared" si="3"/>
        <v>onshore wind</v>
      </c>
    </row>
    <row r="213" spans="1:6" x14ac:dyDescent="0.25">
      <c r="A213" t="s">
        <v>114</v>
      </c>
      <c r="B213" t="s">
        <v>87</v>
      </c>
      <c r="C213">
        <v>2023</v>
      </c>
      <c r="D213">
        <v>238.2</v>
      </c>
      <c r="E213">
        <v>238.2</v>
      </c>
      <c r="F213" t="str">
        <f t="shared" si="3"/>
        <v>onshore wind</v>
      </c>
    </row>
    <row r="214" spans="1:6" x14ac:dyDescent="0.25">
      <c r="A214" t="s">
        <v>114</v>
      </c>
      <c r="B214" t="s">
        <v>87</v>
      </c>
      <c r="C214">
        <v>2024</v>
      </c>
      <c r="D214">
        <v>379</v>
      </c>
      <c r="E214">
        <v>379</v>
      </c>
      <c r="F214" t="str">
        <f t="shared" si="3"/>
        <v>onshore wind</v>
      </c>
    </row>
    <row r="215" spans="1:6" x14ac:dyDescent="0.25">
      <c r="A215" t="s">
        <v>114</v>
      </c>
      <c r="B215" t="s">
        <v>92</v>
      </c>
      <c r="C215">
        <v>1990</v>
      </c>
      <c r="D215">
        <v>1.5</v>
      </c>
      <c r="E215">
        <v>1.5</v>
      </c>
      <c r="F215" t="str">
        <f t="shared" si="3"/>
        <v>petroleum</v>
      </c>
    </row>
    <row r="216" spans="1:6" x14ac:dyDescent="0.25">
      <c r="A216" t="s">
        <v>114</v>
      </c>
      <c r="B216" t="s">
        <v>249</v>
      </c>
      <c r="C216">
        <v>1998</v>
      </c>
      <c r="D216">
        <v>0.1</v>
      </c>
      <c r="E216">
        <v>0.1</v>
      </c>
      <c r="F216" t="str">
        <f t="shared" si="3"/>
        <v>solar pv</v>
      </c>
    </row>
    <row r="217" spans="1:6" x14ac:dyDescent="0.25">
      <c r="A217" t="s">
        <v>114</v>
      </c>
      <c r="B217" t="s">
        <v>249</v>
      </c>
      <c r="C217">
        <v>1999</v>
      </c>
      <c r="D217">
        <v>0.1</v>
      </c>
      <c r="E217">
        <v>0.1</v>
      </c>
      <c r="F217" t="str">
        <f t="shared" si="3"/>
        <v>solar pv</v>
      </c>
    </row>
    <row r="218" spans="1:6" x14ac:dyDescent="0.25">
      <c r="A218" t="s">
        <v>114</v>
      </c>
      <c r="B218" t="s">
        <v>249</v>
      </c>
      <c r="C218">
        <v>2001</v>
      </c>
      <c r="D218">
        <v>3.9</v>
      </c>
      <c r="E218">
        <v>3.9</v>
      </c>
      <c r="F218" t="str">
        <f t="shared" si="3"/>
        <v>solar pv</v>
      </c>
    </row>
    <row r="219" spans="1:6" x14ac:dyDescent="0.25">
      <c r="A219" t="s">
        <v>114</v>
      </c>
      <c r="B219" t="s">
        <v>249</v>
      </c>
      <c r="C219">
        <v>2002</v>
      </c>
      <c r="D219">
        <v>3</v>
      </c>
      <c r="E219">
        <v>3</v>
      </c>
      <c r="F219" t="str">
        <f t="shared" si="3"/>
        <v>solar pv</v>
      </c>
    </row>
    <row r="220" spans="1:6" x14ac:dyDescent="0.25">
      <c r="A220" t="s">
        <v>114</v>
      </c>
      <c r="B220" t="s">
        <v>249</v>
      </c>
      <c r="C220">
        <v>2003</v>
      </c>
      <c r="D220">
        <v>0.1</v>
      </c>
      <c r="E220">
        <v>0.1</v>
      </c>
      <c r="F220" t="str">
        <f t="shared" si="3"/>
        <v>solar pv</v>
      </c>
    </row>
    <row r="221" spans="1:6" x14ac:dyDescent="0.25">
      <c r="A221" t="s">
        <v>114</v>
      </c>
      <c r="B221" t="s">
        <v>249</v>
      </c>
      <c r="C221">
        <v>2008</v>
      </c>
      <c r="D221">
        <v>0.6</v>
      </c>
      <c r="E221">
        <v>0.6</v>
      </c>
      <c r="F221" t="str">
        <f t="shared" si="3"/>
        <v>solar pv</v>
      </c>
    </row>
    <row r="222" spans="1:6" x14ac:dyDescent="0.25">
      <c r="A222" t="s">
        <v>114</v>
      </c>
      <c r="B222" t="s">
        <v>249</v>
      </c>
      <c r="C222">
        <v>2009</v>
      </c>
      <c r="D222">
        <v>4</v>
      </c>
      <c r="E222">
        <v>4</v>
      </c>
      <c r="F222" t="str">
        <f t="shared" si="3"/>
        <v>solar pv</v>
      </c>
    </row>
    <row r="223" spans="1:6" x14ac:dyDescent="0.25">
      <c r="A223" t="s">
        <v>114</v>
      </c>
      <c r="B223" t="s">
        <v>249</v>
      </c>
      <c r="C223">
        <v>2010</v>
      </c>
      <c r="D223">
        <v>7.1</v>
      </c>
      <c r="E223">
        <v>6.8</v>
      </c>
      <c r="F223" t="str">
        <f t="shared" si="3"/>
        <v>solar pv</v>
      </c>
    </row>
    <row r="224" spans="1:6" x14ac:dyDescent="0.25">
      <c r="A224" t="s">
        <v>114</v>
      </c>
      <c r="B224" t="s">
        <v>249</v>
      </c>
      <c r="C224">
        <v>2011</v>
      </c>
      <c r="D224">
        <v>143.5</v>
      </c>
      <c r="E224">
        <v>143.6</v>
      </c>
      <c r="F224" t="str">
        <f t="shared" si="3"/>
        <v>solar pv</v>
      </c>
    </row>
    <row r="225" spans="1:6" x14ac:dyDescent="0.25">
      <c r="A225" t="s">
        <v>114</v>
      </c>
      <c r="B225" t="s">
        <v>249</v>
      </c>
      <c r="C225">
        <v>2012</v>
      </c>
      <c r="D225">
        <v>493.4</v>
      </c>
      <c r="E225">
        <v>495.5</v>
      </c>
      <c r="F225" t="str">
        <f t="shared" si="3"/>
        <v>solar pv</v>
      </c>
    </row>
    <row r="226" spans="1:6" x14ac:dyDescent="0.25">
      <c r="A226" t="s">
        <v>114</v>
      </c>
      <c r="B226" t="s">
        <v>249</v>
      </c>
      <c r="C226">
        <v>2013</v>
      </c>
      <c r="D226">
        <v>251.2</v>
      </c>
      <c r="E226">
        <v>254.7</v>
      </c>
      <c r="F226" t="str">
        <f t="shared" si="3"/>
        <v>solar pv</v>
      </c>
    </row>
    <row r="227" spans="1:6" x14ac:dyDescent="0.25">
      <c r="A227" t="s">
        <v>114</v>
      </c>
      <c r="B227" t="s">
        <v>249</v>
      </c>
      <c r="C227">
        <v>2014</v>
      </c>
      <c r="D227">
        <v>227.7</v>
      </c>
      <c r="E227">
        <v>227.5</v>
      </c>
      <c r="F227" t="str">
        <f t="shared" si="3"/>
        <v>solar pv</v>
      </c>
    </row>
    <row r="228" spans="1:6" x14ac:dyDescent="0.25">
      <c r="A228" t="s">
        <v>114</v>
      </c>
      <c r="B228" t="s">
        <v>249</v>
      </c>
      <c r="C228">
        <v>2015</v>
      </c>
      <c r="D228">
        <v>120.6</v>
      </c>
      <c r="E228">
        <v>122.6</v>
      </c>
      <c r="F228" t="str">
        <f t="shared" si="3"/>
        <v>solar pv</v>
      </c>
    </row>
    <row r="229" spans="1:6" x14ac:dyDescent="0.25">
      <c r="A229" t="s">
        <v>114</v>
      </c>
      <c r="B229" t="s">
        <v>249</v>
      </c>
      <c r="C229">
        <v>2016</v>
      </c>
      <c r="D229">
        <v>379.1</v>
      </c>
      <c r="E229">
        <v>379.5</v>
      </c>
      <c r="F229" t="str">
        <f t="shared" si="3"/>
        <v>solar pv</v>
      </c>
    </row>
    <row r="230" spans="1:6" x14ac:dyDescent="0.25">
      <c r="A230" t="s">
        <v>114</v>
      </c>
      <c r="B230" t="s">
        <v>249</v>
      </c>
      <c r="C230">
        <v>2017</v>
      </c>
      <c r="D230">
        <v>107.3</v>
      </c>
      <c r="E230">
        <v>107</v>
      </c>
      <c r="F230" t="str">
        <f t="shared" si="3"/>
        <v>solar pv</v>
      </c>
    </row>
    <row r="231" spans="1:6" x14ac:dyDescent="0.25">
      <c r="A231" t="s">
        <v>114</v>
      </c>
      <c r="B231" t="s">
        <v>249</v>
      </c>
      <c r="C231">
        <v>2018</v>
      </c>
      <c r="D231">
        <v>80.400000000000006</v>
      </c>
      <c r="E231">
        <v>80.400000000000006</v>
      </c>
      <c r="F231" t="str">
        <f t="shared" si="3"/>
        <v>solar pv</v>
      </c>
    </row>
    <row r="232" spans="1:6" x14ac:dyDescent="0.25">
      <c r="A232" t="s">
        <v>114</v>
      </c>
      <c r="B232" t="s">
        <v>249</v>
      </c>
      <c r="C232">
        <v>2019</v>
      </c>
      <c r="D232">
        <v>32.200000000000003</v>
      </c>
      <c r="E232">
        <v>32.200000000000003</v>
      </c>
      <c r="F232" t="str">
        <f t="shared" si="3"/>
        <v>solar pv</v>
      </c>
    </row>
    <row r="233" spans="1:6" x14ac:dyDescent="0.25">
      <c r="A233" t="s">
        <v>114</v>
      </c>
      <c r="B233" t="s">
        <v>249</v>
      </c>
      <c r="C233">
        <v>2020</v>
      </c>
      <c r="D233">
        <v>297.10000000000002</v>
      </c>
      <c r="E233">
        <v>297.10000000000002</v>
      </c>
      <c r="F233" t="str">
        <f t="shared" si="3"/>
        <v>solar pv</v>
      </c>
    </row>
    <row r="234" spans="1:6" x14ac:dyDescent="0.25">
      <c r="A234" t="s">
        <v>114</v>
      </c>
      <c r="B234" t="s">
        <v>249</v>
      </c>
      <c r="C234">
        <v>2021</v>
      </c>
      <c r="D234">
        <v>351.4</v>
      </c>
      <c r="E234">
        <v>381.4</v>
      </c>
      <c r="F234" t="str">
        <f t="shared" si="3"/>
        <v>solar pv</v>
      </c>
    </row>
    <row r="235" spans="1:6" x14ac:dyDescent="0.25">
      <c r="A235" t="s">
        <v>114</v>
      </c>
      <c r="B235" t="s">
        <v>249</v>
      </c>
      <c r="C235">
        <v>2022</v>
      </c>
      <c r="D235">
        <v>215.1</v>
      </c>
      <c r="E235">
        <v>215.1</v>
      </c>
      <c r="F235" t="str">
        <f t="shared" si="3"/>
        <v>solar pv</v>
      </c>
    </row>
    <row r="236" spans="1:6" x14ac:dyDescent="0.25">
      <c r="A236" t="s">
        <v>114</v>
      </c>
      <c r="B236" t="s">
        <v>249</v>
      </c>
      <c r="C236">
        <v>2023</v>
      </c>
      <c r="D236">
        <v>798</v>
      </c>
      <c r="E236">
        <v>1062</v>
      </c>
      <c r="F236" t="str">
        <f t="shared" si="3"/>
        <v>solar pv</v>
      </c>
    </row>
    <row r="237" spans="1:6" x14ac:dyDescent="0.25">
      <c r="A237" t="s">
        <v>114</v>
      </c>
      <c r="B237" t="s">
        <v>249</v>
      </c>
      <c r="C237">
        <v>2024</v>
      </c>
      <c r="D237">
        <v>1246.5</v>
      </c>
      <c r="E237">
        <v>1246.5</v>
      </c>
      <c r="F237" t="str">
        <f t="shared" si="3"/>
        <v>solar pv</v>
      </c>
    </row>
    <row r="238" spans="1:6" x14ac:dyDescent="0.25">
      <c r="A238" t="s">
        <v>114</v>
      </c>
      <c r="B238" t="s">
        <v>249</v>
      </c>
      <c r="C238">
        <v>2025</v>
      </c>
      <c r="D238">
        <v>1532.3</v>
      </c>
      <c r="E238">
        <v>1532.3</v>
      </c>
      <c r="F238" t="str">
        <f t="shared" si="3"/>
        <v>solar pv</v>
      </c>
    </row>
    <row r="239" spans="1:6" x14ac:dyDescent="0.25">
      <c r="A239" t="s">
        <v>114</v>
      </c>
      <c r="B239" t="s">
        <v>89</v>
      </c>
      <c r="C239">
        <v>2005</v>
      </c>
      <c r="D239">
        <v>1</v>
      </c>
      <c r="E239">
        <v>1</v>
      </c>
      <c r="F239" t="str">
        <f t="shared" si="3"/>
        <v>solar thermal</v>
      </c>
    </row>
    <row r="240" spans="1:6" x14ac:dyDescent="0.25">
      <c r="A240" t="s">
        <v>114</v>
      </c>
      <c r="B240" t="s">
        <v>89</v>
      </c>
      <c r="C240">
        <v>2013</v>
      </c>
      <c r="D240">
        <v>295.60000000000002</v>
      </c>
      <c r="E240">
        <v>280</v>
      </c>
      <c r="F240" t="str">
        <f t="shared" si="3"/>
        <v>solar thermal</v>
      </c>
    </row>
    <row r="241" spans="1:6" x14ac:dyDescent="0.25">
      <c r="A241" t="s">
        <v>116</v>
      </c>
      <c r="B241" t="s">
        <v>90</v>
      </c>
      <c r="C241">
        <v>1990</v>
      </c>
      <c r="D241">
        <v>33.5</v>
      </c>
      <c r="E241">
        <v>44.2</v>
      </c>
      <c r="F241" t="str">
        <f t="shared" si="3"/>
        <v>biomass</v>
      </c>
    </row>
    <row r="242" spans="1:6" x14ac:dyDescent="0.25">
      <c r="A242" t="s">
        <v>116</v>
      </c>
      <c r="B242" t="s">
        <v>90</v>
      </c>
      <c r="C242">
        <v>1991</v>
      </c>
      <c r="D242">
        <v>0.4</v>
      </c>
      <c r="E242">
        <v>0.5</v>
      </c>
      <c r="F242" t="str">
        <f t="shared" si="3"/>
        <v>biomass</v>
      </c>
    </row>
    <row r="243" spans="1:6" x14ac:dyDescent="0.25">
      <c r="A243" t="s">
        <v>116</v>
      </c>
      <c r="B243" t="s">
        <v>90</v>
      </c>
      <c r="C243">
        <v>1993</v>
      </c>
      <c r="D243">
        <v>51.8</v>
      </c>
      <c r="E243">
        <v>58.6</v>
      </c>
      <c r="F243" t="str">
        <f t="shared" si="3"/>
        <v>biomass</v>
      </c>
    </row>
    <row r="244" spans="1:6" x14ac:dyDescent="0.25">
      <c r="A244" t="s">
        <v>116</v>
      </c>
      <c r="B244" t="s">
        <v>90</v>
      </c>
      <c r="C244">
        <v>1994</v>
      </c>
      <c r="D244">
        <v>0.7</v>
      </c>
      <c r="E244">
        <v>0.8</v>
      </c>
      <c r="F244" t="str">
        <f t="shared" si="3"/>
        <v>biomass</v>
      </c>
    </row>
    <row r="245" spans="1:6" x14ac:dyDescent="0.25">
      <c r="A245" t="s">
        <v>116</v>
      </c>
      <c r="B245" t="s">
        <v>90</v>
      </c>
      <c r="C245">
        <v>1996</v>
      </c>
      <c r="D245">
        <v>2.8</v>
      </c>
      <c r="E245">
        <v>3.2</v>
      </c>
      <c r="F245" t="str">
        <f t="shared" si="3"/>
        <v>biomass</v>
      </c>
    </row>
    <row r="246" spans="1:6" x14ac:dyDescent="0.25">
      <c r="A246" t="s">
        <v>116</v>
      </c>
      <c r="B246" t="s">
        <v>90</v>
      </c>
      <c r="C246">
        <v>1997</v>
      </c>
      <c r="D246">
        <v>18.899999999999999</v>
      </c>
      <c r="E246">
        <v>20.399999999999999</v>
      </c>
      <c r="F246" t="str">
        <f t="shared" si="3"/>
        <v>biomass</v>
      </c>
    </row>
    <row r="247" spans="1:6" x14ac:dyDescent="0.25">
      <c r="A247" t="s">
        <v>116</v>
      </c>
      <c r="B247" t="s">
        <v>90</v>
      </c>
      <c r="C247">
        <v>1998</v>
      </c>
      <c r="D247">
        <v>8.9</v>
      </c>
      <c r="E247">
        <v>9.6999999999999993</v>
      </c>
      <c r="F247" t="str">
        <f t="shared" si="3"/>
        <v>biomass</v>
      </c>
    </row>
    <row r="248" spans="1:6" x14ac:dyDescent="0.25">
      <c r="A248" t="s">
        <v>116</v>
      </c>
      <c r="B248" t="s">
        <v>90</v>
      </c>
      <c r="C248">
        <v>1999</v>
      </c>
      <c r="D248">
        <v>24.7</v>
      </c>
      <c r="E248">
        <v>30.5</v>
      </c>
      <c r="F248" t="str">
        <f t="shared" si="3"/>
        <v>biomass</v>
      </c>
    </row>
    <row r="249" spans="1:6" x14ac:dyDescent="0.25">
      <c r="A249" t="s">
        <v>116</v>
      </c>
      <c r="B249" t="s">
        <v>90</v>
      </c>
      <c r="C249">
        <v>2000</v>
      </c>
      <c r="D249">
        <v>6.5</v>
      </c>
      <c r="E249">
        <v>10.8</v>
      </c>
      <c r="F249" t="str">
        <f t="shared" si="3"/>
        <v>biomass</v>
      </c>
    </row>
    <row r="250" spans="1:6" x14ac:dyDescent="0.25">
      <c r="A250" t="s">
        <v>116</v>
      </c>
      <c r="B250" t="s">
        <v>90</v>
      </c>
      <c r="C250">
        <v>2001</v>
      </c>
      <c r="D250">
        <v>14</v>
      </c>
      <c r="E250">
        <v>17.399999999999999</v>
      </c>
      <c r="F250" t="str">
        <f t="shared" si="3"/>
        <v>biomass</v>
      </c>
    </row>
    <row r="251" spans="1:6" x14ac:dyDescent="0.25">
      <c r="A251" t="s">
        <v>116</v>
      </c>
      <c r="B251" t="s">
        <v>90</v>
      </c>
      <c r="C251">
        <v>2002</v>
      </c>
      <c r="D251">
        <v>6.6</v>
      </c>
      <c r="E251">
        <v>7.2</v>
      </c>
      <c r="F251" t="str">
        <f t="shared" si="3"/>
        <v>biomass</v>
      </c>
    </row>
    <row r="252" spans="1:6" x14ac:dyDescent="0.25">
      <c r="A252" t="s">
        <v>116</v>
      </c>
      <c r="B252" t="s">
        <v>90</v>
      </c>
      <c r="C252">
        <v>2003</v>
      </c>
      <c r="D252">
        <v>8</v>
      </c>
      <c r="E252">
        <v>9.9</v>
      </c>
      <c r="F252" t="str">
        <f t="shared" si="3"/>
        <v>biomass</v>
      </c>
    </row>
    <row r="253" spans="1:6" x14ac:dyDescent="0.25">
      <c r="A253" t="s">
        <v>116</v>
      </c>
      <c r="B253" t="s">
        <v>90</v>
      </c>
      <c r="C253">
        <v>2004</v>
      </c>
      <c r="D253">
        <v>24.1</v>
      </c>
      <c r="E253">
        <v>26.2</v>
      </c>
      <c r="F253" t="str">
        <f t="shared" si="3"/>
        <v>biomass</v>
      </c>
    </row>
    <row r="254" spans="1:6" x14ac:dyDescent="0.25">
      <c r="A254" t="s">
        <v>116</v>
      </c>
      <c r="B254" t="s">
        <v>90</v>
      </c>
      <c r="C254">
        <v>2006</v>
      </c>
      <c r="D254">
        <v>13.7</v>
      </c>
      <c r="E254">
        <v>15.6</v>
      </c>
      <c r="F254" t="str">
        <f t="shared" si="3"/>
        <v>biomass</v>
      </c>
    </row>
    <row r="255" spans="1:6" x14ac:dyDescent="0.25">
      <c r="A255" t="s">
        <v>116</v>
      </c>
      <c r="B255" t="s">
        <v>90</v>
      </c>
      <c r="C255">
        <v>2007</v>
      </c>
      <c r="D255">
        <v>2.2999999999999998</v>
      </c>
      <c r="E255">
        <v>2.4</v>
      </c>
      <c r="F255" t="str">
        <f t="shared" si="3"/>
        <v>biomass</v>
      </c>
    </row>
    <row r="256" spans="1:6" x14ac:dyDescent="0.25">
      <c r="A256" t="s">
        <v>116</v>
      </c>
      <c r="B256" t="s">
        <v>90</v>
      </c>
      <c r="C256">
        <v>2008</v>
      </c>
      <c r="D256">
        <v>34.4</v>
      </c>
      <c r="E256">
        <v>39.1</v>
      </c>
      <c r="F256" t="str">
        <f t="shared" si="3"/>
        <v>biomass</v>
      </c>
    </row>
    <row r="257" spans="1:6" x14ac:dyDescent="0.25">
      <c r="A257" t="s">
        <v>116</v>
      </c>
      <c r="B257" t="s">
        <v>90</v>
      </c>
      <c r="C257">
        <v>2009</v>
      </c>
      <c r="D257">
        <v>11</v>
      </c>
      <c r="E257">
        <v>11.5</v>
      </c>
      <c r="F257" t="str">
        <f t="shared" si="3"/>
        <v>biomass</v>
      </c>
    </row>
    <row r="258" spans="1:6" x14ac:dyDescent="0.25">
      <c r="A258" t="s">
        <v>116</v>
      </c>
      <c r="B258" t="s">
        <v>90</v>
      </c>
      <c r="C258">
        <v>2010</v>
      </c>
      <c r="D258">
        <v>29.3</v>
      </c>
      <c r="E258">
        <v>38.9</v>
      </c>
      <c r="F258" t="str">
        <f t="shared" ref="F258:F321" si="4">LOWER($B258)</f>
        <v>biomass</v>
      </c>
    </row>
    <row r="259" spans="1:6" x14ac:dyDescent="0.25">
      <c r="A259" t="s">
        <v>116</v>
      </c>
      <c r="B259" t="s">
        <v>90</v>
      </c>
      <c r="C259">
        <v>2011</v>
      </c>
      <c r="D259">
        <v>6.2</v>
      </c>
      <c r="E259">
        <v>7</v>
      </c>
      <c r="F259" t="str">
        <f t="shared" si="4"/>
        <v>biomass</v>
      </c>
    </row>
    <row r="260" spans="1:6" x14ac:dyDescent="0.25">
      <c r="A260" t="s">
        <v>116</v>
      </c>
      <c r="B260" t="s">
        <v>90</v>
      </c>
      <c r="C260">
        <v>2012</v>
      </c>
      <c r="D260">
        <v>52</v>
      </c>
      <c r="E260">
        <v>50.5</v>
      </c>
      <c r="F260" t="str">
        <f t="shared" si="4"/>
        <v>biomass</v>
      </c>
    </row>
    <row r="261" spans="1:6" x14ac:dyDescent="0.25">
      <c r="A261" t="s">
        <v>116</v>
      </c>
      <c r="B261" t="s">
        <v>90</v>
      </c>
      <c r="C261">
        <v>2013</v>
      </c>
      <c r="D261">
        <v>15.5</v>
      </c>
      <c r="E261">
        <v>16.399999999999999</v>
      </c>
      <c r="F261" t="str">
        <f t="shared" si="4"/>
        <v>biomass</v>
      </c>
    </row>
    <row r="262" spans="1:6" x14ac:dyDescent="0.25">
      <c r="A262" t="s">
        <v>116</v>
      </c>
      <c r="B262" t="s">
        <v>90</v>
      </c>
      <c r="C262">
        <v>2014</v>
      </c>
      <c r="D262">
        <v>35.200000000000003</v>
      </c>
      <c r="E262">
        <v>38.799999999999997</v>
      </c>
      <c r="F262" t="str">
        <f t="shared" si="4"/>
        <v>biomass</v>
      </c>
    </row>
    <row r="263" spans="1:6" x14ac:dyDescent="0.25">
      <c r="A263" t="s">
        <v>116</v>
      </c>
      <c r="B263" t="s">
        <v>90</v>
      </c>
      <c r="C263">
        <v>2015</v>
      </c>
      <c r="D263">
        <v>31.4</v>
      </c>
      <c r="E263">
        <v>34.799999999999997</v>
      </c>
      <c r="F263" t="str">
        <f t="shared" si="4"/>
        <v>biomass</v>
      </c>
    </row>
    <row r="264" spans="1:6" x14ac:dyDescent="0.25">
      <c r="A264" t="s">
        <v>116</v>
      </c>
      <c r="B264" t="s">
        <v>90</v>
      </c>
      <c r="C264">
        <v>2016</v>
      </c>
      <c r="D264">
        <v>35.4</v>
      </c>
      <c r="E264">
        <v>35.6</v>
      </c>
      <c r="F264" t="str">
        <f t="shared" si="4"/>
        <v>biomass</v>
      </c>
    </row>
    <row r="265" spans="1:6" x14ac:dyDescent="0.25">
      <c r="A265" t="s">
        <v>116</v>
      </c>
      <c r="B265" t="s">
        <v>90</v>
      </c>
      <c r="C265">
        <v>2017</v>
      </c>
      <c r="D265">
        <v>35.9</v>
      </c>
      <c r="E265">
        <v>42.9</v>
      </c>
      <c r="F265" t="str">
        <f t="shared" si="4"/>
        <v>biomass</v>
      </c>
    </row>
    <row r="266" spans="1:6" x14ac:dyDescent="0.25">
      <c r="A266" t="s">
        <v>116</v>
      </c>
      <c r="B266" t="s">
        <v>90</v>
      </c>
      <c r="C266">
        <v>2018</v>
      </c>
      <c r="D266">
        <v>34.1</v>
      </c>
      <c r="E266">
        <v>46.8</v>
      </c>
      <c r="F266" t="str">
        <f t="shared" si="4"/>
        <v>biomass</v>
      </c>
    </row>
    <row r="267" spans="1:6" x14ac:dyDescent="0.25">
      <c r="A267" t="s">
        <v>116</v>
      </c>
      <c r="B267" t="s">
        <v>90</v>
      </c>
      <c r="C267">
        <v>2019</v>
      </c>
      <c r="D267">
        <v>7.6</v>
      </c>
      <c r="E267">
        <v>7.8</v>
      </c>
      <c r="F267" t="str">
        <f t="shared" si="4"/>
        <v>biomass</v>
      </c>
    </row>
    <row r="268" spans="1:6" x14ac:dyDescent="0.25">
      <c r="A268" t="s">
        <v>116</v>
      </c>
      <c r="B268" t="s">
        <v>90</v>
      </c>
      <c r="C268">
        <v>2020</v>
      </c>
      <c r="D268">
        <v>1</v>
      </c>
      <c r="E268">
        <v>1</v>
      </c>
      <c r="F268" t="str">
        <f t="shared" si="4"/>
        <v>biomass</v>
      </c>
    </row>
    <row r="269" spans="1:6" x14ac:dyDescent="0.25">
      <c r="A269" t="s">
        <v>116</v>
      </c>
      <c r="B269" t="s">
        <v>90</v>
      </c>
      <c r="C269">
        <v>2021</v>
      </c>
      <c r="D269">
        <v>11.2</v>
      </c>
      <c r="E269">
        <v>11.2</v>
      </c>
      <c r="F269" t="str">
        <f t="shared" si="4"/>
        <v>biomass</v>
      </c>
    </row>
    <row r="270" spans="1:6" x14ac:dyDescent="0.25">
      <c r="A270" t="s">
        <v>116</v>
      </c>
      <c r="B270" t="s">
        <v>90</v>
      </c>
      <c r="C270">
        <v>2022</v>
      </c>
      <c r="D270">
        <v>6.1</v>
      </c>
      <c r="E270">
        <v>7.3</v>
      </c>
      <c r="F270" t="str">
        <f t="shared" si="4"/>
        <v>biomass</v>
      </c>
    </row>
    <row r="271" spans="1:6" x14ac:dyDescent="0.25">
      <c r="A271" t="s">
        <v>116</v>
      </c>
      <c r="B271" t="s">
        <v>90</v>
      </c>
      <c r="C271">
        <v>2023</v>
      </c>
      <c r="D271">
        <v>2.2000000000000002</v>
      </c>
      <c r="E271">
        <v>2.8</v>
      </c>
      <c r="F271" t="str">
        <f t="shared" si="4"/>
        <v>biomass</v>
      </c>
    </row>
    <row r="272" spans="1:6" x14ac:dyDescent="0.25">
      <c r="A272" t="s">
        <v>116</v>
      </c>
      <c r="B272" t="s">
        <v>90</v>
      </c>
      <c r="C272">
        <v>2025</v>
      </c>
      <c r="D272">
        <v>5</v>
      </c>
      <c r="E272">
        <v>5.6</v>
      </c>
      <c r="F272" t="str">
        <f t="shared" si="4"/>
        <v>biomass</v>
      </c>
    </row>
    <row r="273" spans="1:6" x14ac:dyDescent="0.25">
      <c r="A273" t="s">
        <v>116</v>
      </c>
      <c r="B273" t="s">
        <v>91</v>
      </c>
      <c r="C273">
        <v>1990</v>
      </c>
      <c r="D273">
        <v>55.5</v>
      </c>
      <c r="E273">
        <v>65</v>
      </c>
      <c r="F273" t="str">
        <f t="shared" si="4"/>
        <v>geothermal</v>
      </c>
    </row>
    <row r="274" spans="1:6" x14ac:dyDescent="0.25">
      <c r="A274" t="s">
        <v>116</v>
      </c>
      <c r="B274" t="s">
        <v>91</v>
      </c>
      <c r="C274">
        <v>1993</v>
      </c>
      <c r="D274">
        <v>40.799999999999997</v>
      </c>
      <c r="E274">
        <v>48</v>
      </c>
      <c r="F274" t="str">
        <f t="shared" si="4"/>
        <v>geothermal</v>
      </c>
    </row>
    <row r="275" spans="1:6" x14ac:dyDescent="0.25">
      <c r="A275" t="s">
        <v>116</v>
      </c>
      <c r="B275" t="s">
        <v>91</v>
      </c>
      <c r="C275">
        <v>1996</v>
      </c>
      <c r="D275">
        <v>44</v>
      </c>
      <c r="E275">
        <v>47.5</v>
      </c>
      <c r="F275" t="str">
        <f t="shared" si="4"/>
        <v>geothermal</v>
      </c>
    </row>
    <row r="276" spans="1:6" x14ac:dyDescent="0.25">
      <c r="A276" t="s">
        <v>116</v>
      </c>
      <c r="B276" t="s">
        <v>91</v>
      </c>
      <c r="C276">
        <v>2000</v>
      </c>
      <c r="D276">
        <v>56</v>
      </c>
      <c r="E276">
        <v>69.8</v>
      </c>
      <c r="F276" t="str">
        <f t="shared" si="4"/>
        <v>geothermal</v>
      </c>
    </row>
    <row r="277" spans="1:6" x14ac:dyDescent="0.25">
      <c r="A277" t="s">
        <v>116</v>
      </c>
      <c r="B277" t="s">
        <v>91</v>
      </c>
      <c r="C277">
        <v>2003</v>
      </c>
      <c r="D277">
        <v>16</v>
      </c>
      <c r="E277">
        <v>24</v>
      </c>
      <c r="F277" t="str">
        <f t="shared" si="4"/>
        <v>geothermal</v>
      </c>
    </row>
    <row r="278" spans="1:6" x14ac:dyDescent="0.25">
      <c r="A278" t="s">
        <v>116</v>
      </c>
      <c r="B278" t="s">
        <v>91</v>
      </c>
      <c r="C278">
        <v>2006</v>
      </c>
      <c r="D278">
        <v>19.5</v>
      </c>
      <c r="E278">
        <v>26.5</v>
      </c>
      <c r="F278" t="str">
        <f t="shared" si="4"/>
        <v>geothermal</v>
      </c>
    </row>
    <row r="279" spans="1:6" x14ac:dyDescent="0.25">
      <c r="A279" t="s">
        <v>116</v>
      </c>
      <c r="B279" t="s">
        <v>91</v>
      </c>
      <c r="C279">
        <v>2007</v>
      </c>
      <c r="D279">
        <v>13.3</v>
      </c>
      <c r="E279">
        <v>20</v>
      </c>
      <c r="F279" t="str">
        <f t="shared" si="4"/>
        <v>geothermal</v>
      </c>
    </row>
    <row r="280" spans="1:6" x14ac:dyDescent="0.25">
      <c r="A280" t="s">
        <v>116</v>
      </c>
      <c r="B280" t="s">
        <v>91</v>
      </c>
      <c r="C280">
        <v>2008</v>
      </c>
      <c r="D280">
        <v>12</v>
      </c>
      <c r="E280">
        <v>16</v>
      </c>
      <c r="F280" t="str">
        <f t="shared" si="4"/>
        <v>geothermal</v>
      </c>
    </row>
    <row r="281" spans="1:6" x14ac:dyDescent="0.25">
      <c r="A281" t="s">
        <v>116</v>
      </c>
      <c r="B281" t="s">
        <v>91</v>
      </c>
      <c r="C281">
        <v>2009</v>
      </c>
      <c r="D281">
        <v>53.5</v>
      </c>
      <c r="E281">
        <v>80</v>
      </c>
      <c r="F281" t="str">
        <f t="shared" si="4"/>
        <v>geothermal</v>
      </c>
    </row>
    <row r="282" spans="1:6" x14ac:dyDescent="0.25">
      <c r="A282" t="s">
        <v>116</v>
      </c>
      <c r="B282" t="s">
        <v>91</v>
      </c>
      <c r="C282">
        <v>2012</v>
      </c>
      <c r="D282">
        <v>49.9</v>
      </c>
      <c r="E282">
        <v>55</v>
      </c>
      <c r="F282" t="str">
        <f t="shared" si="4"/>
        <v>geothermal</v>
      </c>
    </row>
    <row r="283" spans="1:6" x14ac:dyDescent="0.25">
      <c r="A283" t="s">
        <v>116</v>
      </c>
      <c r="B283" t="s">
        <v>91</v>
      </c>
      <c r="C283">
        <v>2018</v>
      </c>
      <c r="D283">
        <v>12.5</v>
      </c>
      <c r="E283">
        <v>19</v>
      </c>
      <c r="F283" t="str">
        <f t="shared" si="4"/>
        <v>geothermal</v>
      </c>
    </row>
    <row r="284" spans="1:6" x14ac:dyDescent="0.25">
      <c r="A284" t="s">
        <v>116</v>
      </c>
      <c r="B284" t="s">
        <v>91</v>
      </c>
      <c r="C284">
        <v>2020</v>
      </c>
      <c r="D284">
        <v>10.7</v>
      </c>
      <c r="E284">
        <v>16</v>
      </c>
      <c r="F284" t="str">
        <f t="shared" si="4"/>
        <v>geothermal</v>
      </c>
    </row>
    <row r="285" spans="1:6" x14ac:dyDescent="0.25">
      <c r="A285" t="s">
        <v>116</v>
      </c>
      <c r="B285" t="s">
        <v>91</v>
      </c>
      <c r="C285">
        <v>2022</v>
      </c>
      <c r="D285">
        <v>57.7</v>
      </c>
      <c r="E285">
        <v>86.9</v>
      </c>
      <c r="F285" t="str">
        <f t="shared" si="4"/>
        <v>geothermal</v>
      </c>
    </row>
    <row r="286" spans="1:6" x14ac:dyDescent="0.25">
      <c r="A286" t="s">
        <v>116</v>
      </c>
      <c r="B286" t="s">
        <v>91</v>
      </c>
      <c r="C286">
        <v>2023</v>
      </c>
      <c r="D286">
        <v>48</v>
      </c>
      <c r="E286">
        <v>69</v>
      </c>
      <c r="F286" t="str">
        <f t="shared" si="4"/>
        <v>geothermal</v>
      </c>
    </row>
    <row r="287" spans="1:6" x14ac:dyDescent="0.25">
      <c r="A287" t="s">
        <v>116</v>
      </c>
      <c r="B287" t="s">
        <v>91</v>
      </c>
      <c r="C287">
        <v>2025</v>
      </c>
      <c r="D287">
        <v>4.7</v>
      </c>
      <c r="E287">
        <v>7</v>
      </c>
      <c r="F287" t="str">
        <f t="shared" si="4"/>
        <v>geothermal</v>
      </c>
    </row>
    <row r="288" spans="1:6" x14ac:dyDescent="0.25">
      <c r="A288" t="s">
        <v>116</v>
      </c>
      <c r="B288" t="s">
        <v>86</v>
      </c>
      <c r="C288">
        <v>1990</v>
      </c>
      <c r="D288">
        <v>52.7</v>
      </c>
      <c r="E288">
        <v>53.4</v>
      </c>
      <c r="F288" t="str">
        <f t="shared" si="4"/>
        <v>hydro</v>
      </c>
    </row>
    <row r="289" spans="1:6" x14ac:dyDescent="0.25">
      <c r="A289" t="s">
        <v>116</v>
      </c>
      <c r="B289" t="s">
        <v>86</v>
      </c>
      <c r="C289">
        <v>1992</v>
      </c>
      <c r="D289">
        <v>88.5</v>
      </c>
      <c r="E289">
        <v>92.8</v>
      </c>
      <c r="F289" t="str">
        <f t="shared" si="4"/>
        <v>hydro</v>
      </c>
    </row>
    <row r="290" spans="1:6" x14ac:dyDescent="0.25">
      <c r="A290" t="s">
        <v>116</v>
      </c>
      <c r="B290" t="s">
        <v>86</v>
      </c>
      <c r="C290">
        <v>1993</v>
      </c>
      <c r="D290">
        <v>28.6</v>
      </c>
      <c r="E290">
        <v>33</v>
      </c>
      <c r="F290" t="str">
        <f t="shared" si="4"/>
        <v>hydro</v>
      </c>
    </row>
    <row r="291" spans="1:6" x14ac:dyDescent="0.25">
      <c r="A291" t="s">
        <v>116</v>
      </c>
      <c r="B291" t="s">
        <v>86</v>
      </c>
      <c r="C291">
        <v>1994</v>
      </c>
      <c r="D291">
        <v>98.9</v>
      </c>
      <c r="E291">
        <v>103.2</v>
      </c>
      <c r="F291" t="str">
        <f t="shared" si="4"/>
        <v>hydro</v>
      </c>
    </row>
    <row r="292" spans="1:6" x14ac:dyDescent="0.25">
      <c r="A292" t="s">
        <v>116</v>
      </c>
      <c r="B292" t="s">
        <v>86</v>
      </c>
      <c r="C292">
        <v>1996</v>
      </c>
      <c r="D292">
        <v>32.4</v>
      </c>
      <c r="E292">
        <v>32.700000000000003</v>
      </c>
      <c r="F292" t="str">
        <f t="shared" si="4"/>
        <v>hydro</v>
      </c>
    </row>
    <row r="293" spans="1:6" x14ac:dyDescent="0.25">
      <c r="A293" t="s">
        <v>116</v>
      </c>
      <c r="B293" t="s">
        <v>86</v>
      </c>
      <c r="C293">
        <v>1999</v>
      </c>
      <c r="D293">
        <v>3.1</v>
      </c>
      <c r="E293">
        <v>3.1</v>
      </c>
      <c r="F293" t="str">
        <f t="shared" si="4"/>
        <v>hydro</v>
      </c>
    </row>
    <row r="294" spans="1:6" x14ac:dyDescent="0.25">
      <c r="A294" t="s">
        <v>116</v>
      </c>
      <c r="B294" t="s">
        <v>86</v>
      </c>
      <c r="C294">
        <v>2001</v>
      </c>
      <c r="D294">
        <v>39.6</v>
      </c>
      <c r="E294">
        <v>39.6</v>
      </c>
      <c r="F294" t="str">
        <f t="shared" si="4"/>
        <v>hydro</v>
      </c>
    </row>
    <row r="295" spans="1:6" x14ac:dyDescent="0.25">
      <c r="A295" t="s">
        <v>116</v>
      </c>
      <c r="B295" t="s">
        <v>86</v>
      </c>
      <c r="C295">
        <v>2002</v>
      </c>
      <c r="D295">
        <v>1</v>
      </c>
      <c r="E295">
        <v>1.5</v>
      </c>
      <c r="F295" t="str">
        <f t="shared" si="4"/>
        <v>hydro</v>
      </c>
    </row>
    <row r="296" spans="1:6" x14ac:dyDescent="0.25">
      <c r="A296" t="s">
        <v>116</v>
      </c>
      <c r="B296" t="s">
        <v>86</v>
      </c>
      <c r="C296">
        <v>2007</v>
      </c>
      <c r="D296">
        <v>3.6</v>
      </c>
      <c r="E296">
        <v>4.5999999999999996</v>
      </c>
      <c r="F296" t="str">
        <f t="shared" si="4"/>
        <v>hydro</v>
      </c>
    </row>
    <row r="297" spans="1:6" x14ac:dyDescent="0.25">
      <c r="A297" t="s">
        <v>116</v>
      </c>
      <c r="B297" t="s">
        <v>86</v>
      </c>
      <c r="C297">
        <v>2012</v>
      </c>
      <c r="D297">
        <v>6.5</v>
      </c>
      <c r="E297">
        <v>6.5</v>
      </c>
      <c r="F297" t="str">
        <f t="shared" si="4"/>
        <v>hydro</v>
      </c>
    </row>
    <row r="298" spans="1:6" x14ac:dyDescent="0.25">
      <c r="A298" t="s">
        <v>116</v>
      </c>
      <c r="B298" t="s">
        <v>86</v>
      </c>
      <c r="C298">
        <v>2014</v>
      </c>
      <c r="D298">
        <v>1.5</v>
      </c>
      <c r="E298">
        <v>1.5</v>
      </c>
      <c r="F298" t="str">
        <f t="shared" si="4"/>
        <v>hydro</v>
      </c>
    </row>
    <row r="299" spans="1:6" x14ac:dyDescent="0.25">
      <c r="A299" t="s">
        <v>116</v>
      </c>
      <c r="B299" t="s">
        <v>86</v>
      </c>
      <c r="C299">
        <v>2017</v>
      </c>
      <c r="D299">
        <v>7.3</v>
      </c>
      <c r="E299">
        <v>6.9</v>
      </c>
      <c r="F299" t="str">
        <f t="shared" si="4"/>
        <v>hydro</v>
      </c>
    </row>
    <row r="300" spans="1:6" x14ac:dyDescent="0.25">
      <c r="A300" t="s">
        <v>116</v>
      </c>
      <c r="B300" t="s">
        <v>86</v>
      </c>
      <c r="C300">
        <v>2020</v>
      </c>
      <c r="D300">
        <v>2.7</v>
      </c>
      <c r="E300">
        <v>2.7</v>
      </c>
      <c r="F300" t="str">
        <f t="shared" si="4"/>
        <v>hydro</v>
      </c>
    </row>
    <row r="301" spans="1:6" x14ac:dyDescent="0.25">
      <c r="A301" t="s">
        <v>116</v>
      </c>
      <c r="B301" t="s">
        <v>86</v>
      </c>
      <c r="C301">
        <v>2024</v>
      </c>
      <c r="D301">
        <v>1</v>
      </c>
      <c r="E301">
        <v>1</v>
      </c>
      <c r="F301" t="str">
        <f t="shared" si="4"/>
        <v>hydro</v>
      </c>
    </row>
    <row r="302" spans="1:6" x14ac:dyDescent="0.25">
      <c r="A302" t="s">
        <v>116</v>
      </c>
      <c r="B302" t="s">
        <v>84</v>
      </c>
      <c r="C302">
        <v>1990</v>
      </c>
      <c r="D302">
        <v>118.1</v>
      </c>
      <c r="E302">
        <v>131.80000000000001</v>
      </c>
      <c r="F302" t="str">
        <f t="shared" si="4"/>
        <v>natural gas combined cycle</v>
      </c>
    </row>
    <row r="303" spans="1:6" x14ac:dyDescent="0.25">
      <c r="A303" t="s">
        <v>116</v>
      </c>
      <c r="B303" t="s">
        <v>84</v>
      </c>
      <c r="C303">
        <v>1991</v>
      </c>
      <c r="D303">
        <v>1</v>
      </c>
      <c r="E303">
        <v>1.2</v>
      </c>
      <c r="F303" t="str">
        <f t="shared" si="4"/>
        <v>natural gas combined cycle</v>
      </c>
    </row>
    <row r="304" spans="1:6" x14ac:dyDescent="0.25">
      <c r="A304" t="s">
        <v>116</v>
      </c>
      <c r="B304" t="s">
        <v>84</v>
      </c>
      <c r="C304">
        <v>1992</v>
      </c>
      <c r="D304">
        <v>100</v>
      </c>
      <c r="E304">
        <v>125.2</v>
      </c>
      <c r="F304" t="str">
        <f t="shared" si="4"/>
        <v>natural gas combined cycle</v>
      </c>
    </row>
    <row r="305" spans="1:6" x14ac:dyDescent="0.25">
      <c r="A305" t="s">
        <v>116</v>
      </c>
      <c r="B305" t="s">
        <v>84</v>
      </c>
      <c r="C305">
        <v>1993</v>
      </c>
      <c r="D305">
        <v>158.1</v>
      </c>
      <c r="E305">
        <v>182.2</v>
      </c>
      <c r="F305" t="str">
        <f t="shared" si="4"/>
        <v>natural gas combined cycle</v>
      </c>
    </row>
    <row r="306" spans="1:6" x14ac:dyDescent="0.25">
      <c r="A306" t="s">
        <v>116</v>
      </c>
      <c r="B306" t="s">
        <v>84</v>
      </c>
      <c r="C306">
        <v>1994</v>
      </c>
      <c r="D306">
        <v>49.4</v>
      </c>
      <c r="E306">
        <v>51.4</v>
      </c>
      <c r="F306" t="str">
        <f t="shared" si="4"/>
        <v>natural gas combined cycle</v>
      </c>
    </row>
    <row r="307" spans="1:6" x14ac:dyDescent="0.25">
      <c r="A307" t="s">
        <v>116</v>
      </c>
      <c r="B307" t="s">
        <v>84</v>
      </c>
      <c r="C307">
        <v>1995</v>
      </c>
      <c r="D307">
        <v>562.79999999999995</v>
      </c>
      <c r="E307">
        <v>604.1</v>
      </c>
      <c r="F307" t="str">
        <f t="shared" si="4"/>
        <v>natural gas combined cycle</v>
      </c>
    </row>
    <row r="308" spans="1:6" x14ac:dyDescent="0.25">
      <c r="A308" t="s">
        <v>116</v>
      </c>
      <c r="B308" t="s">
        <v>84</v>
      </c>
      <c r="C308">
        <v>1996</v>
      </c>
      <c r="D308">
        <v>100.8</v>
      </c>
      <c r="E308">
        <v>102.8</v>
      </c>
      <c r="F308" t="str">
        <f t="shared" si="4"/>
        <v>natural gas combined cycle</v>
      </c>
    </row>
    <row r="309" spans="1:6" x14ac:dyDescent="0.25">
      <c r="A309" t="s">
        <v>116</v>
      </c>
      <c r="B309" t="s">
        <v>84</v>
      </c>
      <c r="C309">
        <v>1997</v>
      </c>
      <c r="D309">
        <v>310.8</v>
      </c>
      <c r="E309">
        <v>323.3</v>
      </c>
      <c r="F309" t="str">
        <f t="shared" si="4"/>
        <v>natural gas combined cycle</v>
      </c>
    </row>
    <row r="310" spans="1:6" x14ac:dyDescent="0.25">
      <c r="A310" t="s">
        <v>116</v>
      </c>
      <c r="B310" t="s">
        <v>84</v>
      </c>
      <c r="C310">
        <v>2001</v>
      </c>
      <c r="D310">
        <v>1453.9</v>
      </c>
      <c r="E310">
        <v>1793.6</v>
      </c>
      <c r="F310" t="str">
        <f t="shared" si="4"/>
        <v>natural gas combined cycle</v>
      </c>
    </row>
    <row r="311" spans="1:6" x14ac:dyDescent="0.25">
      <c r="A311" t="s">
        <v>116</v>
      </c>
      <c r="B311" t="s">
        <v>84</v>
      </c>
      <c r="C311">
        <v>2002</v>
      </c>
      <c r="D311">
        <v>1914.1</v>
      </c>
      <c r="E311">
        <v>2395.8000000000002</v>
      </c>
      <c r="F311" t="str">
        <f t="shared" si="4"/>
        <v>natural gas combined cycle</v>
      </c>
    </row>
    <row r="312" spans="1:6" x14ac:dyDescent="0.25">
      <c r="A312" t="s">
        <v>116</v>
      </c>
      <c r="B312" t="s">
        <v>84</v>
      </c>
      <c r="C312">
        <v>2003</v>
      </c>
      <c r="D312">
        <v>4152.2</v>
      </c>
      <c r="E312">
        <v>4684</v>
      </c>
      <c r="F312" t="str">
        <f t="shared" si="4"/>
        <v>natural gas combined cycle</v>
      </c>
    </row>
    <row r="313" spans="1:6" x14ac:dyDescent="0.25">
      <c r="A313" t="s">
        <v>116</v>
      </c>
      <c r="B313" t="s">
        <v>84</v>
      </c>
      <c r="C313">
        <v>2005</v>
      </c>
      <c r="D313">
        <v>3358.2</v>
      </c>
      <c r="E313">
        <v>3612.9</v>
      </c>
      <c r="F313" t="str">
        <f t="shared" si="4"/>
        <v>natural gas combined cycle</v>
      </c>
    </row>
    <row r="314" spans="1:6" x14ac:dyDescent="0.25">
      <c r="A314" t="s">
        <v>116</v>
      </c>
      <c r="B314" t="s">
        <v>84</v>
      </c>
      <c r="C314">
        <v>2006</v>
      </c>
      <c r="D314">
        <v>1575.4</v>
      </c>
      <c r="E314">
        <v>1635.2</v>
      </c>
      <c r="F314" t="str">
        <f t="shared" si="4"/>
        <v>natural gas combined cycle</v>
      </c>
    </row>
    <row r="315" spans="1:6" x14ac:dyDescent="0.25">
      <c r="A315" t="s">
        <v>116</v>
      </c>
      <c r="B315" t="s">
        <v>84</v>
      </c>
      <c r="C315">
        <v>2007</v>
      </c>
      <c r="D315">
        <v>219</v>
      </c>
      <c r="E315">
        <v>233</v>
      </c>
      <c r="F315" t="str">
        <f t="shared" si="4"/>
        <v>natural gas combined cycle</v>
      </c>
    </row>
    <row r="316" spans="1:6" x14ac:dyDescent="0.25">
      <c r="A316" t="s">
        <v>116</v>
      </c>
      <c r="B316" t="s">
        <v>84</v>
      </c>
      <c r="C316">
        <v>2009</v>
      </c>
      <c r="D316">
        <v>1156.1199999999999</v>
      </c>
      <c r="E316">
        <v>1330.4</v>
      </c>
      <c r="F316" t="str">
        <f t="shared" si="4"/>
        <v>natural gas combined cycle</v>
      </c>
    </row>
    <row r="317" spans="1:6" x14ac:dyDescent="0.25">
      <c r="A317" t="s">
        <v>116</v>
      </c>
      <c r="B317" t="s">
        <v>84</v>
      </c>
      <c r="C317">
        <v>2010</v>
      </c>
      <c r="D317">
        <v>640</v>
      </c>
      <c r="E317">
        <v>712.4</v>
      </c>
      <c r="F317" t="str">
        <f t="shared" si="4"/>
        <v>natural gas combined cycle</v>
      </c>
    </row>
    <row r="318" spans="1:6" x14ac:dyDescent="0.25">
      <c r="A318" t="s">
        <v>116</v>
      </c>
      <c r="B318" t="s">
        <v>84</v>
      </c>
      <c r="C318">
        <v>2011</v>
      </c>
      <c r="D318">
        <v>41</v>
      </c>
      <c r="E318">
        <v>42.5</v>
      </c>
      <c r="F318" t="str">
        <f t="shared" si="4"/>
        <v>natural gas combined cycle</v>
      </c>
    </row>
    <row r="319" spans="1:6" x14ac:dyDescent="0.25">
      <c r="A319" t="s">
        <v>116</v>
      </c>
      <c r="B319" t="s">
        <v>84</v>
      </c>
      <c r="C319">
        <v>2012</v>
      </c>
      <c r="D319">
        <v>561.70000000000005</v>
      </c>
      <c r="E319">
        <v>621</v>
      </c>
      <c r="F319" t="str">
        <f t="shared" si="4"/>
        <v>natural gas combined cycle</v>
      </c>
    </row>
    <row r="320" spans="1:6" x14ac:dyDescent="0.25">
      <c r="A320" t="s">
        <v>116</v>
      </c>
      <c r="B320" t="s">
        <v>84</v>
      </c>
      <c r="C320">
        <v>2013</v>
      </c>
      <c r="D320">
        <v>1268.9000000000001</v>
      </c>
      <c r="E320">
        <v>1364.4</v>
      </c>
      <c r="F320" t="str">
        <f t="shared" si="4"/>
        <v>natural gas combined cycle</v>
      </c>
    </row>
    <row r="321" spans="1:6" x14ac:dyDescent="0.25">
      <c r="A321" t="s">
        <v>116</v>
      </c>
      <c r="B321" t="s">
        <v>84</v>
      </c>
      <c r="C321">
        <v>2015</v>
      </c>
      <c r="D321">
        <v>311</v>
      </c>
      <c r="E321">
        <v>335.8</v>
      </c>
      <c r="F321" t="str">
        <f t="shared" si="4"/>
        <v>natural gas combined cycle</v>
      </c>
    </row>
    <row r="322" spans="1:6" x14ac:dyDescent="0.25">
      <c r="A322" t="s">
        <v>116</v>
      </c>
      <c r="B322" t="s">
        <v>84</v>
      </c>
      <c r="C322">
        <v>2016</v>
      </c>
      <c r="D322">
        <v>84</v>
      </c>
      <c r="E322">
        <v>87</v>
      </c>
      <c r="F322" t="str">
        <f t="shared" ref="F322:F385" si="5">LOWER($B322)</f>
        <v>natural gas combined cycle</v>
      </c>
    </row>
    <row r="323" spans="1:6" x14ac:dyDescent="0.25">
      <c r="A323" t="s">
        <v>116</v>
      </c>
      <c r="B323" t="s">
        <v>84</v>
      </c>
      <c r="C323">
        <v>2020</v>
      </c>
      <c r="D323">
        <v>1233</v>
      </c>
      <c r="E323">
        <v>1377.2</v>
      </c>
      <c r="F323" t="str">
        <f t="shared" si="5"/>
        <v>natural gas combined cycle</v>
      </c>
    </row>
    <row r="324" spans="1:6" x14ac:dyDescent="0.25">
      <c r="A324" t="s">
        <v>116</v>
      </c>
      <c r="B324" t="s">
        <v>84</v>
      </c>
      <c r="C324">
        <v>2025</v>
      </c>
      <c r="D324">
        <v>27</v>
      </c>
      <c r="E324">
        <v>32.799999999999997</v>
      </c>
      <c r="F324" t="str">
        <f t="shared" si="5"/>
        <v>natural gas combined cycle</v>
      </c>
    </row>
    <row r="325" spans="1:6" x14ac:dyDescent="0.25">
      <c r="A325" t="s">
        <v>116</v>
      </c>
      <c r="B325" t="s">
        <v>93</v>
      </c>
      <c r="C325">
        <v>1990</v>
      </c>
      <c r="D325">
        <v>216.9</v>
      </c>
      <c r="E325">
        <v>228.8</v>
      </c>
      <c r="F325" t="str">
        <f t="shared" si="5"/>
        <v>natural gas peaker</v>
      </c>
    </row>
    <row r="326" spans="1:6" x14ac:dyDescent="0.25">
      <c r="A326" t="s">
        <v>116</v>
      </c>
      <c r="B326" t="s">
        <v>93</v>
      </c>
      <c r="C326">
        <v>1991</v>
      </c>
      <c r="D326">
        <v>235.5</v>
      </c>
      <c r="E326">
        <v>256.7</v>
      </c>
      <c r="F326" t="str">
        <f t="shared" si="5"/>
        <v>natural gas peaker</v>
      </c>
    </row>
    <row r="327" spans="1:6" x14ac:dyDescent="0.25">
      <c r="A327" t="s">
        <v>116</v>
      </c>
      <c r="B327" t="s">
        <v>93</v>
      </c>
      <c r="C327">
        <v>1992</v>
      </c>
      <c r="D327">
        <v>47</v>
      </c>
      <c r="E327">
        <v>47.2</v>
      </c>
      <c r="F327" t="str">
        <f t="shared" si="5"/>
        <v>natural gas peaker</v>
      </c>
    </row>
    <row r="328" spans="1:6" x14ac:dyDescent="0.25">
      <c r="A328" t="s">
        <v>116</v>
      </c>
      <c r="B328" t="s">
        <v>93</v>
      </c>
      <c r="C328">
        <v>1993</v>
      </c>
      <c r="D328">
        <v>45.6</v>
      </c>
      <c r="E328">
        <v>51</v>
      </c>
      <c r="F328" t="str">
        <f t="shared" si="5"/>
        <v>natural gas peaker</v>
      </c>
    </row>
    <row r="329" spans="1:6" x14ac:dyDescent="0.25">
      <c r="A329" t="s">
        <v>116</v>
      </c>
      <c r="B329" t="s">
        <v>93</v>
      </c>
      <c r="C329">
        <v>1994</v>
      </c>
      <c r="D329">
        <v>46.6</v>
      </c>
      <c r="E329">
        <v>46.6</v>
      </c>
      <c r="F329" t="str">
        <f t="shared" si="5"/>
        <v>natural gas peaker</v>
      </c>
    </row>
    <row r="330" spans="1:6" x14ac:dyDescent="0.25">
      <c r="A330" t="s">
        <v>116</v>
      </c>
      <c r="B330" t="s">
        <v>93</v>
      </c>
      <c r="C330">
        <v>1995</v>
      </c>
      <c r="D330">
        <v>96</v>
      </c>
      <c r="E330">
        <v>109.6</v>
      </c>
      <c r="F330" t="str">
        <f t="shared" si="5"/>
        <v>natural gas peaker</v>
      </c>
    </row>
    <row r="331" spans="1:6" x14ac:dyDescent="0.25">
      <c r="A331" t="s">
        <v>116</v>
      </c>
      <c r="B331" t="s">
        <v>93</v>
      </c>
      <c r="C331">
        <v>1996</v>
      </c>
      <c r="D331">
        <v>160.80000000000001</v>
      </c>
      <c r="E331">
        <v>173.3</v>
      </c>
      <c r="F331" t="str">
        <f t="shared" si="5"/>
        <v>natural gas peaker</v>
      </c>
    </row>
    <row r="332" spans="1:6" x14ac:dyDescent="0.25">
      <c r="A332" t="s">
        <v>116</v>
      </c>
      <c r="B332" t="s">
        <v>93</v>
      </c>
      <c r="C332">
        <v>2000</v>
      </c>
      <c r="D332">
        <v>5.5</v>
      </c>
      <c r="E332">
        <v>7.7</v>
      </c>
      <c r="F332" t="str">
        <f t="shared" si="5"/>
        <v>natural gas peaker</v>
      </c>
    </row>
    <row r="333" spans="1:6" x14ac:dyDescent="0.25">
      <c r="A333" t="s">
        <v>116</v>
      </c>
      <c r="B333" t="s">
        <v>93</v>
      </c>
      <c r="C333">
        <v>2001</v>
      </c>
      <c r="D333">
        <v>956</v>
      </c>
      <c r="E333">
        <v>1064.8</v>
      </c>
      <c r="F333" t="str">
        <f t="shared" si="5"/>
        <v>natural gas peaker</v>
      </c>
    </row>
    <row r="334" spans="1:6" x14ac:dyDescent="0.25">
      <c r="A334" t="s">
        <v>116</v>
      </c>
      <c r="B334" t="s">
        <v>93</v>
      </c>
      <c r="C334">
        <v>2002</v>
      </c>
      <c r="D334">
        <v>695.6</v>
      </c>
      <c r="E334">
        <v>818.6</v>
      </c>
      <c r="F334" t="str">
        <f t="shared" si="5"/>
        <v>natural gas peaker</v>
      </c>
    </row>
    <row r="335" spans="1:6" x14ac:dyDescent="0.25">
      <c r="A335" t="s">
        <v>116</v>
      </c>
      <c r="B335" t="s">
        <v>93</v>
      </c>
      <c r="C335">
        <v>2003</v>
      </c>
      <c r="D335">
        <v>383.1</v>
      </c>
      <c r="E335">
        <v>418.3</v>
      </c>
      <c r="F335" t="str">
        <f t="shared" si="5"/>
        <v>natural gas peaker</v>
      </c>
    </row>
    <row r="336" spans="1:6" x14ac:dyDescent="0.25">
      <c r="A336" t="s">
        <v>116</v>
      </c>
      <c r="B336" t="s">
        <v>93</v>
      </c>
      <c r="C336">
        <v>2004</v>
      </c>
      <c r="D336">
        <v>200.8</v>
      </c>
      <c r="E336">
        <v>236.8</v>
      </c>
      <c r="F336" t="str">
        <f t="shared" si="5"/>
        <v>natural gas peaker</v>
      </c>
    </row>
    <row r="337" spans="1:6" x14ac:dyDescent="0.25">
      <c r="A337" t="s">
        <v>116</v>
      </c>
      <c r="B337" t="s">
        <v>93</v>
      </c>
      <c r="C337">
        <v>2005</v>
      </c>
      <c r="D337">
        <v>156.4</v>
      </c>
      <c r="E337">
        <v>188</v>
      </c>
      <c r="F337" t="str">
        <f t="shared" si="5"/>
        <v>natural gas peaker</v>
      </c>
    </row>
    <row r="338" spans="1:6" x14ac:dyDescent="0.25">
      <c r="A338" t="s">
        <v>116</v>
      </c>
      <c r="B338" t="s">
        <v>93</v>
      </c>
      <c r="C338">
        <v>2006</v>
      </c>
      <c r="D338">
        <v>204.6</v>
      </c>
      <c r="E338">
        <v>226.5</v>
      </c>
      <c r="F338" t="str">
        <f t="shared" si="5"/>
        <v>natural gas peaker</v>
      </c>
    </row>
    <row r="339" spans="1:6" x14ac:dyDescent="0.25">
      <c r="A339" t="s">
        <v>116</v>
      </c>
      <c r="B339" t="s">
        <v>93</v>
      </c>
      <c r="C339">
        <v>2007</v>
      </c>
      <c r="D339">
        <v>198.7</v>
      </c>
      <c r="E339">
        <v>207.5</v>
      </c>
      <c r="F339" t="str">
        <f t="shared" si="5"/>
        <v>natural gas peaker</v>
      </c>
    </row>
    <row r="340" spans="1:6" x14ac:dyDescent="0.25">
      <c r="A340" t="s">
        <v>116</v>
      </c>
      <c r="B340" t="s">
        <v>93</v>
      </c>
      <c r="C340">
        <v>2008</v>
      </c>
      <c r="D340">
        <v>94.1</v>
      </c>
      <c r="E340">
        <v>128.69999999999999</v>
      </c>
      <c r="F340" t="str">
        <f t="shared" si="5"/>
        <v>natural gas peaker</v>
      </c>
    </row>
    <row r="341" spans="1:6" x14ac:dyDescent="0.25">
      <c r="A341" t="s">
        <v>116</v>
      </c>
      <c r="B341" t="s">
        <v>93</v>
      </c>
      <c r="C341">
        <v>2009</v>
      </c>
      <c r="D341">
        <v>546.20000000000005</v>
      </c>
      <c r="E341">
        <v>624.79999999999995</v>
      </c>
      <c r="F341" t="str">
        <f t="shared" si="5"/>
        <v>natural gas peaker</v>
      </c>
    </row>
    <row r="342" spans="1:6" x14ac:dyDescent="0.25">
      <c r="A342" t="s">
        <v>116</v>
      </c>
      <c r="B342" t="s">
        <v>93</v>
      </c>
      <c r="C342">
        <v>2010</v>
      </c>
      <c r="D342">
        <v>318</v>
      </c>
      <c r="E342">
        <v>341.9</v>
      </c>
      <c r="F342" t="str">
        <f t="shared" si="5"/>
        <v>natural gas peaker</v>
      </c>
    </row>
    <row r="343" spans="1:6" x14ac:dyDescent="0.25">
      <c r="A343" t="s">
        <v>116</v>
      </c>
      <c r="B343" t="s">
        <v>93</v>
      </c>
      <c r="C343">
        <v>2011</v>
      </c>
      <c r="D343">
        <v>362.3</v>
      </c>
      <c r="E343">
        <v>369.4</v>
      </c>
      <c r="F343" t="str">
        <f t="shared" si="5"/>
        <v>natural gas peaker</v>
      </c>
    </row>
    <row r="344" spans="1:6" x14ac:dyDescent="0.25">
      <c r="A344" t="s">
        <v>116</v>
      </c>
      <c r="B344" t="s">
        <v>93</v>
      </c>
      <c r="C344">
        <v>2012</v>
      </c>
      <c r="D344">
        <v>430.9</v>
      </c>
      <c r="E344">
        <v>458.6</v>
      </c>
      <c r="F344" t="str">
        <f t="shared" si="5"/>
        <v>natural gas peaker</v>
      </c>
    </row>
    <row r="345" spans="1:6" x14ac:dyDescent="0.25">
      <c r="A345" t="s">
        <v>116</v>
      </c>
      <c r="B345" t="s">
        <v>93</v>
      </c>
      <c r="C345">
        <v>2013</v>
      </c>
      <c r="D345">
        <v>2737.4</v>
      </c>
      <c r="E345">
        <v>2854.5</v>
      </c>
      <c r="F345" t="str">
        <f t="shared" si="5"/>
        <v>natural gas peaker</v>
      </c>
    </row>
    <row r="346" spans="1:6" x14ac:dyDescent="0.25">
      <c r="A346" t="s">
        <v>116</v>
      </c>
      <c r="B346" t="s">
        <v>93</v>
      </c>
      <c r="C346">
        <v>2014</v>
      </c>
      <c r="D346">
        <v>69.2</v>
      </c>
      <c r="E346">
        <v>69.7</v>
      </c>
      <c r="F346" t="str">
        <f t="shared" si="5"/>
        <v>natural gas peaker</v>
      </c>
    </row>
    <row r="347" spans="1:6" x14ac:dyDescent="0.25">
      <c r="A347" t="s">
        <v>116</v>
      </c>
      <c r="B347" t="s">
        <v>93</v>
      </c>
      <c r="C347">
        <v>2015</v>
      </c>
      <c r="D347">
        <v>224</v>
      </c>
      <c r="E347">
        <v>235.4</v>
      </c>
      <c r="F347" t="str">
        <f t="shared" si="5"/>
        <v>natural gas peaker</v>
      </c>
    </row>
    <row r="348" spans="1:6" x14ac:dyDescent="0.25">
      <c r="A348" t="s">
        <v>116</v>
      </c>
      <c r="B348" t="s">
        <v>93</v>
      </c>
      <c r="C348">
        <v>2016</v>
      </c>
      <c r="D348">
        <v>334.9</v>
      </c>
      <c r="E348">
        <v>412.9</v>
      </c>
      <c r="F348" t="str">
        <f t="shared" si="5"/>
        <v>natural gas peaker</v>
      </c>
    </row>
    <row r="349" spans="1:6" x14ac:dyDescent="0.25">
      <c r="A349" t="s">
        <v>116</v>
      </c>
      <c r="B349" t="s">
        <v>93</v>
      </c>
      <c r="C349">
        <v>2017</v>
      </c>
      <c r="D349">
        <v>79.599999999999994</v>
      </c>
      <c r="E349">
        <v>82.3</v>
      </c>
      <c r="F349" t="str">
        <f t="shared" si="5"/>
        <v>natural gas peaker</v>
      </c>
    </row>
    <row r="350" spans="1:6" x14ac:dyDescent="0.25">
      <c r="A350" t="s">
        <v>116</v>
      </c>
      <c r="B350" t="s">
        <v>93</v>
      </c>
      <c r="C350">
        <v>2018</v>
      </c>
      <c r="D350">
        <v>566.70000000000005</v>
      </c>
      <c r="E350">
        <v>698.2</v>
      </c>
      <c r="F350" t="str">
        <f t="shared" si="5"/>
        <v>natural gas peaker</v>
      </c>
    </row>
    <row r="351" spans="1:6" x14ac:dyDescent="0.25">
      <c r="A351" t="s">
        <v>116</v>
      </c>
      <c r="B351" t="s">
        <v>93</v>
      </c>
      <c r="C351">
        <v>2019</v>
      </c>
      <c r="D351">
        <v>60.3</v>
      </c>
      <c r="E351">
        <v>63.9</v>
      </c>
      <c r="F351" t="str">
        <f t="shared" si="5"/>
        <v>natural gas peaker</v>
      </c>
    </row>
    <row r="352" spans="1:6" x14ac:dyDescent="0.25">
      <c r="A352" t="s">
        <v>116</v>
      </c>
      <c r="B352" t="s">
        <v>93</v>
      </c>
      <c r="C352">
        <v>2020</v>
      </c>
      <c r="D352">
        <v>160.6</v>
      </c>
      <c r="E352">
        <v>161.80000000000001</v>
      </c>
      <c r="F352" t="str">
        <f t="shared" si="5"/>
        <v>natural gas peaker</v>
      </c>
    </row>
    <row r="353" spans="1:6" x14ac:dyDescent="0.25">
      <c r="A353" t="s">
        <v>116</v>
      </c>
      <c r="B353" t="s">
        <v>93</v>
      </c>
      <c r="C353">
        <v>2021</v>
      </c>
      <c r="D353">
        <v>8.8000000000000007</v>
      </c>
      <c r="E353">
        <v>9.1999999999999993</v>
      </c>
      <c r="F353" t="str">
        <f t="shared" si="5"/>
        <v>natural gas peaker</v>
      </c>
    </row>
    <row r="354" spans="1:6" x14ac:dyDescent="0.25">
      <c r="A354" t="s">
        <v>116</v>
      </c>
      <c r="B354" t="s">
        <v>93</v>
      </c>
      <c r="C354">
        <v>2022</v>
      </c>
      <c r="D354">
        <v>125.3</v>
      </c>
      <c r="E354">
        <v>133.9</v>
      </c>
      <c r="F354" t="str">
        <f t="shared" si="5"/>
        <v>natural gas peaker</v>
      </c>
    </row>
    <row r="355" spans="1:6" x14ac:dyDescent="0.25">
      <c r="A355" t="s">
        <v>116</v>
      </c>
      <c r="B355" t="s">
        <v>93</v>
      </c>
      <c r="C355">
        <v>2023</v>
      </c>
      <c r="D355">
        <v>2.9</v>
      </c>
      <c r="E355">
        <v>2.9</v>
      </c>
      <c r="F355" t="str">
        <f t="shared" si="5"/>
        <v>natural gas peaker</v>
      </c>
    </row>
    <row r="356" spans="1:6" x14ac:dyDescent="0.25">
      <c r="A356" t="s">
        <v>116</v>
      </c>
      <c r="B356" t="s">
        <v>93</v>
      </c>
      <c r="C356">
        <v>2024</v>
      </c>
      <c r="D356">
        <v>142.80000000000001</v>
      </c>
      <c r="E356">
        <v>142.80000000000001</v>
      </c>
      <c r="F356" t="str">
        <f t="shared" si="5"/>
        <v>natural gas peaker</v>
      </c>
    </row>
    <row r="357" spans="1:6" x14ac:dyDescent="0.25">
      <c r="A357" t="s">
        <v>116</v>
      </c>
      <c r="B357" t="s">
        <v>93</v>
      </c>
      <c r="C357">
        <v>2025</v>
      </c>
      <c r="D357">
        <v>1.6</v>
      </c>
      <c r="E357">
        <v>1.6</v>
      </c>
      <c r="F357" t="str">
        <f t="shared" si="5"/>
        <v>natural gas peaker</v>
      </c>
    </row>
    <row r="358" spans="1:6" x14ac:dyDescent="0.25">
      <c r="A358" t="s">
        <v>116</v>
      </c>
      <c r="B358" t="s">
        <v>83</v>
      </c>
      <c r="C358">
        <v>1990</v>
      </c>
      <c r="D358">
        <v>88</v>
      </c>
      <c r="E358">
        <v>92</v>
      </c>
      <c r="F358" t="str">
        <f t="shared" si="5"/>
        <v>natural gas steam turbine</v>
      </c>
    </row>
    <row r="359" spans="1:6" x14ac:dyDescent="0.25">
      <c r="A359" t="s">
        <v>116</v>
      </c>
      <c r="B359" t="s">
        <v>83</v>
      </c>
      <c r="C359">
        <v>2010</v>
      </c>
      <c r="D359">
        <v>2.9</v>
      </c>
      <c r="E359">
        <v>2.9</v>
      </c>
      <c r="F359" t="str">
        <f t="shared" si="5"/>
        <v>natural gas steam turbine</v>
      </c>
    </row>
    <row r="360" spans="1:6" x14ac:dyDescent="0.25">
      <c r="A360" t="s">
        <v>116</v>
      </c>
      <c r="B360" t="s">
        <v>87</v>
      </c>
      <c r="C360">
        <v>1990</v>
      </c>
      <c r="D360">
        <v>104.5</v>
      </c>
      <c r="E360">
        <v>112.5</v>
      </c>
      <c r="F360" t="str">
        <f t="shared" si="5"/>
        <v>onshore wind</v>
      </c>
    </row>
    <row r="361" spans="1:6" x14ac:dyDescent="0.25">
      <c r="A361" t="s">
        <v>116</v>
      </c>
      <c r="B361" t="s">
        <v>87</v>
      </c>
      <c r="C361">
        <v>1991</v>
      </c>
      <c r="D361">
        <v>76.900000000000006</v>
      </c>
      <c r="E361">
        <v>76.900000000000006</v>
      </c>
      <c r="F361" t="str">
        <f t="shared" si="5"/>
        <v>onshore wind</v>
      </c>
    </row>
    <row r="362" spans="1:6" x14ac:dyDescent="0.25">
      <c r="A362" t="s">
        <v>116</v>
      </c>
      <c r="B362" t="s">
        <v>87</v>
      </c>
      <c r="C362">
        <v>1992</v>
      </c>
      <c r="D362">
        <v>6.5</v>
      </c>
      <c r="E362">
        <v>6.5</v>
      </c>
      <c r="F362" t="str">
        <f t="shared" si="5"/>
        <v>onshore wind</v>
      </c>
    </row>
    <row r="363" spans="1:6" x14ac:dyDescent="0.25">
      <c r="A363" t="s">
        <v>116</v>
      </c>
      <c r="B363" t="s">
        <v>87</v>
      </c>
      <c r="C363">
        <v>1993</v>
      </c>
      <c r="D363">
        <v>4.2</v>
      </c>
      <c r="E363">
        <v>4.2</v>
      </c>
      <c r="F363" t="str">
        <f t="shared" si="5"/>
        <v>onshore wind</v>
      </c>
    </row>
    <row r="364" spans="1:6" x14ac:dyDescent="0.25">
      <c r="A364" t="s">
        <v>116</v>
      </c>
      <c r="B364" t="s">
        <v>87</v>
      </c>
      <c r="C364">
        <v>1994</v>
      </c>
      <c r="D364">
        <v>102.5</v>
      </c>
      <c r="E364">
        <v>102.5</v>
      </c>
      <c r="F364" t="str">
        <f t="shared" si="5"/>
        <v>onshore wind</v>
      </c>
    </row>
    <row r="365" spans="1:6" x14ac:dyDescent="0.25">
      <c r="A365" t="s">
        <v>116</v>
      </c>
      <c r="B365" t="s">
        <v>87</v>
      </c>
      <c r="C365">
        <v>1997</v>
      </c>
      <c r="D365">
        <v>0.26</v>
      </c>
      <c r="E365">
        <v>0.3</v>
      </c>
      <c r="F365" t="str">
        <f t="shared" si="5"/>
        <v>onshore wind</v>
      </c>
    </row>
    <row r="366" spans="1:6" x14ac:dyDescent="0.25">
      <c r="A366" t="s">
        <v>116</v>
      </c>
      <c r="B366" t="s">
        <v>87</v>
      </c>
      <c r="C366">
        <v>1999</v>
      </c>
      <c r="D366">
        <v>111.2</v>
      </c>
      <c r="E366">
        <v>111.2</v>
      </c>
      <c r="F366" t="str">
        <f t="shared" si="5"/>
        <v>onshore wind</v>
      </c>
    </row>
    <row r="367" spans="1:6" x14ac:dyDescent="0.25">
      <c r="A367" t="s">
        <v>116</v>
      </c>
      <c r="B367" t="s">
        <v>87</v>
      </c>
      <c r="C367">
        <v>2000</v>
      </c>
      <c r="D367">
        <v>1.5</v>
      </c>
      <c r="E367">
        <v>1.5</v>
      </c>
      <c r="F367" t="str">
        <f t="shared" si="5"/>
        <v>onshore wind</v>
      </c>
    </row>
    <row r="368" spans="1:6" x14ac:dyDescent="0.25">
      <c r="A368" t="s">
        <v>116</v>
      </c>
      <c r="B368" t="s">
        <v>87</v>
      </c>
      <c r="C368">
        <v>2001</v>
      </c>
      <c r="D368">
        <v>64.8</v>
      </c>
      <c r="E368">
        <v>64.8</v>
      </c>
      <c r="F368" t="str">
        <f t="shared" si="5"/>
        <v>onshore wind</v>
      </c>
    </row>
    <row r="369" spans="1:6" x14ac:dyDescent="0.25">
      <c r="A369" t="s">
        <v>116</v>
      </c>
      <c r="B369" t="s">
        <v>87</v>
      </c>
      <c r="C369">
        <v>2002</v>
      </c>
      <c r="D369">
        <v>111.08</v>
      </c>
      <c r="E369">
        <v>111.1</v>
      </c>
      <c r="F369" t="str">
        <f t="shared" si="5"/>
        <v>onshore wind</v>
      </c>
    </row>
    <row r="370" spans="1:6" x14ac:dyDescent="0.25">
      <c r="A370" t="s">
        <v>116</v>
      </c>
      <c r="B370" t="s">
        <v>87</v>
      </c>
      <c r="C370">
        <v>2003</v>
      </c>
      <c r="D370">
        <v>184.4</v>
      </c>
      <c r="E370">
        <v>184.4</v>
      </c>
      <c r="F370" t="str">
        <f t="shared" si="5"/>
        <v>onshore wind</v>
      </c>
    </row>
    <row r="371" spans="1:6" x14ac:dyDescent="0.25">
      <c r="A371" t="s">
        <v>116</v>
      </c>
      <c r="B371" t="s">
        <v>87</v>
      </c>
      <c r="C371">
        <v>2004</v>
      </c>
      <c r="D371">
        <v>82.8</v>
      </c>
      <c r="E371">
        <v>82.8</v>
      </c>
      <c r="F371" t="str">
        <f t="shared" si="5"/>
        <v>onshore wind</v>
      </c>
    </row>
    <row r="372" spans="1:6" x14ac:dyDescent="0.25">
      <c r="A372" t="s">
        <v>116</v>
      </c>
      <c r="B372" t="s">
        <v>87</v>
      </c>
      <c r="C372">
        <v>2005</v>
      </c>
      <c r="D372">
        <v>60.5</v>
      </c>
      <c r="E372">
        <v>60.5</v>
      </c>
      <c r="F372" t="str">
        <f t="shared" si="5"/>
        <v>onshore wind</v>
      </c>
    </row>
    <row r="373" spans="1:6" x14ac:dyDescent="0.25">
      <c r="A373" t="s">
        <v>116</v>
      </c>
      <c r="B373" t="s">
        <v>87</v>
      </c>
      <c r="C373">
        <v>2006</v>
      </c>
      <c r="D373">
        <v>212</v>
      </c>
      <c r="E373">
        <v>212</v>
      </c>
      <c r="F373" t="str">
        <f t="shared" si="5"/>
        <v>onshore wind</v>
      </c>
    </row>
    <row r="374" spans="1:6" x14ac:dyDescent="0.25">
      <c r="A374" t="s">
        <v>116</v>
      </c>
      <c r="B374" t="s">
        <v>87</v>
      </c>
      <c r="C374">
        <v>2007</v>
      </c>
      <c r="D374">
        <v>63</v>
      </c>
      <c r="E374">
        <v>63</v>
      </c>
      <c r="F374" t="str">
        <f t="shared" si="5"/>
        <v>onshore wind</v>
      </c>
    </row>
    <row r="375" spans="1:6" x14ac:dyDescent="0.25">
      <c r="A375" t="s">
        <v>116</v>
      </c>
      <c r="B375" t="s">
        <v>87</v>
      </c>
      <c r="C375">
        <v>2008</v>
      </c>
      <c r="D375">
        <v>65</v>
      </c>
      <c r="E375">
        <v>65</v>
      </c>
      <c r="F375" t="str">
        <f t="shared" si="5"/>
        <v>onshore wind</v>
      </c>
    </row>
    <row r="376" spans="1:6" x14ac:dyDescent="0.25">
      <c r="A376" t="s">
        <v>116</v>
      </c>
      <c r="B376" t="s">
        <v>87</v>
      </c>
      <c r="C376">
        <v>2009</v>
      </c>
      <c r="D376">
        <v>291.5</v>
      </c>
      <c r="E376">
        <v>291.5</v>
      </c>
      <c r="F376" t="str">
        <f t="shared" si="5"/>
        <v>onshore wind</v>
      </c>
    </row>
    <row r="377" spans="1:6" x14ac:dyDescent="0.25">
      <c r="A377" t="s">
        <v>116</v>
      </c>
      <c r="B377" t="s">
        <v>87</v>
      </c>
      <c r="C377">
        <v>2010</v>
      </c>
      <c r="D377">
        <v>139</v>
      </c>
      <c r="E377">
        <v>139</v>
      </c>
      <c r="F377" t="str">
        <f t="shared" si="5"/>
        <v>onshore wind</v>
      </c>
    </row>
    <row r="378" spans="1:6" x14ac:dyDescent="0.25">
      <c r="A378" t="s">
        <v>116</v>
      </c>
      <c r="B378" t="s">
        <v>87</v>
      </c>
      <c r="C378">
        <v>2011</v>
      </c>
      <c r="D378">
        <v>956.3</v>
      </c>
      <c r="E378">
        <v>956.3</v>
      </c>
      <c r="F378" t="str">
        <f t="shared" si="5"/>
        <v>onshore wind</v>
      </c>
    </row>
    <row r="379" spans="1:6" x14ac:dyDescent="0.25">
      <c r="A379" t="s">
        <v>116</v>
      </c>
      <c r="B379" t="s">
        <v>87</v>
      </c>
      <c r="C379">
        <v>2012</v>
      </c>
      <c r="D379">
        <v>1954.5</v>
      </c>
      <c r="E379">
        <v>1968.2</v>
      </c>
      <c r="F379" t="str">
        <f t="shared" si="5"/>
        <v>onshore wind</v>
      </c>
    </row>
    <row r="380" spans="1:6" x14ac:dyDescent="0.25">
      <c r="A380" t="s">
        <v>116</v>
      </c>
      <c r="B380" t="s">
        <v>87</v>
      </c>
      <c r="C380">
        <v>2014</v>
      </c>
      <c r="D380">
        <v>234.4</v>
      </c>
      <c r="E380">
        <v>234.4</v>
      </c>
      <c r="F380" t="str">
        <f t="shared" si="5"/>
        <v>onshore wind</v>
      </c>
    </row>
    <row r="381" spans="1:6" x14ac:dyDescent="0.25">
      <c r="A381" t="s">
        <v>116</v>
      </c>
      <c r="B381" t="s">
        <v>87</v>
      </c>
      <c r="C381">
        <v>2015</v>
      </c>
      <c r="D381">
        <v>286.39999999999998</v>
      </c>
      <c r="E381">
        <v>286.39999999999998</v>
      </c>
      <c r="F381" t="str">
        <f t="shared" si="5"/>
        <v>onshore wind</v>
      </c>
    </row>
    <row r="382" spans="1:6" x14ac:dyDescent="0.25">
      <c r="A382" t="s">
        <v>116</v>
      </c>
      <c r="B382" t="s">
        <v>87</v>
      </c>
      <c r="C382">
        <v>2017</v>
      </c>
      <c r="D382">
        <v>192.8</v>
      </c>
      <c r="E382">
        <v>192.8</v>
      </c>
      <c r="F382" t="str">
        <f t="shared" si="5"/>
        <v>onshore wind</v>
      </c>
    </row>
    <row r="383" spans="1:6" x14ac:dyDescent="0.25">
      <c r="A383" t="s">
        <v>116</v>
      </c>
      <c r="B383" t="s">
        <v>87</v>
      </c>
      <c r="C383">
        <v>2018</v>
      </c>
      <c r="D383">
        <v>201.8</v>
      </c>
      <c r="E383">
        <v>201.8</v>
      </c>
      <c r="F383" t="str">
        <f t="shared" si="5"/>
        <v>onshore wind</v>
      </c>
    </row>
    <row r="384" spans="1:6" x14ac:dyDescent="0.25">
      <c r="A384" t="s">
        <v>116</v>
      </c>
      <c r="B384" t="s">
        <v>87</v>
      </c>
      <c r="C384">
        <v>2019</v>
      </c>
      <c r="D384">
        <v>132.9</v>
      </c>
      <c r="E384">
        <v>132.9</v>
      </c>
      <c r="F384" t="str">
        <f t="shared" si="5"/>
        <v>onshore wind</v>
      </c>
    </row>
    <row r="385" spans="1:6" x14ac:dyDescent="0.25">
      <c r="A385" t="s">
        <v>116</v>
      </c>
      <c r="B385" t="s">
        <v>87</v>
      </c>
      <c r="C385">
        <v>2021</v>
      </c>
      <c r="D385">
        <v>349.8</v>
      </c>
      <c r="E385">
        <v>351.1</v>
      </c>
      <c r="F385" t="str">
        <f t="shared" si="5"/>
        <v>onshore wind</v>
      </c>
    </row>
    <row r="386" spans="1:6" x14ac:dyDescent="0.25">
      <c r="A386" t="s">
        <v>116</v>
      </c>
      <c r="B386" t="s">
        <v>87</v>
      </c>
      <c r="C386">
        <v>2022</v>
      </c>
      <c r="D386">
        <v>76.5</v>
      </c>
      <c r="E386">
        <v>76.5</v>
      </c>
      <c r="F386" t="str">
        <f t="shared" ref="F386:F449" si="6">LOWER($B386)</f>
        <v>onshore wind</v>
      </c>
    </row>
    <row r="387" spans="1:6" x14ac:dyDescent="0.25">
      <c r="A387" t="s">
        <v>116</v>
      </c>
      <c r="B387" t="s">
        <v>87</v>
      </c>
      <c r="C387">
        <v>2023</v>
      </c>
      <c r="D387">
        <v>95.3</v>
      </c>
      <c r="E387">
        <v>95.3</v>
      </c>
      <c r="F387" t="str">
        <f t="shared" si="6"/>
        <v>onshore wind</v>
      </c>
    </row>
    <row r="388" spans="1:6" x14ac:dyDescent="0.25">
      <c r="A388" t="s">
        <v>116</v>
      </c>
      <c r="B388" t="s">
        <v>87</v>
      </c>
      <c r="C388">
        <v>2024</v>
      </c>
      <c r="D388">
        <v>139</v>
      </c>
      <c r="E388">
        <v>139</v>
      </c>
      <c r="F388" t="str">
        <f t="shared" si="6"/>
        <v>onshore wind</v>
      </c>
    </row>
    <row r="389" spans="1:6" x14ac:dyDescent="0.25">
      <c r="A389" t="s">
        <v>116</v>
      </c>
      <c r="B389" t="s">
        <v>87</v>
      </c>
      <c r="C389">
        <v>2025</v>
      </c>
      <c r="D389">
        <v>38.22</v>
      </c>
      <c r="E389">
        <v>38.200000000000003</v>
      </c>
      <c r="F389" t="str">
        <f t="shared" si="6"/>
        <v>onshore wind</v>
      </c>
    </row>
    <row r="390" spans="1:6" x14ac:dyDescent="0.25">
      <c r="A390" t="s">
        <v>116</v>
      </c>
      <c r="B390" t="s">
        <v>92</v>
      </c>
      <c r="C390">
        <v>1992</v>
      </c>
      <c r="D390">
        <v>0.7</v>
      </c>
      <c r="E390">
        <v>0.9</v>
      </c>
      <c r="F390" t="str">
        <f t="shared" si="6"/>
        <v>petroleum</v>
      </c>
    </row>
    <row r="391" spans="1:6" x14ac:dyDescent="0.25">
      <c r="A391" t="s">
        <v>116</v>
      </c>
      <c r="B391" t="s">
        <v>92</v>
      </c>
      <c r="C391">
        <v>1995</v>
      </c>
      <c r="D391">
        <v>2.8</v>
      </c>
      <c r="E391">
        <v>2.8</v>
      </c>
      <c r="F391" t="str">
        <f t="shared" si="6"/>
        <v>petroleum</v>
      </c>
    </row>
    <row r="392" spans="1:6" x14ac:dyDescent="0.25">
      <c r="A392" t="s">
        <v>116</v>
      </c>
      <c r="B392" t="s">
        <v>92</v>
      </c>
      <c r="C392">
        <v>1999</v>
      </c>
      <c r="D392">
        <v>0.5</v>
      </c>
      <c r="E392">
        <v>0.5</v>
      </c>
      <c r="F392" t="str">
        <f t="shared" si="6"/>
        <v>petroleum</v>
      </c>
    </row>
    <row r="393" spans="1:6" x14ac:dyDescent="0.25">
      <c r="A393" t="s">
        <v>116</v>
      </c>
      <c r="B393" t="s">
        <v>92</v>
      </c>
      <c r="C393">
        <v>2000</v>
      </c>
      <c r="D393">
        <v>10</v>
      </c>
      <c r="E393">
        <v>11.1</v>
      </c>
      <c r="F393" t="str">
        <f t="shared" si="6"/>
        <v>petroleum</v>
      </c>
    </row>
    <row r="394" spans="1:6" x14ac:dyDescent="0.25">
      <c r="A394" t="s">
        <v>116</v>
      </c>
      <c r="B394" t="s">
        <v>92</v>
      </c>
      <c r="C394">
        <v>2007</v>
      </c>
      <c r="D394">
        <v>8</v>
      </c>
      <c r="E394">
        <v>8</v>
      </c>
      <c r="F394" t="str">
        <f t="shared" si="6"/>
        <v>petroleum</v>
      </c>
    </row>
    <row r="395" spans="1:6" x14ac:dyDescent="0.25">
      <c r="A395" t="s">
        <v>116</v>
      </c>
      <c r="B395" t="s">
        <v>92</v>
      </c>
      <c r="C395">
        <v>2008</v>
      </c>
      <c r="D395">
        <v>12</v>
      </c>
      <c r="E395">
        <v>15</v>
      </c>
      <c r="F395" t="str">
        <f t="shared" si="6"/>
        <v>petroleum</v>
      </c>
    </row>
    <row r="396" spans="1:6" x14ac:dyDescent="0.25">
      <c r="A396" t="s">
        <v>116</v>
      </c>
      <c r="B396" t="s">
        <v>92</v>
      </c>
      <c r="C396">
        <v>2010</v>
      </c>
      <c r="D396">
        <v>15.5</v>
      </c>
      <c r="E396">
        <v>15.5</v>
      </c>
      <c r="F396" t="str">
        <f t="shared" si="6"/>
        <v>petroleum</v>
      </c>
    </row>
    <row r="397" spans="1:6" x14ac:dyDescent="0.25">
      <c r="A397" t="s">
        <v>116</v>
      </c>
      <c r="B397" t="s">
        <v>92</v>
      </c>
      <c r="C397">
        <v>2011</v>
      </c>
      <c r="D397">
        <v>49.5</v>
      </c>
      <c r="E397">
        <v>49.5</v>
      </c>
      <c r="F397" t="str">
        <f t="shared" si="6"/>
        <v>petroleum</v>
      </c>
    </row>
    <row r="398" spans="1:6" x14ac:dyDescent="0.25">
      <c r="A398" t="s">
        <v>116</v>
      </c>
      <c r="B398" t="s">
        <v>92</v>
      </c>
      <c r="C398">
        <v>2014</v>
      </c>
      <c r="D398">
        <v>25.3</v>
      </c>
      <c r="E398">
        <v>25.3</v>
      </c>
      <c r="F398" t="str">
        <f t="shared" si="6"/>
        <v>petroleum</v>
      </c>
    </row>
    <row r="399" spans="1:6" x14ac:dyDescent="0.25">
      <c r="A399" t="s">
        <v>116</v>
      </c>
      <c r="B399" t="s">
        <v>92</v>
      </c>
      <c r="C399">
        <v>2015</v>
      </c>
      <c r="D399">
        <v>50.5</v>
      </c>
      <c r="E399">
        <v>50.5</v>
      </c>
      <c r="F399" t="str">
        <f t="shared" si="6"/>
        <v>petroleum</v>
      </c>
    </row>
    <row r="400" spans="1:6" x14ac:dyDescent="0.25">
      <c r="A400" t="s">
        <v>116</v>
      </c>
      <c r="B400" t="s">
        <v>92</v>
      </c>
      <c r="C400">
        <v>2017</v>
      </c>
      <c r="D400">
        <v>27.6</v>
      </c>
      <c r="E400">
        <v>27.6</v>
      </c>
      <c r="F400" t="str">
        <f t="shared" si="6"/>
        <v>petroleum</v>
      </c>
    </row>
    <row r="401" spans="1:6" x14ac:dyDescent="0.25">
      <c r="A401" t="s">
        <v>116</v>
      </c>
      <c r="B401" t="s">
        <v>92</v>
      </c>
      <c r="C401">
        <v>2018</v>
      </c>
      <c r="D401">
        <v>1</v>
      </c>
      <c r="E401">
        <v>1</v>
      </c>
      <c r="F401" t="str">
        <f t="shared" si="6"/>
        <v>petroleum</v>
      </c>
    </row>
    <row r="402" spans="1:6" x14ac:dyDescent="0.25">
      <c r="A402" t="s">
        <v>116</v>
      </c>
      <c r="B402" t="s">
        <v>92</v>
      </c>
      <c r="C402">
        <v>2019</v>
      </c>
      <c r="D402">
        <v>12</v>
      </c>
      <c r="E402">
        <v>12</v>
      </c>
      <c r="F402" t="str">
        <f t="shared" si="6"/>
        <v>petroleum</v>
      </c>
    </row>
    <row r="403" spans="1:6" x14ac:dyDescent="0.25">
      <c r="A403" t="s">
        <v>116</v>
      </c>
      <c r="B403" t="s">
        <v>92</v>
      </c>
      <c r="C403">
        <v>2020</v>
      </c>
      <c r="D403">
        <v>14.2</v>
      </c>
      <c r="E403">
        <v>14.2</v>
      </c>
      <c r="F403" t="str">
        <f t="shared" si="6"/>
        <v>petroleum</v>
      </c>
    </row>
    <row r="404" spans="1:6" x14ac:dyDescent="0.25">
      <c r="A404" t="s">
        <v>116</v>
      </c>
      <c r="B404" t="s">
        <v>92</v>
      </c>
      <c r="C404">
        <v>2023</v>
      </c>
      <c r="D404">
        <v>3</v>
      </c>
      <c r="E404">
        <v>3</v>
      </c>
      <c r="F404" t="str">
        <f t="shared" si="6"/>
        <v>petroleum</v>
      </c>
    </row>
    <row r="405" spans="1:6" x14ac:dyDescent="0.25">
      <c r="A405" t="s">
        <v>116</v>
      </c>
      <c r="B405" t="s">
        <v>92</v>
      </c>
      <c r="C405">
        <v>2024</v>
      </c>
      <c r="D405">
        <v>17.5</v>
      </c>
      <c r="E405">
        <v>17.5</v>
      </c>
      <c r="F405" t="str">
        <f t="shared" si="6"/>
        <v>petroleum</v>
      </c>
    </row>
    <row r="406" spans="1:6" x14ac:dyDescent="0.25">
      <c r="A406" t="s">
        <v>116</v>
      </c>
      <c r="B406" t="s">
        <v>92</v>
      </c>
      <c r="C406">
        <v>2025</v>
      </c>
      <c r="D406">
        <v>17</v>
      </c>
      <c r="E406">
        <v>17</v>
      </c>
      <c r="F406" t="str">
        <f t="shared" si="6"/>
        <v>petroleum</v>
      </c>
    </row>
    <row r="407" spans="1:6" x14ac:dyDescent="0.25">
      <c r="A407" t="s">
        <v>116</v>
      </c>
      <c r="B407" t="s">
        <v>249</v>
      </c>
      <c r="C407">
        <v>2001</v>
      </c>
      <c r="D407">
        <v>0.7</v>
      </c>
      <c r="E407">
        <v>0.8</v>
      </c>
      <c r="F407" t="str">
        <f t="shared" si="6"/>
        <v>solar pv</v>
      </c>
    </row>
    <row r="408" spans="1:6" x14ac:dyDescent="0.25">
      <c r="A408" t="s">
        <v>116</v>
      </c>
      <c r="B408" t="s">
        <v>249</v>
      </c>
      <c r="C408">
        <v>2003</v>
      </c>
      <c r="D408">
        <v>0.1</v>
      </c>
      <c r="E408">
        <v>0.2</v>
      </c>
      <c r="F408" t="str">
        <f t="shared" si="6"/>
        <v>solar pv</v>
      </c>
    </row>
    <row r="409" spans="1:6" x14ac:dyDescent="0.25">
      <c r="A409" t="s">
        <v>116</v>
      </c>
      <c r="B409" t="s">
        <v>249</v>
      </c>
      <c r="C409">
        <v>2005</v>
      </c>
      <c r="D409">
        <v>1.4</v>
      </c>
      <c r="E409">
        <v>1.5</v>
      </c>
      <c r="F409" t="str">
        <f t="shared" si="6"/>
        <v>solar pv</v>
      </c>
    </row>
    <row r="410" spans="1:6" x14ac:dyDescent="0.25">
      <c r="A410" t="s">
        <v>116</v>
      </c>
      <c r="B410" t="s">
        <v>249</v>
      </c>
      <c r="C410">
        <v>2006</v>
      </c>
      <c r="D410">
        <v>0.9</v>
      </c>
      <c r="E410">
        <v>1</v>
      </c>
      <c r="F410" t="str">
        <f t="shared" si="6"/>
        <v>solar pv</v>
      </c>
    </row>
    <row r="411" spans="1:6" x14ac:dyDescent="0.25">
      <c r="A411" t="s">
        <v>116</v>
      </c>
      <c r="B411" t="s">
        <v>249</v>
      </c>
      <c r="C411">
        <v>2007</v>
      </c>
      <c r="D411">
        <v>6.2</v>
      </c>
      <c r="E411">
        <v>6.8</v>
      </c>
      <c r="F411" t="str">
        <f t="shared" si="6"/>
        <v>solar pv</v>
      </c>
    </row>
    <row r="412" spans="1:6" x14ac:dyDescent="0.25">
      <c r="A412" t="s">
        <v>116</v>
      </c>
      <c r="B412" t="s">
        <v>249</v>
      </c>
      <c r="C412">
        <v>2008</v>
      </c>
      <c r="D412">
        <v>11</v>
      </c>
      <c r="E412">
        <v>12.5</v>
      </c>
      <c r="F412" t="str">
        <f t="shared" si="6"/>
        <v>solar pv</v>
      </c>
    </row>
    <row r="413" spans="1:6" x14ac:dyDescent="0.25">
      <c r="A413" t="s">
        <v>116</v>
      </c>
      <c r="B413" t="s">
        <v>249</v>
      </c>
      <c r="C413">
        <v>2009</v>
      </c>
      <c r="D413">
        <v>38.06</v>
      </c>
      <c r="E413">
        <v>38.700000000000003</v>
      </c>
      <c r="F413" t="str">
        <f t="shared" si="6"/>
        <v>solar pv</v>
      </c>
    </row>
    <row r="414" spans="1:6" x14ac:dyDescent="0.25">
      <c r="A414" t="s">
        <v>116</v>
      </c>
      <c r="B414" t="s">
        <v>249</v>
      </c>
      <c r="C414">
        <v>2010</v>
      </c>
      <c r="D414">
        <v>28.3</v>
      </c>
      <c r="E414">
        <v>27.8</v>
      </c>
      <c r="F414" t="str">
        <f t="shared" si="6"/>
        <v>solar pv</v>
      </c>
    </row>
    <row r="415" spans="1:6" x14ac:dyDescent="0.25">
      <c r="A415" t="s">
        <v>116</v>
      </c>
      <c r="B415" t="s">
        <v>249</v>
      </c>
      <c r="C415">
        <v>2011</v>
      </c>
      <c r="D415">
        <v>152.6</v>
      </c>
      <c r="E415">
        <v>151.30000000000001</v>
      </c>
      <c r="F415" t="str">
        <f t="shared" si="6"/>
        <v>solar pv</v>
      </c>
    </row>
    <row r="416" spans="1:6" x14ac:dyDescent="0.25">
      <c r="A416" t="s">
        <v>116</v>
      </c>
      <c r="B416" t="s">
        <v>249</v>
      </c>
      <c r="C416">
        <v>2012</v>
      </c>
      <c r="D416">
        <v>445.1</v>
      </c>
      <c r="E416">
        <v>446</v>
      </c>
      <c r="F416" t="str">
        <f t="shared" si="6"/>
        <v>solar pv</v>
      </c>
    </row>
    <row r="417" spans="1:6" x14ac:dyDescent="0.25">
      <c r="A417" t="s">
        <v>116</v>
      </c>
      <c r="B417" t="s">
        <v>249</v>
      </c>
      <c r="C417">
        <v>2013</v>
      </c>
      <c r="D417">
        <v>1769.29</v>
      </c>
      <c r="E417">
        <v>1799.6</v>
      </c>
      <c r="F417" t="str">
        <f t="shared" si="6"/>
        <v>solar pv</v>
      </c>
    </row>
    <row r="418" spans="1:6" x14ac:dyDescent="0.25">
      <c r="A418" t="s">
        <v>116</v>
      </c>
      <c r="B418" t="s">
        <v>249</v>
      </c>
      <c r="C418">
        <v>2014</v>
      </c>
      <c r="D418">
        <v>2005.92</v>
      </c>
      <c r="E418">
        <v>2055.3000000000002</v>
      </c>
      <c r="F418" t="str">
        <f t="shared" si="6"/>
        <v>solar pv</v>
      </c>
    </row>
    <row r="419" spans="1:6" x14ac:dyDescent="0.25">
      <c r="A419" t="s">
        <v>116</v>
      </c>
      <c r="B419" t="s">
        <v>249</v>
      </c>
      <c r="C419">
        <v>2015</v>
      </c>
      <c r="D419">
        <v>1242</v>
      </c>
      <c r="E419">
        <v>1260.4000000000001</v>
      </c>
      <c r="F419" t="str">
        <f t="shared" si="6"/>
        <v>solar pv</v>
      </c>
    </row>
    <row r="420" spans="1:6" x14ac:dyDescent="0.25">
      <c r="A420" t="s">
        <v>116</v>
      </c>
      <c r="B420" t="s">
        <v>249</v>
      </c>
      <c r="C420">
        <v>2016</v>
      </c>
      <c r="D420">
        <v>2765.5</v>
      </c>
      <c r="E420">
        <v>2806.1</v>
      </c>
      <c r="F420" t="str">
        <f t="shared" si="6"/>
        <v>solar pv</v>
      </c>
    </row>
    <row r="421" spans="1:6" x14ac:dyDescent="0.25">
      <c r="A421" t="s">
        <v>116</v>
      </c>
      <c r="B421" t="s">
        <v>249</v>
      </c>
      <c r="C421">
        <v>2017</v>
      </c>
      <c r="D421">
        <v>904.4</v>
      </c>
      <c r="E421">
        <v>915.2</v>
      </c>
      <c r="F421" t="str">
        <f t="shared" si="6"/>
        <v>solar pv</v>
      </c>
    </row>
    <row r="422" spans="1:6" x14ac:dyDescent="0.25">
      <c r="A422" t="s">
        <v>116</v>
      </c>
      <c r="B422" t="s">
        <v>249</v>
      </c>
      <c r="C422">
        <v>2018</v>
      </c>
      <c r="D422">
        <v>971.5</v>
      </c>
      <c r="E422">
        <v>982</v>
      </c>
      <c r="F422" t="str">
        <f t="shared" si="6"/>
        <v>solar pv</v>
      </c>
    </row>
    <row r="423" spans="1:6" x14ac:dyDescent="0.25">
      <c r="A423" t="s">
        <v>116</v>
      </c>
      <c r="B423" t="s">
        <v>249</v>
      </c>
      <c r="C423">
        <v>2019</v>
      </c>
      <c r="D423">
        <v>1060.5</v>
      </c>
      <c r="E423">
        <v>1060</v>
      </c>
      <c r="F423" t="str">
        <f t="shared" si="6"/>
        <v>solar pv</v>
      </c>
    </row>
    <row r="424" spans="1:6" x14ac:dyDescent="0.25">
      <c r="A424" t="s">
        <v>116</v>
      </c>
      <c r="B424" t="s">
        <v>249</v>
      </c>
      <c r="C424">
        <v>2020</v>
      </c>
      <c r="D424">
        <v>1691.3</v>
      </c>
      <c r="E424">
        <v>1691.5</v>
      </c>
      <c r="F424" t="str">
        <f t="shared" si="6"/>
        <v>solar pv</v>
      </c>
    </row>
    <row r="425" spans="1:6" x14ac:dyDescent="0.25">
      <c r="A425" t="s">
        <v>116</v>
      </c>
      <c r="B425" t="s">
        <v>249</v>
      </c>
      <c r="C425">
        <v>2021</v>
      </c>
      <c r="D425">
        <v>1347.7</v>
      </c>
      <c r="E425">
        <v>1350.4</v>
      </c>
      <c r="F425" t="str">
        <f t="shared" si="6"/>
        <v>solar pv</v>
      </c>
    </row>
    <row r="426" spans="1:6" x14ac:dyDescent="0.25">
      <c r="A426" t="s">
        <v>116</v>
      </c>
      <c r="B426" t="s">
        <v>249</v>
      </c>
      <c r="C426">
        <v>2022</v>
      </c>
      <c r="D426">
        <v>2131.8000000000002</v>
      </c>
      <c r="E426">
        <v>2133.6999999999998</v>
      </c>
      <c r="F426" t="str">
        <f t="shared" si="6"/>
        <v>solar pv</v>
      </c>
    </row>
    <row r="427" spans="1:6" x14ac:dyDescent="0.25">
      <c r="A427" t="s">
        <v>116</v>
      </c>
      <c r="B427" t="s">
        <v>249</v>
      </c>
      <c r="C427">
        <v>2023</v>
      </c>
      <c r="D427">
        <v>2349.3000000000002</v>
      </c>
      <c r="E427">
        <v>2375.1</v>
      </c>
      <c r="F427" t="str">
        <f t="shared" si="6"/>
        <v>solar pv</v>
      </c>
    </row>
    <row r="428" spans="1:6" x14ac:dyDescent="0.25">
      <c r="A428" t="s">
        <v>116</v>
      </c>
      <c r="B428" t="s">
        <v>249</v>
      </c>
      <c r="C428">
        <v>2024</v>
      </c>
      <c r="D428">
        <v>2496.4</v>
      </c>
      <c r="E428">
        <v>2607.6</v>
      </c>
      <c r="F428" t="str">
        <f t="shared" si="6"/>
        <v>solar pv</v>
      </c>
    </row>
    <row r="429" spans="1:6" x14ac:dyDescent="0.25">
      <c r="A429" t="s">
        <v>116</v>
      </c>
      <c r="B429" t="s">
        <v>249</v>
      </c>
      <c r="C429">
        <v>2025</v>
      </c>
      <c r="D429">
        <v>2128.1</v>
      </c>
      <c r="E429">
        <v>2236.6999999999998</v>
      </c>
      <c r="F429" t="str">
        <f t="shared" si="6"/>
        <v>solar pv</v>
      </c>
    </row>
    <row r="430" spans="1:6" x14ac:dyDescent="0.25">
      <c r="A430" t="s">
        <v>116</v>
      </c>
      <c r="B430" t="s">
        <v>89</v>
      </c>
      <c r="C430">
        <v>2013</v>
      </c>
      <c r="D430">
        <v>517.79999999999995</v>
      </c>
      <c r="E430">
        <v>517.79999999999995</v>
      </c>
      <c r="F430" t="str">
        <f t="shared" si="6"/>
        <v>solar thermal</v>
      </c>
    </row>
    <row r="431" spans="1:6" x14ac:dyDescent="0.25">
      <c r="A431" t="s">
        <v>116</v>
      </c>
      <c r="B431" t="s">
        <v>89</v>
      </c>
      <c r="C431">
        <v>2014</v>
      </c>
      <c r="D431">
        <v>400</v>
      </c>
      <c r="E431">
        <v>405</v>
      </c>
      <c r="F431" t="str">
        <f t="shared" si="6"/>
        <v>solar thermal</v>
      </c>
    </row>
    <row r="432" spans="1:6" x14ac:dyDescent="0.25">
      <c r="A432" t="s">
        <v>118</v>
      </c>
      <c r="B432" t="s">
        <v>90</v>
      </c>
      <c r="C432">
        <v>2000</v>
      </c>
      <c r="D432">
        <v>5</v>
      </c>
      <c r="E432">
        <v>7</v>
      </c>
      <c r="F432" t="str">
        <f t="shared" si="6"/>
        <v>biomass</v>
      </c>
    </row>
    <row r="433" spans="1:6" x14ac:dyDescent="0.25">
      <c r="A433" t="s">
        <v>118</v>
      </c>
      <c r="B433" t="s">
        <v>90</v>
      </c>
      <c r="C433">
        <v>2008</v>
      </c>
      <c r="D433">
        <v>3.2</v>
      </c>
      <c r="E433">
        <v>3.2</v>
      </c>
      <c r="F433" t="str">
        <f t="shared" si="6"/>
        <v>biomass</v>
      </c>
    </row>
    <row r="434" spans="1:6" x14ac:dyDescent="0.25">
      <c r="A434" t="s">
        <v>118</v>
      </c>
      <c r="B434" t="s">
        <v>90</v>
      </c>
      <c r="C434">
        <v>2011</v>
      </c>
      <c r="D434">
        <v>3.1</v>
      </c>
      <c r="E434">
        <v>3.2</v>
      </c>
      <c r="F434" t="str">
        <f t="shared" si="6"/>
        <v>biomass</v>
      </c>
    </row>
    <row r="435" spans="1:6" x14ac:dyDescent="0.25">
      <c r="A435" t="s">
        <v>118</v>
      </c>
      <c r="B435" t="s">
        <v>90</v>
      </c>
      <c r="C435">
        <v>2013</v>
      </c>
      <c r="D435">
        <v>12.6</v>
      </c>
      <c r="E435">
        <v>12.6</v>
      </c>
      <c r="F435" t="str">
        <f t="shared" si="6"/>
        <v>biomass</v>
      </c>
    </row>
    <row r="436" spans="1:6" x14ac:dyDescent="0.25">
      <c r="A436" t="s">
        <v>118</v>
      </c>
      <c r="B436" t="s">
        <v>81</v>
      </c>
      <c r="C436">
        <v>1991</v>
      </c>
      <c r="D436">
        <v>64</v>
      </c>
      <c r="E436">
        <v>79.3</v>
      </c>
      <c r="F436" t="str">
        <f t="shared" si="6"/>
        <v>hard coal</v>
      </c>
    </row>
    <row r="437" spans="1:6" x14ac:dyDescent="0.25">
      <c r="A437" t="s">
        <v>118</v>
      </c>
      <c r="B437" t="s">
        <v>81</v>
      </c>
      <c r="C437">
        <v>2009</v>
      </c>
      <c r="D437">
        <v>15</v>
      </c>
      <c r="E437">
        <v>18.5</v>
      </c>
      <c r="F437" t="str">
        <f t="shared" si="6"/>
        <v>hard coal</v>
      </c>
    </row>
    <row r="438" spans="1:6" x14ac:dyDescent="0.25">
      <c r="A438" t="s">
        <v>118</v>
      </c>
      <c r="B438" t="s">
        <v>81</v>
      </c>
      <c r="C438">
        <v>2010</v>
      </c>
      <c r="D438">
        <v>750</v>
      </c>
      <c r="E438">
        <v>856.8</v>
      </c>
      <c r="F438" t="str">
        <f t="shared" si="6"/>
        <v>hard coal</v>
      </c>
    </row>
    <row r="439" spans="1:6" x14ac:dyDescent="0.25">
      <c r="A439" t="s">
        <v>118</v>
      </c>
      <c r="B439" t="s">
        <v>86</v>
      </c>
      <c r="C439">
        <v>1992</v>
      </c>
      <c r="D439">
        <v>1.2</v>
      </c>
      <c r="E439">
        <v>1.2</v>
      </c>
      <c r="F439" t="str">
        <f t="shared" si="6"/>
        <v>hydro</v>
      </c>
    </row>
    <row r="440" spans="1:6" x14ac:dyDescent="0.25">
      <c r="A440" t="s">
        <v>118</v>
      </c>
      <c r="B440" t="s">
        <v>86</v>
      </c>
      <c r="C440">
        <v>1993</v>
      </c>
      <c r="D440">
        <v>15.4</v>
      </c>
      <c r="E440">
        <v>15.7</v>
      </c>
      <c r="F440" t="str">
        <f t="shared" si="6"/>
        <v>hydro</v>
      </c>
    </row>
    <row r="441" spans="1:6" x14ac:dyDescent="0.25">
      <c r="A441" t="s">
        <v>118</v>
      </c>
      <c r="B441" t="s">
        <v>86</v>
      </c>
      <c r="C441">
        <v>1997</v>
      </c>
      <c r="D441">
        <v>28</v>
      </c>
      <c r="E441">
        <v>26.6</v>
      </c>
      <c r="F441" t="str">
        <f t="shared" si="6"/>
        <v>hydro</v>
      </c>
    </row>
    <row r="442" spans="1:6" x14ac:dyDescent="0.25">
      <c r="A442" t="s">
        <v>118</v>
      </c>
      <c r="B442" t="s">
        <v>86</v>
      </c>
      <c r="C442">
        <v>2000</v>
      </c>
      <c r="D442">
        <v>3.3</v>
      </c>
      <c r="E442">
        <v>3.3</v>
      </c>
      <c r="F442" t="str">
        <f t="shared" si="6"/>
        <v>hydro</v>
      </c>
    </row>
    <row r="443" spans="1:6" x14ac:dyDescent="0.25">
      <c r="A443" t="s">
        <v>118</v>
      </c>
      <c r="B443" t="s">
        <v>86</v>
      </c>
      <c r="C443">
        <v>2004</v>
      </c>
      <c r="D443">
        <v>3.5</v>
      </c>
      <c r="E443">
        <v>3.5</v>
      </c>
      <c r="F443" t="str">
        <f t="shared" si="6"/>
        <v>hydro</v>
      </c>
    </row>
    <row r="444" spans="1:6" x14ac:dyDescent="0.25">
      <c r="A444" t="s">
        <v>118</v>
      </c>
      <c r="B444" t="s">
        <v>86</v>
      </c>
      <c r="C444">
        <v>2006</v>
      </c>
      <c r="D444">
        <v>0.5</v>
      </c>
      <c r="E444">
        <v>0.6</v>
      </c>
      <c r="F444" t="str">
        <f t="shared" si="6"/>
        <v>hydro</v>
      </c>
    </row>
    <row r="445" spans="1:6" x14ac:dyDescent="0.25">
      <c r="A445" t="s">
        <v>118</v>
      </c>
      <c r="B445" t="s">
        <v>86</v>
      </c>
      <c r="C445">
        <v>2007</v>
      </c>
      <c r="D445">
        <v>8</v>
      </c>
      <c r="E445">
        <v>8</v>
      </c>
      <c r="F445" t="str">
        <f t="shared" si="6"/>
        <v>hydro</v>
      </c>
    </row>
    <row r="446" spans="1:6" x14ac:dyDescent="0.25">
      <c r="A446" t="s">
        <v>118</v>
      </c>
      <c r="B446" t="s">
        <v>86</v>
      </c>
      <c r="C446">
        <v>2012</v>
      </c>
      <c r="D446">
        <v>3.1</v>
      </c>
      <c r="E446">
        <v>3.1</v>
      </c>
      <c r="F446" t="str">
        <f t="shared" si="6"/>
        <v>hydro</v>
      </c>
    </row>
    <row r="447" spans="1:6" x14ac:dyDescent="0.25">
      <c r="A447" t="s">
        <v>118</v>
      </c>
      <c r="B447" t="s">
        <v>86</v>
      </c>
      <c r="C447">
        <v>2013</v>
      </c>
      <c r="D447">
        <v>12.1</v>
      </c>
      <c r="E447">
        <v>12.5</v>
      </c>
      <c r="F447" t="str">
        <f t="shared" si="6"/>
        <v>hydro</v>
      </c>
    </row>
    <row r="448" spans="1:6" x14ac:dyDescent="0.25">
      <c r="A448" t="s">
        <v>118</v>
      </c>
      <c r="B448" t="s">
        <v>86</v>
      </c>
      <c r="C448">
        <v>2014</v>
      </c>
      <c r="D448">
        <v>8</v>
      </c>
      <c r="E448">
        <v>8</v>
      </c>
      <c r="F448" t="str">
        <f t="shared" si="6"/>
        <v>hydro</v>
      </c>
    </row>
    <row r="449" spans="1:6" x14ac:dyDescent="0.25">
      <c r="A449" t="s">
        <v>118</v>
      </c>
      <c r="B449" t="s">
        <v>86</v>
      </c>
      <c r="C449">
        <v>2015</v>
      </c>
      <c r="D449">
        <v>7.3</v>
      </c>
      <c r="E449">
        <v>7.6</v>
      </c>
      <c r="F449" t="str">
        <f t="shared" si="6"/>
        <v>hydro</v>
      </c>
    </row>
    <row r="450" spans="1:6" x14ac:dyDescent="0.25">
      <c r="A450" t="s">
        <v>118</v>
      </c>
      <c r="B450" t="s">
        <v>86</v>
      </c>
      <c r="C450">
        <v>2016</v>
      </c>
      <c r="D450">
        <v>1.2</v>
      </c>
      <c r="E450">
        <v>1.2</v>
      </c>
      <c r="F450" t="str">
        <f t="shared" ref="F450:F513" si="7">LOWER($B450)</f>
        <v>hydro</v>
      </c>
    </row>
    <row r="451" spans="1:6" x14ac:dyDescent="0.25">
      <c r="A451" t="s">
        <v>118</v>
      </c>
      <c r="B451" t="s">
        <v>86</v>
      </c>
      <c r="C451">
        <v>2017</v>
      </c>
      <c r="D451">
        <v>2.4</v>
      </c>
      <c r="E451">
        <v>2.4</v>
      </c>
      <c r="F451" t="str">
        <f t="shared" si="7"/>
        <v>hydro</v>
      </c>
    </row>
    <row r="452" spans="1:6" x14ac:dyDescent="0.25">
      <c r="A452" t="s">
        <v>118</v>
      </c>
      <c r="B452" t="s">
        <v>86</v>
      </c>
      <c r="C452">
        <v>2019</v>
      </c>
      <c r="D452">
        <v>7.1</v>
      </c>
      <c r="E452">
        <v>7.5</v>
      </c>
      <c r="F452" t="str">
        <f t="shared" si="7"/>
        <v>hydro</v>
      </c>
    </row>
    <row r="453" spans="1:6" x14ac:dyDescent="0.25">
      <c r="A453" t="s">
        <v>118</v>
      </c>
      <c r="B453" t="s">
        <v>86</v>
      </c>
      <c r="C453">
        <v>2022</v>
      </c>
      <c r="D453">
        <v>3.5</v>
      </c>
      <c r="E453">
        <v>4.5</v>
      </c>
      <c r="F453" t="str">
        <f t="shared" si="7"/>
        <v>hydro</v>
      </c>
    </row>
    <row r="454" spans="1:6" x14ac:dyDescent="0.25">
      <c r="A454" t="s">
        <v>118</v>
      </c>
      <c r="B454" t="s">
        <v>84</v>
      </c>
      <c r="C454">
        <v>1990</v>
      </c>
      <c r="D454">
        <v>55</v>
      </c>
      <c r="E454">
        <v>61.8</v>
      </c>
      <c r="F454" t="str">
        <f t="shared" si="7"/>
        <v>natural gas combined cycle</v>
      </c>
    </row>
    <row r="455" spans="1:6" x14ac:dyDescent="0.25">
      <c r="A455" t="s">
        <v>118</v>
      </c>
      <c r="B455" t="s">
        <v>84</v>
      </c>
      <c r="C455">
        <v>1992</v>
      </c>
      <c r="D455">
        <v>31</v>
      </c>
      <c r="E455">
        <v>33</v>
      </c>
      <c r="F455" t="str">
        <f t="shared" si="7"/>
        <v>natural gas combined cycle</v>
      </c>
    </row>
    <row r="456" spans="1:6" x14ac:dyDescent="0.25">
      <c r="A456" t="s">
        <v>118</v>
      </c>
      <c r="B456" t="s">
        <v>84</v>
      </c>
      <c r="C456">
        <v>1994</v>
      </c>
      <c r="D456">
        <v>682.4</v>
      </c>
      <c r="E456">
        <v>470.9</v>
      </c>
      <c r="F456" t="str">
        <f t="shared" si="7"/>
        <v>natural gas combined cycle</v>
      </c>
    </row>
    <row r="457" spans="1:6" x14ac:dyDescent="0.25">
      <c r="A457" t="s">
        <v>118</v>
      </c>
      <c r="B457" t="s">
        <v>84</v>
      </c>
      <c r="C457">
        <v>1996</v>
      </c>
      <c r="D457">
        <v>150</v>
      </c>
      <c r="E457">
        <v>175.1</v>
      </c>
      <c r="F457" t="str">
        <f t="shared" si="7"/>
        <v>natural gas combined cycle</v>
      </c>
    </row>
    <row r="458" spans="1:6" x14ac:dyDescent="0.25">
      <c r="A458" t="s">
        <v>118</v>
      </c>
      <c r="B458" t="s">
        <v>84</v>
      </c>
      <c r="C458">
        <v>1998</v>
      </c>
      <c r="D458">
        <v>308</v>
      </c>
      <c r="E458">
        <v>342.6</v>
      </c>
      <c r="F458" t="str">
        <f t="shared" si="7"/>
        <v>natural gas combined cycle</v>
      </c>
    </row>
    <row r="459" spans="1:6" x14ac:dyDescent="0.25">
      <c r="A459" t="s">
        <v>118</v>
      </c>
      <c r="B459" t="s">
        <v>84</v>
      </c>
      <c r="C459">
        <v>1999</v>
      </c>
      <c r="D459">
        <v>192</v>
      </c>
      <c r="E459">
        <v>222.7</v>
      </c>
      <c r="F459" t="str">
        <f t="shared" si="7"/>
        <v>natural gas combined cycle</v>
      </c>
    </row>
    <row r="460" spans="1:6" x14ac:dyDescent="0.25">
      <c r="A460" t="s">
        <v>118</v>
      </c>
      <c r="B460" t="s">
        <v>84</v>
      </c>
      <c r="C460">
        <v>2000</v>
      </c>
      <c r="D460">
        <v>78</v>
      </c>
      <c r="E460">
        <v>142.19999999999999</v>
      </c>
      <c r="F460" t="str">
        <f t="shared" si="7"/>
        <v>natural gas combined cycle</v>
      </c>
    </row>
    <row r="461" spans="1:6" x14ac:dyDescent="0.25">
      <c r="A461" t="s">
        <v>118</v>
      </c>
      <c r="B461" t="s">
        <v>84</v>
      </c>
      <c r="C461">
        <v>2001</v>
      </c>
      <c r="D461">
        <v>142</v>
      </c>
      <c r="E461">
        <v>175.1</v>
      </c>
      <c r="F461" t="str">
        <f t="shared" si="7"/>
        <v>natural gas combined cycle</v>
      </c>
    </row>
    <row r="462" spans="1:6" x14ac:dyDescent="0.25">
      <c r="A462" t="s">
        <v>118</v>
      </c>
      <c r="B462" t="s">
        <v>84</v>
      </c>
      <c r="C462">
        <v>2002</v>
      </c>
      <c r="D462">
        <v>134.5</v>
      </c>
      <c r="E462">
        <v>141.80000000000001</v>
      </c>
      <c r="F462" t="str">
        <f t="shared" si="7"/>
        <v>natural gas combined cycle</v>
      </c>
    </row>
    <row r="463" spans="1:6" x14ac:dyDescent="0.25">
      <c r="A463" t="s">
        <v>118</v>
      </c>
      <c r="B463" t="s">
        <v>84</v>
      </c>
      <c r="C463">
        <v>2003</v>
      </c>
      <c r="D463">
        <v>460</v>
      </c>
      <c r="E463">
        <v>554.29999999999995</v>
      </c>
      <c r="F463" t="str">
        <f t="shared" si="7"/>
        <v>natural gas combined cycle</v>
      </c>
    </row>
    <row r="464" spans="1:6" x14ac:dyDescent="0.25">
      <c r="A464" t="s">
        <v>118</v>
      </c>
      <c r="B464" t="s">
        <v>84</v>
      </c>
      <c r="C464">
        <v>2004</v>
      </c>
      <c r="D464">
        <v>592</v>
      </c>
      <c r="E464">
        <v>685.1</v>
      </c>
      <c r="F464" t="str">
        <f t="shared" si="7"/>
        <v>natural gas combined cycle</v>
      </c>
    </row>
    <row r="465" spans="1:6" x14ac:dyDescent="0.25">
      <c r="A465" t="s">
        <v>118</v>
      </c>
      <c r="B465" t="s">
        <v>84</v>
      </c>
      <c r="C465">
        <v>2012</v>
      </c>
      <c r="D465">
        <v>188</v>
      </c>
      <c r="E465">
        <v>200</v>
      </c>
      <c r="F465" t="str">
        <f t="shared" si="7"/>
        <v>natural gas combined cycle</v>
      </c>
    </row>
    <row r="466" spans="1:6" x14ac:dyDescent="0.25">
      <c r="A466" t="s">
        <v>118</v>
      </c>
      <c r="B466" t="s">
        <v>84</v>
      </c>
      <c r="C466">
        <v>2015</v>
      </c>
      <c r="D466">
        <v>576</v>
      </c>
      <c r="E466">
        <v>625.6</v>
      </c>
      <c r="F466" t="str">
        <f t="shared" si="7"/>
        <v>natural gas combined cycle</v>
      </c>
    </row>
    <row r="467" spans="1:6" x14ac:dyDescent="0.25">
      <c r="A467" t="s">
        <v>118</v>
      </c>
      <c r="B467" t="s">
        <v>93</v>
      </c>
      <c r="C467">
        <v>1990</v>
      </c>
      <c r="D467">
        <v>30.2</v>
      </c>
      <c r="E467">
        <v>30.2</v>
      </c>
      <c r="F467" t="str">
        <f t="shared" si="7"/>
        <v>natural gas peaker</v>
      </c>
    </row>
    <row r="468" spans="1:6" x14ac:dyDescent="0.25">
      <c r="A468" t="s">
        <v>118</v>
      </c>
      <c r="B468" t="s">
        <v>93</v>
      </c>
      <c r="C468">
        <v>1999</v>
      </c>
      <c r="D468">
        <v>60</v>
      </c>
      <c r="E468">
        <v>75.599999999999994</v>
      </c>
      <c r="F468" t="str">
        <f t="shared" si="7"/>
        <v>natural gas peaker</v>
      </c>
    </row>
    <row r="469" spans="1:6" x14ac:dyDescent="0.25">
      <c r="A469" t="s">
        <v>118</v>
      </c>
      <c r="B469" t="s">
        <v>93</v>
      </c>
      <c r="C469">
        <v>2000</v>
      </c>
      <c r="D469">
        <v>286</v>
      </c>
      <c r="E469">
        <v>371.1</v>
      </c>
      <c r="F469" t="str">
        <f t="shared" si="7"/>
        <v>natural gas peaker</v>
      </c>
    </row>
    <row r="470" spans="1:6" x14ac:dyDescent="0.25">
      <c r="A470" t="s">
        <v>118</v>
      </c>
      <c r="B470" t="s">
        <v>93</v>
      </c>
      <c r="C470">
        <v>2001</v>
      </c>
      <c r="D470">
        <v>278.2</v>
      </c>
      <c r="E470">
        <v>303.3</v>
      </c>
      <c r="F470" t="str">
        <f t="shared" si="7"/>
        <v>natural gas peaker</v>
      </c>
    </row>
    <row r="471" spans="1:6" x14ac:dyDescent="0.25">
      <c r="A471" t="s">
        <v>118</v>
      </c>
      <c r="B471" t="s">
        <v>93</v>
      </c>
      <c r="C471">
        <v>2002</v>
      </c>
      <c r="D471">
        <v>573.4</v>
      </c>
      <c r="E471">
        <v>690.3</v>
      </c>
      <c r="F471" t="str">
        <f t="shared" si="7"/>
        <v>natural gas peaker</v>
      </c>
    </row>
    <row r="472" spans="1:6" x14ac:dyDescent="0.25">
      <c r="A472" t="s">
        <v>118</v>
      </c>
      <c r="B472" t="s">
        <v>93</v>
      </c>
      <c r="C472">
        <v>2003</v>
      </c>
      <c r="D472">
        <v>264</v>
      </c>
      <c r="E472">
        <v>397.8</v>
      </c>
      <c r="F472" t="str">
        <f t="shared" si="7"/>
        <v>natural gas peaker</v>
      </c>
    </row>
    <row r="473" spans="1:6" x14ac:dyDescent="0.25">
      <c r="A473" t="s">
        <v>118</v>
      </c>
      <c r="B473" t="s">
        <v>93</v>
      </c>
      <c r="C473">
        <v>2004</v>
      </c>
      <c r="D473">
        <v>65</v>
      </c>
      <c r="E473">
        <v>89.3</v>
      </c>
      <c r="F473" t="str">
        <f t="shared" si="7"/>
        <v>natural gas peaker</v>
      </c>
    </row>
    <row r="474" spans="1:6" x14ac:dyDescent="0.25">
      <c r="A474" t="s">
        <v>118</v>
      </c>
      <c r="B474" t="s">
        <v>93</v>
      </c>
      <c r="C474">
        <v>2007</v>
      </c>
      <c r="D474">
        <v>270</v>
      </c>
      <c r="E474">
        <v>420</v>
      </c>
      <c r="F474" t="str">
        <f t="shared" si="7"/>
        <v>natural gas peaker</v>
      </c>
    </row>
    <row r="475" spans="1:6" x14ac:dyDescent="0.25">
      <c r="A475" t="s">
        <v>118</v>
      </c>
      <c r="B475" t="s">
        <v>93</v>
      </c>
      <c r="C475">
        <v>2008</v>
      </c>
      <c r="D475">
        <v>239.92</v>
      </c>
      <c r="E475">
        <v>267.2</v>
      </c>
      <c r="F475" t="str">
        <f t="shared" si="7"/>
        <v>natural gas peaker</v>
      </c>
    </row>
    <row r="476" spans="1:6" x14ac:dyDescent="0.25">
      <c r="A476" t="s">
        <v>118</v>
      </c>
      <c r="B476" t="s">
        <v>93</v>
      </c>
      <c r="C476">
        <v>2009</v>
      </c>
      <c r="D476">
        <v>280</v>
      </c>
      <c r="E476">
        <v>280.60000000000002</v>
      </c>
      <c r="F476" t="str">
        <f t="shared" si="7"/>
        <v>natural gas peaker</v>
      </c>
    </row>
    <row r="477" spans="1:6" x14ac:dyDescent="0.25">
      <c r="A477" t="s">
        <v>118</v>
      </c>
      <c r="B477" t="s">
        <v>93</v>
      </c>
      <c r="C477">
        <v>2012</v>
      </c>
      <c r="D477">
        <v>180</v>
      </c>
      <c r="E477">
        <v>200</v>
      </c>
      <c r="F477" t="str">
        <f t="shared" si="7"/>
        <v>natural gas peaker</v>
      </c>
    </row>
    <row r="478" spans="1:6" x14ac:dyDescent="0.25">
      <c r="A478" t="s">
        <v>118</v>
      </c>
      <c r="B478" t="s">
        <v>93</v>
      </c>
      <c r="C478">
        <v>2016</v>
      </c>
      <c r="D478">
        <v>40</v>
      </c>
      <c r="E478">
        <v>40</v>
      </c>
      <c r="F478" t="str">
        <f t="shared" si="7"/>
        <v>natural gas peaker</v>
      </c>
    </row>
    <row r="479" spans="1:6" x14ac:dyDescent="0.25">
      <c r="A479" t="s">
        <v>118</v>
      </c>
      <c r="B479" t="s">
        <v>93</v>
      </c>
      <c r="C479">
        <v>2022</v>
      </c>
      <c r="D479">
        <v>4</v>
      </c>
      <c r="E479">
        <v>4</v>
      </c>
      <c r="F479" t="str">
        <f t="shared" si="7"/>
        <v>natural gas peaker</v>
      </c>
    </row>
    <row r="480" spans="1:6" x14ac:dyDescent="0.25">
      <c r="A480" t="s">
        <v>118</v>
      </c>
      <c r="B480" t="s">
        <v>93</v>
      </c>
      <c r="C480">
        <v>2023</v>
      </c>
      <c r="D480">
        <v>150</v>
      </c>
      <c r="E480">
        <v>245.1</v>
      </c>
      <c r="F480" t="str">
        <f t="shared" si="7"/>
        <v>natural gas peaker</v>
      </c>
    </row>
    <row r="481" spans="1:6" x14ac:dyDescent="0.25">
      <c r="A481" t="s">
        <v>118</v>
      </c>
      <c r="B481" t="s">
        <v>93</v>
      </c>
      <c r="C481">
        <v>2025</v>
      </c>
      <c r="D481">
        <v>138</v>
      </c>
      <c r="E481">
        <v>162.6</v>
      </c>
      <c r="F481" t="str">
        <f t="shared" si="7"/>
        <v>natural gas peaker</v>
      </c>
    </row>
    <row r="482" spans="1:6" x14ac:dyDescent="0.25">
      <c r="A482" t="s">
        <v>118</v>
      </c>
      <c r="B482" t="s">
        <v>83</v>
      </c>
      <c r="C482">
        <v>1997</v>
      </c>
      <c r="D482">
        <v>0.4</v>
      </c>
      <c r="E482">
        <v>0.4</v>
      </c>
      <c r="F482" t="str">
        <f t="shared" si="7"/>
        <v>natural gas steam turbine</v>
      </c>
    </row>
    <row r="483" spans="1:6" x14ac:dyDescent="0.25">
      <c r="A483" t="s">
        <v>118</v>
      </c>
      <c r="B483" t="s">
        <v>83</v>
      </c>
      <c r="C483">
        <v>2001</v>
      </c>
      <c r="D483">
        <v>7</v>
      </c>
      <c r="E483">
        <v>7.5</v>
      </c>
      <c r="F483" t="str">
        <f t="shared" si="7"/>
        <v>natural gas steam turbine</v>
      </c>
    </row>
    <row r="484" spans="1:6" x14ac:dyDescent="0.25">
      <c r="A484" t="s">
        <v>118</v>
      </c>
      <c r="B484" t="s">
        <v>87</v>
      </c>
      <c r="C484">
        <v>1999</v>
      </c>
      <c r="D484">
        <v>15.4</v>
      </c>
      <c r="E484">
        <v>16.600000000000001</v>
      </c>
      <c r="F484" t="str">
        <f t="shared" si="7"/>
        <v>onshore wind</v>
      </c>
    </row>
    <row r="485" spans="1:6" x14ac:dyDescent="0.25">
      <c r="A485" t="s">
        <v>118</v>
      </c>
      <c r="B485" t="s">
        <v>87</v>
      </c>
      <c r="C485">
        <v>2001</v>
      </c>
      <c r="D485">
        <v>39.6</v>
      </c>
      <c r="E485">
        <v>39.6</v>
      </c>
      <c r="F485" t="str">
        <f t="shared" si="7"/>
        <v>onshore wind</v>
      </c>
    </row>
    <row r="486" spans="1:6" x14ac:dyDescent="0.25">
      <c r="A486" t="s">
        <v>118</v>
      </c>
      <c r="B486" t="s">
        <v>87</v>
      </c>
      <c r="C486">
        <v>2003</v>
      </c>
      <c r="D486">
        <v>162</v>
      </c>
      <c r="E486">
        <v>162</v>
      </c>
      <c r="F486" t="str">
        <f t="shared" si="7"/>
        <v>onshore wind</v>
      </c>
    </row>
    <row r="487" spans="1:6" x14ac:dyDescent="0.25">
      <c r="A487" t="s">
        <v>118</v>
      </c>
      <c r="B487" t="s">
        <v>87</v>
      </c>
      <c r="C487">
        <v>2004</v>
      </c>
      <c r="D487">
        <v>7</v>
      </c>
      <c r="E487">
        <v>7.5</v>
      </c>
      <c r="F487" t="str">
        <f t="shared" si="7"/>
        <v>onshore wind</v>
      </c>
    </row>
    <row r="488" spans="1:6" x14ac:dyDescent="0.25">
      <c r="A488" t="s">
        <v>118</v>
      </c>
      <c r="B488" t="s">
        <v>87</v>
      </c>
      <c r="C488">
        <v>2006</v>
      </c>
      <c r="D488">
        <v>60</v>
      </c>
      <c r="E488">
        <v>60</v>
      </c>
      <c r="F488" t="str">
        <f t="shared" si="7"/>
        <v>onshore wind</v>
      </c>
    </row>
    <row r="489" spans="1:6" x14ac:dyDescent="0.25">
      <c r="A489" t="s">
        <v>118</v>
      </c>
      <c r="B489" t="s">
        <v>87</v>
      </c>
      <c r="C489">
        <v>2007</v>
      </c>
      <c r="D489">
        <v>776</v>
      </c>
      <c r="E489">
        <v>776</v>
      </c>
      <c r="F489" t="str">
        <f t="shared" si="7"/>
        <v>onshore wind</v>
      </c>
    </row>
    <row r="490" spans="1:6" x14ac:dyDescent="0.25">
      <c r="A490" t="s">
        <v>118</v>
      </c>
      <c r="B490" t="s">
        <v>87</v>
      </c>
      <c r="C490">
        <v>2009</v>
      </c>
      <c r="D490">
        <v>174.3</v>
      </c>
      <c r="E490">
        <v>174.3</v>
      </c>
      <c r="F490" t="str">
        <f t="shared" si="7"/>
        <v>onshore wind</v>
      </c>
    </row>
    <row r="491" spans="1:6" x14ac:dyDescent="0.25">
      <c r="A491" t="s">
        <v>118</v>
      </c>
      <c r="B491" t="s">
        <v>87</v>
      </c>
      <c r="C491">
        <v>2010</v>
      </c>
      <c r="D491">
        <v>52.8</v>
      </c>
      <c r="E491">
        <v>52.8</v>
      </c>
      <c r="F491" t="str">
        <f t="shared" si="7"/>
        <v>onshore wind</v>
      </c>
    </row>
    <row r="492" spans="1:6" x14ac:dyDescent="0.25">
      <c r="A492" t="s">
        <v>118</v>
      </c>
      <c r="B492" t="s">
        <v>87</v>
      </c>
      <c r="C492">
        <v>2011</v>
      </c>
      <c r="D492">
        <v>500.3</v>
      </c>
      <c r="E492">
        <v>500.3</v>
      </c>
      <c r="F492" t="str">
        <f t="shared" si="7"/>
        <v>onshore wind</v>
      </c>
    </row>
    <row r="493" spans="1:6" x14ac:dyDescent="0.25">
      <c r="A493" t="s">
        <v>118</v>
      </c>
      <c r="B493" t="s">
        <v>87</v>
      </c>
      <c r="C493">
        <v>2012</v>
      </c>
      <c r="D493">
        <v>500</v>
      </c>
      <c r="E493">
        <v>500</v>
      </c>
      <c r="F493" t="str">
        <f t="shared" si="7"/>
        <v>onshore wind</v>
      </c>
    </row>
    <row r="494" spans="1:6" x14ac:dyDescent="0.25">
      <c r="A494" t="s">
        <v>118</v>
      </c>
      <c r="B494" t="s">
        <v>87</v>
      </c>
      <c r="C494">
        <v>2013</v>
      </c>
      <c r="D494">
        <v>33.1</v>
      </c>
      <c r="E494">
        <v>33.1</v>
      </c>
      <c r="F494" t="str">
        <f t="shared" si="7"/>
        <v>onshore wind</v>
      </c>
    </row>
    <row r="495" spans="1:6" x14ac:dyDescent="0.25">
      <c r="A495" t="s">
        <v>118</v>
      </c>
      <c r="B495" t="s">
        <v>87</v>
      </c>
      <c r="C495">
        <v>2014</v>
      </c>
      <c r="D495">
        <v>263.2</v>
      </c>
      <c r="E495">
        <v>263.2</v>
      </c>
      <c r="F495" t="str">
        <f t="shared" si="7"/>
        <v>onshore wind</v>
      </c>
    </row>
    <row r="496" spans="1:6" x14ac:dyDescent="0.25">
      <c r="A496" t="s">
        <v>118</v>
      </c>
      <c r="B496" t="s">
        <v>87</v>
      </c>
      <c r="C496">
        <v>2015</v>
      </c>
      <c r="D496">
        <v>400</v>
      </c>
      <c r="E496">
        <v>400</v>
      </c>
      <c r="F496" t="str">
        <f t="shared" si="7"/>
        <v>onshore wind</v>
      </c>
    </row>
    <row r="497" spans="1:6" x14ac:dyDescent="0.25">
      <c r="A497" t="s">
        <v>118</v>
      </c>
      <c r="B497" t="s">
        <v>87</v>
      </c>
      <c r="C497">
        <v>2016</v>
      </c>
      <c r="D497">
        <v>60.8</v>
      </c>
      <c r="E497">
        <v>60.8</v>
      </c>
      <c r="F497" t="str">
        <f t="shared" si="7"/>
        <v>onshore wind</v>
      </c>
    </row>
    <row r="498" spans="1:6" x14ac:dyDescent="0.25">
      <c r="A498" t="s">
        <v>118</v>
      </c>
      <c r="B498" t="s">
        <v>87</v>
      </c>
      <c r="C498">
        <v>2017</v>
      </c>
      <c r="D498">
        <v>75</v>
      </c>
      <c r="E498">
        <v>75</v>
      </c>
      <c r="F498" t="str">
        <f t="shared" si="7"/>
        <v>onshore wind</v>
      </c>
    </row>
    <row r="499" spans="1:6" x14ac:dyDescent="0.25">
      <c r="A499" t="s">
        <v>118</v>
      </c>
      <c r="B499" t="s">
        <v>87</v>
      </c>
      <c r="C499">
        <v>2018</v>
      </c>
      <c r="D499">
        <v>600</v>
      </c>
      <c r="E499">
        <v>600</v>
      </c>
      <c r="F499" t="str">
        <f t="shared" si="7"/>
        <v>onshore wind</v>
      </c>
    </row>
    <row r="500" spans="1:6" x14ac:dyDescent="0.25">
      <c r="A500" t="s">
        <v>118</v>
      </c>
      <c r="B500" t="s">
        <v>87</v>
      </c>
      <c r="C500">
        <v>2019</v>
      </c>
      <c r="D500">
        <v>59.4</v>
      </c>
      <c r="E500">
        <v>59.4</v>
      </c>
      <c r="F500" t="str">
        <f t="shared" si="7"/>
        <v>onshore wind</v>
      </c>
    </row>
    <row r="501" spans="1:6" x14ac:dyDescent="0.25">
      <c r="A501" t="s">
        <v>118</v>
      </c>
      <c r="B501" t="s">
        <v>87</v>
      </c>
      <c r="C501">
        <v>2020</v>
      </c>
      <c r="D501">
        <v>969.1</v>
      </c>
      <c r="E501">
        <v>970.1</v>
      </c>
      <c r="F501" t="str">
        <f t="shared" si="7"/>
        <v>onshore wind</v>
      </c>
    </row>
    <row r="502" spans="1:6" x14ac:dyDescent="0.25">
      <c r="A502" t="s">
        <v>118</v>
      </c>
      <c r="B502" t="s">
        <v>87</v>
      </c>
      <c r="C502">
        <v>2021</v>
      </c>
      <c r="D502">
        <v>309</v>
      </c>
      <c r="E502">
        <v>309.60000000000002</v>
      </c>
      <c r="F502" t="str">
        <f t="shared" si="7"/>
        <v>onshore wind</v>
      </c>
    </row>
    <row r="503" spans="1:6" x14ac:dyDescent="0.25">
      <c r="A503" t="s">
        <v>118</v>
      </c>
      <c r="B503" t="s">
        <v>87</v>
      </c>
      <c r="C503">
        <v>2022</v>
      </c>
      <c r="D503">
        <v>145</v>
      </c>
      <c r="E503">
        <v>145</v>
      </c>
      <c r="F503" t="str">
        <f t="shared" si="7"/>
        <v>onshore wind</v>
      </c>
    </row>
    <row r="504" spans="1:6" x14ac:dyDescent="0.25">
      <c r="A504" t="s">
        <v>118</v>
      </c>
      <c r="B504" t="s">
        <v>87</v>
      </c>
      <c r="C504">
        <v>2023</v>
      </c>
      <c r="D504">
        <v>199</v>
      </c>
      <c r="E504">
        <v>200</v>
      </c>
      <c r="F504" t="str">
        <f t="shared" si="7"/>
        <v>onshore wind</v>
      </c>
    </row>
    <row r="505" spans="1:6" x14ac:dyDescent="0.25">
      <c r="A505" t="s">
        <v>118</v>
      </c>
      <c r="B505" t="s">
        <v>92</v>
      </c>
      <c r="C505">
        <v>1990</v>
      </c>
      <c r="D505">
        <v>2.4</v>
      </c>
      <c r="E505">
        <v>3.2</v>
      </c>
      <c r="F505" t="str">
        <f t="shared" si="7"/>
        <v>petroleum</v>
      </c>
    </row>
    <row r="506" spans="1:6" x14ac:dyDescent="0.25">
      <c r="A506" t="s">
        <v>118</v>
      </c>
      <c r="B506" t="s">
        <v>92</v>
      </c>
      <c r="C506">
        <v>1993</v>
      </c>
      <c r="D506">
        <v>0.7</v>
      </c>
      <c r="E506">
        <v>0.7</v>
      </c>
      <c r="F506" t="str">
        <f t="shared" si="7"/>
        <v>petroleum</v>
      </c>
    </row>
    <row r="507" spans="1:6" x14ac:dyDescent="0.25">
      <c r="A507" t="s">
        <v>118</v>
      </c>
      <c r="B507" t="s">
        <v>92</v>
      </c>
      <c r="C507">
        <v>1998</v>
      </c>
      <c r="D507">
        <v>1.1000000000000001</v>
      </c>
      <c r="E507">
        <v>1.5</v>
      </c>
      <c r="F507" t="str">
        <f t="shared" si="7"/>
        <v>petroleum</v>
      </c>
    </row>
    <row r="508" spans="1:6" x14ac:dyDescent="0.25">
      <c r="A508" t="s">
        <v>118</v>
      </c>
      <c r="B508" t="s">
        <v>92</v>
      </c>
      <c r="C508">
        <v>1999</v>
      </c>
      <c r="D508">
        <v>5.4</v>
      </c>
      <c r="E508">
        <v>5.4</v>
      </c>
      <c r="F508" t="str">
        <f t="shared" si="7"/>
        <v>petroleum</v>
      </c>
    </row>
    <row r="509" spans="1:6" x14ac:dyDescent="0.25">
      <c r="A509" t="s">
        <v>118</v>
      </c>
      <c r="B509" t="s">
        <v>92</v>
      </c>
      <c r="C509">
        <v>2000</v>
      </c>
      <c r="D509">
        <v>0.3</v>
      </c>
      <c r="E509">
        <v>0.4</v>
      </c>
      <c r="F509" t="str">
        <f t="shared" si="7"/>
        <v>petroleum</v>
      </c>
    </row>
    <row r="510" spans="1:6" x14ac:dyDescent="0.25">
      <c r="A510" t="s">
        <v>118</v>
      </c>
      <c r="B510" t="s">
        <v>92</v>
      </c>
      <c r="C510">
        <v>2002</v>
      </c>
      <c r="D510">
        <v>12</v>
      </c>
      <c r="E510">
        <v>12.2</v>
      </c>
      <c r="F510" t="str">
        <f t="shared" si="7"/>
        <v>petroleum</v>
      </c>
    </row>
    <row r="511" spans="1:6" x14ac:dyDescent="0.25">
      <c r="A511" t="s">
        <v>118</v>
      </c>
      <c r="B511" t="s">
        <v>92</v>
      </c>
      <c r="C511">
        <v>2007</v>
      </c>
      <c r="D511">
        <v>1.8</v>
      </c>
      <c r="E511">
        <v>1.8</v>
      </c>
      <c r="F511" t="str">
        <f t="shared" si="7"/>
        <v>petroleum</v>
      </c>
    </row>
    <row r="512" spans="1:6" x14ac:dyDescent="0.25">
      <c r="A512" t="s">
        <v>118</v>
      </c>
      <c r="B512" t="s">
        <v>249</v>
      </c>
      <c r="C512">
        <v>2007</v>
      </c>
      <c r="D512">
        <v>7.77</v>
      </c>
      <c r="E512">
        <v>10.199999999999999</v>
      </c>
      <c r="F512" t="str">
        <f t="shared" si="7"/>
        <v>solar pv</v>
      </c>
    </row>
    <row r="513" spans="1:6" x14ac:dyDescent="0.25">
      <c r="A513" t="s">
        <v>118</v>
      </c>
      <c r="B513" t="s">
        <v>249</v>
      </c>
      <c r="C513">
        <v>2008</v>
      </c>
      <c r="D513">
        <v>2.9</v>
      </c>
      <c r="E513">
        <v>2.9</v>
      </c>
      <c r="F513" t="str">
        <f t="shared" si="7"/>
        <v>solar pv</v>
      </c>
    </row>
    <row r="514" spans="1:6" x14ac:dyDescent="0.25">
      <c r="A514" t="s">
        <v>118</v>
      </c>
      <c r="B514" t="s">
        <v>249</v>
      </c>
      <c r="C514">
        <v>2009</v>
      </c>
      <c r="D514">
        <v>4.7</v>
      </c>
      <c r="E514">
        <v>4.9000000000000004</v>
      </c>
      <c r="F514" t="str">
        <f t="shared" ref="F514:F577" si="8">LOWER($B514)</f>
        <v>solar pv</v>
      </c>
    </row>
    <row r="515" spans="1:6" x14ac:dyDescent="0.25">
      <c r="A515" t="s">
        <v>118</v>
      </c>
      <c r="B515" t="s">
        <v>249</v>
      </c>
      <c r="C515">
        <v>2010</v>
      </c>
      <c r="D515">
        <v>22.9</v>
      </c>
      <c r="E515">
        <v>23</v>
      </c>
      <c r="F515" t="str">
        <f t="shared" si="8"/>
        <v>solar pv</v>
      </c>
    </row>
    <row r="516" spans="1:6" x14ac:dyDescent="0.25">
      <c r="A516" t="s">
        <v>118</v>
      </c>
      <c r="B516" t="s">
        <v>249</v>
      </c>
      <c r="C516">
        <v>2011</v>
      </c>
      <c r="D516">
        <v>43.9</v>
      </c>
      <c r="E516">
        <v>43.9</v>
      </c>
      <c r="F516" t="str">
        <f t="shared" si="8"/>
        <v>solar pv</v>
      </c>
    </row>
    <row r="517" spans="1:6" x14ac:dyDescent="0.25">
      <c r="A517" t="s">
        <v>118</v>
      </c>
      <c r="B517" t="s">
        <v>249</v>
      </c>
      <c r="C517">
        <v>2012</v>
      </c>
      <c r="D517">
        <v>32.799999999999997</v>
      </c>
      <c r="E517">
        <v>32.799999999999997</v>
      </c>
      <c r="F517" t="str">
        <f t="shared" si="8"/>
        <v>solar pv</v>
      </c>
    </row>
    <row r="518" spans="1:6" x14ac:dyDescent="0.25">
      <c r="A518" t="s">
        <v>118</v>
      </c>
      <c r="B518" t="s">
        <v>249</v>
      </c>
      <c r="C518">
        <v>2013</v>
      </c>
      <c r="D518">
        <v>1</v>
      </c>
      <c r="E518">
        <v>1</v>
      </c>
      <c r="F518" t="str">
        <f t="shared" si="8"/>
        <v>solar pv</v>
      </c>
    </row>
    <row r="519" spans="1:6" x14ac:dyDescent="0.25">
      <c r="A519" t="s">
        <v>118</v>
      </c>
      <c r="B519" t="s">
        <v>249</v>
      </c>
      <c r="C519">
        <v>2014</v>
      </c>
      <c r="D519">
        <v>4.7</v>
      </c>
      <c r="E519">
        <v>4.7</v>
      </c>
      <c r="F519" t="str">
        <f t="shared" si="8"/>
        <v>solar pv</v>
      </c>
    </row>
    <row r="520" spans="1:6" x14ac:dyDescent="0.25">
      <c r="A520" t="s">
        <v>118</v>
      </c>
      <c r="B520" t="s">
        <v>249</v>
      </c>
      <c r="C520">
        <v>2015</v>
      </c>
      <c r="D520">
        <v>65.900000000000006</v>
      </c>
      <c r="E520">
        <v>65.900000000000006</v>
      </c>
      <c r="F520" t="str">
        <f t="shared" si="8"/>
        <v>solar pv</v>
      </c>
    </row>
    <row r="521" spans="1:6" x14ac:dyDescent="0.25">
      <c r="A521" t="s">
        <v>118</v>
      </c>
      <c r="B521" t="s">
        <v>249</v>
      </c>
      <c r="C521">
        <v>2016</v>
      </c>
      <c r="D521">
        <v>226.8</v>
      </c>
      <c r="E521">
        <v>226.8</v>
      </c>
      <c r="F521" t="str">
        <f t="shared" si="8"/>
        <v>solar pv</v>
      </c>
    </row>
    <row r="522" spans="1:6" x14ac:dyDescent="0.25">
      <c r="A522" t="s">
        <v>118</v>
      </c>
      <c r="B522" t="s">
        <v>249</v>
      </c>
      <c r="C522">
        <v>2017</v>
      </c>
      <c r="D522">
        <v>41.4</v>
      </c>
      <c r="E522">
        <v>41.4</v>
      </c>
      <c r="F522" t="str">
        <f t="shared" si="8"/>
        <v>solar pv</v>
      </c>
    </row>
    <row r="523" spans="1:6" x14ac:dyDescent="0.25">
      <c r="A523" t="s">
        <v>118</v>
      </c>
      <c r="B523" t="s">
        <v>249</v>
      </c>
      <c r="C523">
        <v>2018</v>
      </c>
      <c r="D523">
        <v>70.5</v>
      </c>
      <c r="E523">
        <v>70.5</v>
      </c>
      <c r="F523" t="str">
        <f t="shared" si="8"/>
        <v>solar pv</v>
      </c>
    </row>
    <row r="524" spans="1:6" x14ac:dyDescent="0.25">
      <c r="A524" t="s">
        <v>118</v>
      </c>
      <c r="B524" t="s">
        <v>249</v>
      </c>
      <c r="C524">
        <v>2019</v>
      </c>
      <c r="D524">
        <v>74.599999999999994</v>
      </c>
      <c r="E524">
        <v>74.599999999999994</v>
      </c>
      <c r="F524" t="str">
        <f t="shared" si="8"/>
        <v>solar pv</v>
      </c>
    </row>
    <row r="525" spans="1:6" x14ac:dyDescent="0.25">
      <c r="A525" t="s">
        <v>118</v>
      </c>
      <c r="B525" t="s">
        <v>249</v>
      </c>
      <c r="C525">
        <v>2020</v>
      </c>
      <c r="D525">
        <v>82.4</v>
      </c>
      <c r="E525">
        <v>82.4</v>
      </c>
      <c r="F525" t="str">
        <f t="shared" si="8"/>
        <v>solar pv</v>
      </c>
    </row>
    <row r="526" spans="1:6" x14ac:dyDescent="0.25">
      <c r="A526" t="s">
        <v>118</v>
      </c>
      <c r="B526" t="s">
        <v>249</v>
      </c>
      <c r="C526">
        <v>2021</v>
      </c>
      <c r="D526">
        <v>382.9</v>
      </c>
      <c r="E526">
        <v>382.9</v>
      </c>
      <c r="F526" t="str">
        <f t="shared" si="8"/>
        <v>solar pv</v>
      </c>
    </row>
    <row r="527" spans="1:6" x14ac:dyDescent="0.25">
      <c r="A527" t="s">
        <v>118</v>
      </c>
      <c r="B527" t="s">
        <v>249</v>
      </c>
      <c r="C527">
        <v>2022</v>
      </c>
      <c r="D527">
        <v>226.5</v>
      </c>
      <c r="E527">
        <v>226.5</v>
      </c>
      <c r="F527" t="str">
        <f t="shared" si="8"/>
        <v>solar pv</v>
      </c>
    </row>
    <row r="528" spans="1:6" x14ac:dyDescent="0.25">
      <c r="A528" t="s">
        <v>118</v>
      </c>
      <c r="B528" t="s">
        <v>249</v>
      </c>
      <c r="C528">
        <v>2023</v>
      </c>
      <c r="D528">
        <v>888.12</v>
      </c>
      <c r="E528">
        <v>889.1</v>
      </c>
      <c r="F528" t="str">
        <f t="shared" si="8"/>
        <v>solar pv</v>
      </c>
    </row>
    <row r="529" spans="1:6" x14ac:dyDescent="0.25">
      <c r="A529" t="s">
        <v>118</v>
      </c>
      <c r="B529" t="s">
        <v>249</v>
      </c>
      <c r="C529">
        <v>2024</v>
      </c>
      <c r="D529">
        <v>190</v>
      </c>
      <c r="E529">
        <v>190</v>
      </c>
      <c r="F529" t="str">
        <f t="shared" si="8"/>
        <v>solar pv</v>
      </c>
    </row>
    <row r="530" spans="1:6" x14ac:dyDescent="0.25">
      <c r="A530" t="s">
        <v>118</v>
      </c>
      <c r="B530" t="s">
        <v>249</v>
      </c>
      <c r="C530">
        <v>2025</v>
      </c>
      <c r="D530">
        <v>883.2</v>
      </c>
      <c r="E530">
        <v>873</v>
      </c>
      <c r="F530" t="str">
        <f t="shared" si="8"/>
        <v>solar pv</v>
      </c>
    </row>
    <row r="531" spans="1:6" x14ac:dyDescent="0.25">
      <c r="A531" t="s">
        <v>120</v>
      </c>
      <c r="B531" t="s">
        <v>90</v>
      </c>
      <c r="C531">
        <v>1991</v>
      </c>
      <c r="D531">
        <v>2.9</v>
      </c>
      <c r="E531">
        <v>3</v>
      </c>
      <c r="F531" t="str">
        <f t="shared" si="8"/>
        <v>biomass</v>
      </c>
    </row>
    <row r="532" spans="1:6" x14ac:dyDescent="0.25">
      <c r="A532" t="s">
        <v>120</v>
      </c>
      <c r="B532" t="s">
        <v>90</v>
      </c>
      <c r="C532">
        <v>2008</v>
      </c>
      <c r="D532">
        <v>2.4</v>
      </c>
      <c r="E532">
        <v>2.4</v>
      </c>
      <c r="F532" t="str">
        <f t="shared" si="8"/>
        <v>biomass</v>
      </c>
    </row>
    <row r="533" spans="1:6" x14ac:dyDescent="0.25">
      <c r="A533" t="s">
        <v>120</v>
      </c>
      <c r="B533" t="s">
        <v>90</v>
      </c>
      <c r="C533">
        <v>2013</v>
      </c>
      <c r="D533">
        <v>37.5</v>
      </c>
      <c r="E533">
        <v>43</v>
      </c>
      <c r="F533" t="str">
        <f t="shared" si="8"/>
        <v>biomass</v>
      </c>
    </row>
    <row r="534" spans="1:6" x14ac:dyDescent="0.25">
      <c r="A534" t="s">
        <v>120</v>
      </c>
      <c r="B534" t="s">
        <v>86</v>
      </c>
      <c r="C534">
        <v>1990</v>
      </c>
      <c r="D534">
        <v>2.4</v>
      </c>
      <c r="E534">
        <v>2.5</v>
      </c>
      <c r="F534" t="str">
        <f t="shared" si="8"/>
        <v>hydro</v>
      </c>
    </row>
    <row r="535" spans="1:6" x14ac:dyDescent="0.25">
      <c r="A535" t="s">
        <v>120</v>
      </c>
      <c r="B535" t="s">
        <v>86</v>
      </c>
      <c r="C535">
        <v>1995</v>
      </c>
      <c r="D535">
        <v>1.4</v>
      </c>
      <c r="E535">
        <v>1.5</v>
      </c>
      <c r="F535" t="str">
        <f t="shared" si="8"/>
        <v>hydro</v>
      </c>
    </row>
    <row r="536" spans="1:6" x14ac:dyDescent="0.25">
      <c r="A536" t="s">
        <v>120</v>
      </c>
      <c r="B536" t="s">
        <v>98</v>
      </c>
      <c r="C536">
        <v>1991</v>
      </c>
      <c r="D536">
        <v>16.3</v>
      </c>
      <c r="E536">
        <v>18.3</v>
      </c>
      <c r="F536" t="str">
        <f t="shared" si="8"/>
        <v>municipal solid waste</v>
      </c>
    </row>
    <row r="537" spans="1:6" x14ac:dyDescent="0.25">
      <c r="A537" t="s">
        <v>120</v>
      </c>
      <c r="B537" t="s">
        <v>98</v>
      </c>
      <c r="C537">
        <v>1995</v>
      </c>
      <c r="D537">
        <v>13</v>
      </c>
      <c r="E537">
        <v>14.6</v>
      </c>
      <c r="F537" t="str">
        <f t="shared" si="8"/>
        <v>municipal solid waste</v>
      </c>
    </row>
    <row r="538" spans="1:6" x14ac:dyDescent="0.25">
      <c r="A538" t="s">
        <v>120</v>
      </c>
      <c r="B538" t="s">
        <v>84</v>
      </c>
      <c r="C538">
        <v>1990</v>
      </c>
      <c r="D538">
        <v>51</v>
      </c>
      <c r="E538">
        <v>56</v>
      </c>
      <c r="F538" t="str">
        <f t="shared" si="8"/>
        <v>natural gas combined cycle</v>
      </c>
    </row>
    <row r="539" spans="1:6" x14ac:dyDescent="0.25">
      <c r="A539" t="s">
        <v>120</v>
      </c>
      <c r="B539" t="s">
        <v>84</v>
      </c>
      <c r="C539">
        <v>1998</v>
      </c>
      <c r="D539">
        <v>360</v>
      </c>
      <c r="E539">
        <v>340</v>
      </c>
      <c r="F539" t="str">
        <f t="shared" si="8"/>
        <v>natural gas combined cycle</v>
      </c>
    </row>
    <row r="540" spans="1:6" x14ac:dyDescent="0.25">
      <c r="A540" t="s">
        <v>120</v>
      </c>
      <c r="B540" t="s">
        <v>84</v>
      </c>
      <c r="C540">
        <v>1999</v>
      </c>
      <c r="D540">
        <v>178</v>
      </c>
      <c r="E540">
        <v>180</v>
      </c>
      <c r="F540" t="str">
        <f t="shared" si="8"/>
        <v>natural gas combined cycle</v>
      </c>
    </row>
    <row r="541" spans="1:6" x14ac:dyDescent="0.25">
      <c r="A541" t="s">
        <v>120</v>
      </c>
      <c r="B541" t="s">
        <v>84</v>
      </c>
      <c r="C541">
        <v>2002</v>
      </c>
      <c r="D541">
        <v>828.8</v>
      </c>
      <c r="E541">
        <v>840</v>
      </c>
      <c r="F541" t="str">
        <f t="shared" si="8"/>
        <v>natural gas combined cycle</v>
      </c>
    </row>
    <row r="542" spans="1:6" x14ac:dyDescent="0.25">
      <c r="A542" t="s">
        <v>120</v>
      </c>
      <c r="B542" t="s">
        <v>84</v>
      </c>
      <c r="C542">
        <v>2004</v>
      </c>
      <c r="D542">
        <v>510.15</v>
      </c>
      <c r="E542">
        <v>578</v>
      </c>
      <c r="F542" t="str">
        <f t="shared" si="8"/>
        <v>natural gas combined cycle</v>
      </c>
    </row>
    <row r="543" spans="1:6" x14ac:dyDescent="0.25">
      <c r="A543" t="s">
        <v>120</v>
      </c>
      <c r="B543" t="s">
        <v>84</v>
      </c>
      <c r="C543">
        <v>2006</v>
      </c>
      <c r="D543">
        <v>24.6</v>
      </c>
      <c r="E543">
        <v>25.7</v>
      </c>
      <c r="F543" t="str">
        <f t="shared" si="8"/>
        <v>natural gas combined cycle</v>
      </c>
    </row>
    <row r="544" spans="1:6" x14ac:dyDescent="0.25">
      <c r="A544" t="s">
        <v>120</v>
      </c>
      <c r="B544" t="s">
        <v>84</v>
      </c>
      <c r="C544">
        <v>2008</v>
      </c>
      <c r="D544">
        <v>18.600000000000001</v>
      </c>
      <c r="E544">
        <v>20.2</v>
      </c>
      <c r="F544" t="str">
        <f t="shared" si="8"/>
        <v>natural gas combined cycle</v>
      </c>
    </row>
    <row r="545" spans="1:6" x14ac:dyDescent="0.25">
      <c r="A545" t="s">
        <v>120</v>
      </c>
      <c r="B545" t="s">
        <v>84</v>
      </c>
      <c r="C545">
        <v>2010</v>
      </c>
      <c r="D545">
        <v>12</v>
      </c>
      <c r="E545">
        <v>13.2</v>
      </c>
      <c r="F545" t="str">
        <f t="shared" si="8"/>
        <v>natural gas combined cycle</v>
      </c>
    </row>
    <row r="546" spans="1:6" x14ac:dyDescent="0.25">
      <c r="A546" t="s">
        <v>120</v>
      </c>
      <c r="B546" t="s">
        <v>84</v>
      </c>
      <c r="C546">
        <v>2011</v>
      </c>
      <c r="D546">
        <v>622</v>
      </c>
      <c r="E546">
        <v>693</v>
      </c>
      <c r="F546" t="str">
        <f t="shared" si="8"/>
        <v>natural gas combined cycle</v>
      </c>
    </row>
    <row r="547" spans="1:6" x14ac:dyDescent="0.25">
      <c r="A547" t="s">
        <v>120</v>
      </c>
      <c r="B547" t="s">
        <v>84</v>
      </c>
      <c r="C547">
        <v>2012</v>
      </c>
      <c r="D547">
        <v>13</v>
      </c>
      <c r="E547">
        <v>15</v>
      </c>
      <c r="F547" t="str">
        <f t="shared" si="8"/>
        <v>natural gas combined cycle</v>
      </c>
    </row>
    <row r="548" spans="1:6" x14ac:dyDescent="0.25">
      <c r="A548" t="s">
        <v>120</v>
      </c>
      <c r="B548" t="s">
        <v>84</v>
      </c>
      <c r="C548">
        <v>2016</v>
      </c>
      <c r="D548">
        <v>2.5</v>
      </c>
      <c r="E548">
        <v>3</v>
      </c>
      <c r="F548" t="str">
        <f t="shared" si="8"/>
        <v>natural gas combined cycle</v>
      </c>
    </row>
    <row r="549" spans="1:6" x14ac:dyDescent="0.25">
      <c r="A549" t="s">
        <v>120</v>
      </c>
      <c r="B549" t="s">
        <v>84</v>
      </c>
      <c r="C549">
        <v>2018</v>
      </c>
      <c r="D549">
        <v>743.76</v>
      </c>
      <c r="E549">
        <v>841.5</v>
      </c>
      <c r="F549" t="str">
        <f t="shared" si="8"/>
        <v>natural gas combined cycle</v>
      </c>
    </row>
    <row r="550" spans="1:6" x14ac:dyDescent="0.25">
      <c r="A550" t="s">
        <v>120</v>
      </c>
      <c r="B550" t="s">
        <v>84</v>
      </c>
      <c r="C550">
        <v>2019</v>
      </c>
      <c r="D550">
        <v>496.2</v>
      </c>
      <c r="E550">
        <v>576.29999999999995</v>
      </c>
      <c r="F550" t="str">
        <f t="shared" si="8"/>
        <v>natural gas combined cycle</v>
      </c>
    </row>
    <row r="551" spans="1:6" x14ac:dyDescent="0.25">
      <c r="A551" t="s">
        <v>120</v>
      </c>
      <c r="B551" t="s">
        <v>93</v>
      </c>
      <c r="C551">
        <v>1992</v>
      </c>
      <c r="D551">
        <v>30.4</v>
      </c>
      <c r="E551">
        <v>28.4</v>
      </c>
      <c r="F551" t="str">
        <f t="shared" si="8"/>
        <v>natural gas peaker</v>
      </c>
    </row>
    <row r="552" spans="1:6" x14ac:dyDescent="0.25">
      <c r="A552" t="s">
        <v>120</v>
      </c>
      <c r="B552" t="s">
        <v>93</v>
      </c>
      <c r="C552">
        <v>2001</v>
      </c>
      <c r="D552">
        <v>227.84</v>
      </c>
      <c r="E552">
        <v>251.2</v>
      </c>
      <c r="F552" t="str">
        <f t="shared" si="8"/>
        <v>natural gas peaker</v>
      </c>
    </row>
    <row r="553" spans="1:6" x14ac:dyDescent="0.25">
      <c r="A553" t="s">
        <v>120</v>
      </c>
      <c r="B553" t="s">
        <v>93</v>
      </c>
      <c r="C553">
        <v>2002</v>
      </c>
      <c r="D553">
        <v>3.9</v>
      </c>
      <c r="E553">
        <v>3.9</v>
      </c>
      <c r="F553" t="str">
        <f t="shared" si="8"/>
        <v>natural gas peaker</v>
      </c>
    </row>
    <row r="554" spans="1:6" x14ac:dyDescent="0.25">
      <c r="A554" t="s">
        <v>120</v>
      </c>
      <c r="B554" t="s">
        <v>93</v>
      </c>
      <c r="C554">
        <v>2004</v>
      </c>
      <c r="D554">
        <v>2.6</v>
      </c>
      <c r="E554">
        <v>2.6</v>
      </c>
      <c r="F554" t="str">
        <f t="shared" si="8"/>
        <v>natural gas peaker</v>
      </c>
    </row>
    <row r="555" spans="1:6" x14ac:dyDescent="0.25">
      <c r="A555" t="s">
        <v>120</v>
      </c>
      <c r="B555" t="s">
        <v>93</v>
      </c>
      <c r="C555">
        <v>2005</v>
      </c>
      <c r="D555">
        <v>16.5</v>
      </c>
      <c r="E555">
        <v>16.5</v>
      </c>
      <c r="F555" t="str">
        <f t="shared" si="8"/>
        <v>natural gas peaker</v>
      </c>
    </row>
    <row r="556" spans="1:6" x14ac:dyDescent="0.25">
      <c r="A556" t="s">
        <v>120</v>
      </c>
      <c r="B556" t="s">
        <v>93</v>
      </c>
      <c r="C556">
        <v>2007</v>
      </c>
      <c r="D556">
        <v>78.599999999999994</v>
      </c>
      <c r="E556">
        <v>88.5</v>
      </c>
      <c r="F556" t="str">
        <f t="shared" si="8"/>
        <v>natural gas peaker</v>
      </c>
    </row>
    <row r="557" spans="1:6" x14ac:dyDescent="0.25">
      <c r="A557" t="s">
        <v>120</v>
      </c>
      <c r="B557" t="s">
        <v>93</v>
      </c>
      <c r="C557">
        <v>2008</v>
      </c>
      <c r="D557">
        <v>15.3</v>
      </c>
      <c r="E557">
        <v>17.3</v>
      </c>
      <c r="F557" t="str">
        <f t="shared" si="8"/>
        <v>natural gas peaker</v>
      </c>
    </row>
    <row r="558" spans="1:6" x14ac:dyDescent="0.25">
      <c r="A558" t="s">
        <v>120</v>
      </c>
      <c r="B558" t="s">
        <v>93</v>
      </c>
      <c r="C558">
        <v>2009</v>
      </c>
      <c r="D558">
        <v>117.4</v>
      </c>
      <c r="E558">
        <v>120</v>
      </c>
      <c r="F558" t="str">
        <f t="shared" si="8"/>
        <v>natural gas peaker</v>
      </c>
    </row>
    <row r="559" spans="1:6" x14ac:dyDescent="0.25">
      <c r="A559" t="s">
        <v>120</v>
      </c>
      <c r="B559" t="s">
        <v>93</v>
      </c>
      <c r="C559">
        <v>2010</v>
      </c>
      <c r="D559">
        <v>1.9</v>
      </c>
      <c r="E559">
        <v>1.9</v>
      </c>
      <c r="F559" t="str">
        <f t="shared" si="8"/>
        <v>natural gas peaker</v>
      </c>
    </row>
    <row r="560" spans="1:6" x14ac:dyDescent="0.25">
      <c r="A560" t="s">
        <v>120</v>
      </c>
      <c r="B560" t="s">
        <v>93</v>
      </c>
      <c r="C560">
        <v>2011</v>
      </c>
      <c r="D560">
        <v>13.9</v>
      </c>
      <c r="E560">
        <v>13.5</v>
      </c>
      <c r="F560" t="str">
        <f t="shared" si="8"/>
        <v>natural gas peaker</v>
      </c>
    </row>
    <row r="561" spans="1:6" x14ac:dyDescent="0.25">
      <c r="A561" t="s">
        <v>120</v>
      </c>
      <c r="B561" t="s">
        <v>93</v>
      </c>
      <c r="C561">
        <v>2012</v>
      </c>
      <c r="D561">
        <v>1.4</v>
      </c>
      <c r="E561">
        <v>1.4</v>
      </c>
      <c r="F561" t="str">
        <f t="shared" si="8"/>
        <v>natural gas peaker</v>
      </c>
    </row>
    <row r="562" spans="1:6" x14ac:dyDescent="0.25">
      <c r="A562" t="s">
        <v>120</v>
      </c>
      <c r="B562" t="s">
        <v>93</v>
      </c>
      <c r="C562">
        <v>2013</v>
      </c>
      <c r="D562">
        <v>14.1</v>
      </c>
      <c r="E562">
        <v>17</v>
      </c>
      <c r="F562" t="str">
        <f t="shared" si="8"/>
        <v>natural gas peaker</v>
      </c>
    </row>
    <row r="563" spans="1:6" x14ac:dyDescent="0.25">
      <c r="A563" t="s">
        <v>120</v>
      </c>
      <c r="B563" t="s">
        <v>93</v>
      </c>
      <c r="C563">
        <v>2014</v>
      </c>
      <c r="D563">
        <v>2.4</v>
      </c>
      <c r="E563">
        <v>2.5</v>
      </c>
      <c r="F563" t="str">
        <f t="shared" si="8"/>
        <v>natural gas peaker</v>
      </c>
    </row>
    <row r="564" spans="1:6" x14ac:dyDescent="0.25">
      <c r="A564" t="s">
        <v>120</v>
      </c>
      <c r="B564" t="s">
        <v>93</v>
      </c>
      <c r="C564">
        <v>2015</v>
      </c>
      <c r="D564">
        <v>8.9</v>
      </c>
      <c r="E564">
        <v>10</v>
      </c>
      <c r="F564" t="str">
        <f t="shared" si="8"/>
        <v>natural gas peaker</v>
      </c>
    </row>
    <row r="565" spans="1:6" x14ac:dyDescent="0.25">
      <c r="A565" t="s">
        <v>120</v>
      </c>
      <c r="B565" t="s">
        <v>93</v>
      </c>
      <c r="C565">
        <v>2016</v>
      </c>
      <c r="D565">
        <v>11.9</v>
      </c>
      <c r="E565">
        <v>13.5</v>
      </c>
      <c r="F565" t="str">
        <f t="shared" si="8"/>
        <v>natural gas peaker</v>
      </c>
    </row>
    <row r="566" spans="1:6" x14ac:dyDescent="0.25">
      <c r="A566" t="s">
        <v>120</v>
      </c>
      <c r="B566" t="s">
        <v>93</v>
      </c>
      <c r="C566">
        <v>2018</v>
      </c>
      <c r="D566">
        <v>95.7</v>
      </c>
      <c r="E566">
        <v>104.4</v>
      </c>
      <c r="F566" t="str">
        <f t="shared" si="8"/>
        <v>natural gas peaker</v>
      </c>
    </row>
    <row r="567" spans="1:6" x14ac:dyDescent="0.25">
      <c r="A567" t="s">
        <v>120</v>
      </c>
      <c r="B567" t="s">
        <v>93</v>
      </c>
      <c r="C567">
        <v>2019</v>
      </c>
      <c r="D567">
        <v>4.9000000000000004</v>
      </c>
      <c r="E567">
        <v>4.9000000000000004</v>
      </c>
      <c r="F567" t="str">
        <f t="shared" si="8"/>
        <v>natural gas peaker</v>
      </c>
    </row>
    <row r="568" spans="1:6" x14ac:dyDescent="0.25">
      <c r="A568" t="s">
        <v>120</v>
      </c>
      <c r="B568" t="s">
        <v>93</v>
      </c>
      <c r="C568">
        <v>2020</v>
      </c>
      <c r="D568">
        <v>9.5</v>
      </c>
      <c r="E568">
        <v>9.5</v>
      </c>
      <c r="F568" t="str">
        <f t="shared" si="8"/>
        <v>natural gas peaker</v>
      </c>
    </row>
    <row r="569" spans="1:6" x14ac:dyDescent="0.25">
      <c r="A569" t="s">
        <v>120</v>
      </c>
      <c r="B569" t="s">
        <v>93</v>
      </c>
      <c r="C569">
        <v>2021</v>
      </c>
      <c r="D569">
        <v>10</v>
      </c>
      <c r="E569">
        <v>10</v>
      </c>
      <c r="F569" t="str">
        <f t="shared" si="8"/>
        <v>natural gas peaker</v>
      </c>
    </row>
    <row r="570" spans="1:6" x14ac:dyDescent="0.25">
      <c r="A570" t="s">
        <v>120</v>
      </c>
      <c r="B570" t="s">
        <v>93</v>
      </c>
      <c r="C570">
        <v>2022</v>
      </c>
      <c r="D570">
        <v>16.600000000000001</v>
      </c>
      <c r="E570">
        <v>16.600000000000001</v>
      </c>
      <c r="F570" t="str">
        <f t="shared" si="8"/>
        <v>natural gas peaker</v>
      </c>
    </row>
    <row r="571" spans="1:6" x14ac:dyDescent="0.25">
      <c r="A571" t="s">
        <v>120</v>
      </c>
      <c r="B571" t="s">
        <v>93</v>
      </c>
      <c r="C571">
        <v>2023</v>
      </c>
      <c r="D571">
        <v>2.7</v>
      </c>
      <c r="E571">
        <v>2.7</v>
      </c>
      <c r="F571" t="str">
        <f t="shared" si="8"/>
        <v>natural gas peaker</v>
      </c>
    </row>
    <row r="572" spans="1:6" x14ac:dyDescent="0.25">
      <c r="A572" t="s">
        <v>120</v>
      </c>
      <c r="B572" t="s">
        <v>93</v>
      </c>
      <c r="C572">
        <v>2024</v>
      </c>
      <c r="D572">
        <v>14</v>
      </c>
      <c r="E572">
        <v>14</v>
      </c>
      <c r="F572" t="str">
        <f t="shared" si="8"/>
        <v>natural gas peaker</v>
      </c>
    </row>
    <row r="573" spans="1:6" x14ac:dyDescent="0.25">
      <c r="A573" t="s">
        <v>120</v>
      </c>
      <c r="B573" t="s">
        <v>83</v>
      </c>
      <c r="C573">
        <v>1994</v>
      </c>
      <c r="D573">
        <v>5</v>
      </c>
      <c r="E573">
        <v>10</v>
      </c>
      <c r="F573" t="str">
        <f t="shared" si="8"/>
        <v>natural gas steam turbine</v>
      </c>
    </row>
    <row r="574" spans="1:6" x14ac:dyDescent="0.25">
      <c r="A574" t="s">
        <v>120</v>
      </c>
      <c r="B574" t="s">
        <v>83</v>
      </c>
      <c r="C574">
        <v>2001</v>
      </c>
      <c r="D574">
        <v>7.5</v>
      </c>
      <c r="E574">
        <v>7.5</v>
      </c>
      <c r="F574" t="str">
        <f t="shared" si="8"/>
        <v>natural gas steam turbine</v>
      </c>
    </row>
    <row r="575" spans="1:6" x14ac:dyDescent="0.25">
      <c r="A575" t="s">
        <v>120</v>
      </c>
      <c r="B575" t="s">
        <v>83</v>
      </c>
      <c r="C575">
        <v>2021</v>
      </c>
      <c r="D575">
        <v>0.55000000000000004</v>
      </c>
      <c r="E575">
        <v>0.6</v>
      </c>
      <c r="F575" t="str">
        <f t="shared" si="8"/>
        <v>natural gas steam turbine</v>
      </c>
    </row>
    <row r="576" spans="1:6" x14ac:dyDescent="0.25">
      <c r="A576" t="s">
        <v>120</v>
      </c>
      <c r="B576" t="s">
        <v>87</v>
      </c>
      <c r="C576">
        <v>2015</v>
      </c>
      <c r="D576">
        <v>5</v>
      </c>
      <c r="E576">
        <v>5</v>
      </c>
      <c r="F576" t="str">
        <f t="shared" si="8"/>
        <v>onshore wind</v>
      </c>
    </row>
    <row r="577" spans="1:6" x14ac:dyDescent="0.25">
      <c r="A577" t="s">
        <v>120</v>
      </c>
      <c r="B577" t="s">
        <v>92</v>
      </c>
      <c r="C577">
        <v>1993</v>
      </c>
      <c r="D577">
        <v>0.7</v>
      </c>
      <c r="E577">
        <v>0.7</v>
      </c>
      <c r="F577" t="str">
        <f t="shared" si="8"/>
        <v>petroleum</v>
      </c>
    </row>
    <row r="578" spans="1:6" x14ac:dyDescent="0.25">
      <c r="A578" t="s">
        <v>120</v>
      </c>
      <c r="B578" t="s">
        <v>92</v>
      </c>
      <c r="C578">
        <v>1996</v>
      </c>
      <c r="D578">
        <v>118</v>
      </c>
      <c r="E578">
        <v>204</v>
      </c>
      <c r="F578" t="str">
        <f t="shared" ref="F578:F641" si="9">LOWER($B578)</f>
        <v>petroleum</v>
      </c>
    </row>
    <row r="579" spans="1:6" x14ac:dyDescent="0.25">
      <c r="A579" t="s">
        <v>120</v>
      </c>
      <c r="B579" t="s">
        <v>92</v>
      </c>
      <c r="C579">
        <v>2001</v>
      </c>
      <c r="D579">
        <v>2</v>
      </c>
      <c r="E579">
        <v>2</v>
      </c>
      <c r="F579" t="str">
        <f t="shared" si="9"/>
        <v>petroleum</v>
      </c>
    </row>
    <row r="580" spans="1:6" x14ac:dyDescent="0.25">
      <c r="A580" t="s">
        <v>120</v>
      </c>
      <c r="B580" t="s">
        <v>92</v>
      </c>
      <c r="C580">
        <v>2002</v>
      </c>
      <c r="D580">
        <v>0.8</v>
      </c>
      <c r="E580">
        <v>0.8</v>
      </c>
      <c r="F580" t="str">
        <f t="shared" si="9"/>
        <v>petroleum</v>
      </c>
    </row>
    <row r="581" spans="1:6" x14ac:dyDescent="0.25">
      <c r="A581" t="s">
        <v>120</v>
      </c>
      <c r="B581" t="s">
        <v>92</v>
      </c>
      <c r="C581">
        <v>2003</v>
      </c>
      <c r="D581">
        <v>46.4</v>
      </c>
      <c r="E581">
        <v>46.4</v>
      </c>
      <c r="F581" t="str">
        <f t="shared" si="9"/>
        <v>petroleum</v>
      </c>
    </row>
    <row r="582" spans="1:6" x14ac:dyDescent="0.25">
      <c r="A582" t="s">
        <v>120</v>
      </c>
      <c r="B582" t="s">
        <v>92</v>
      </c>
      <c r="C582">
        <v>2004</v>
      </c>
      <c r="D582">
        <v>75.8</v>
      </c>
      <c r="E582">
        <v>75.599999999999994</v>
      </c>
      <c r="F582" t="str">
        <f t="shared" si="9"/>
        <v>petroleum</v>
      </c>
    </row>
    <row r="583" spans="1:6" x14ac:dyDescent="0.25">
      <c r="A583" t="s">
        <v>120</v>
      </c>
      <c r="B583" t="s">
        <v>92</v>
      </c>
      <c r="C583">
        <v>2005</v>
      </c>
      <c r="D583">
        <v>2</v>
      </c>
      <c r="E583">
        <v>1.8</v>
      </c>
      <c r="F583" t="str">
        <f t="shared" si="9"/>
        <v>petroleum</v>
      </c>
    </row>
    <row r="584" spans="1:6" x14ac:dyDescent="0.25">
      <c r="A584" t="s">
        <v>120</v>
      </c>
      <c r="B584" t="s">
        <v>92</v>
      </c>
      <c r="C584">
        <v>2006</v>
      </c>
      <c r="D584">
        <v>29.3</v>
      </c>
      <c r="E584">
        <v>28.8</v>
      </c>
      <c r="F584" t="str">
        <f t="shared" si="9"/>
        <v>petroleum</v>
      </c>
    </row>
    <row r="585" spans="1:6" x14ac:dyDescent="0.25">
      <c r="A585" t="s">
        <v>120</v>
      </c>
      <c r="B585" t="s">
        <v>92</v>
      </c>
      <c r="C585">
        <v>2007</v>
      </c>
      <c r="D585">
        <v>2.5</v>
      </c>
      <c r="E585">
        <v>2.2999999999999998</v>
      </c>
      <c r="F585" t="str">
        <f t="shared" si="9"/>
        <v>petroleum</v>
      </c>
    </row>
    <row r="586" spans="1:6" x14ac:dyDescent="0.25">
      <c r="A586" t="s">
        <v>120</v>
      </c>
      <c r="B586" t="s">
        <v>92</v>
      </c>
      <c r="C586">
        <v>2008</v>
      </c>
      <c r="D586">
        <v>38.700000000000003</v>
      </c>
      <c r="E586">
        <v>40</v>
      </c>
      <c r="F586" t="str">
        <f t="shared" si="9"/>
        <v>petroleum</v>
      </c>
    </row>
    <row r="587" spans="1:6" x14ac:dyDescent="0.25">
      <c r="A587" t="s">
        <v>120</v>
      </c>
      <c r="B587" t="s">
        <v>92</v>
      </c>
      <c r="C587">
        <v>2010</v>
      </c>
      <c r="D587">
        <v>233.5</v>
      </c>
      <c r="E587">
        <v>281</v>
      </c>
      <c r="F587" t="str">
        <f t="shared" si="9"/>
        <v>petroleum</v>
      </c>
    </row>
    <row r="588" spans="1:6" x14ac:dyDescent="0.25">
      <c r="A588" t="s">
        <v>120</v>
      </c>
      <c r="B588" t="s">
        <v>92</v>
      </c>
      <c r="C588">
        <v>2011</v>
      </c>
      <c r="D588">
        <v>187.6</v>
      </c>
      <c r="E588">
        <v>242</v>
      </c>
      <c r="F588" t="str">
        <f t="shared" si="9"/>
        <v>petroleum</v>
      </c>
    </row>
    <row r="589" spans="1:6" x14ac:dyDescent="0.25">
      <c r="A589" t="s">
        <v>120</v>
      </c>
      <c r="B589" t="s">
        <v>92</v>
      </c>
      <c r="C589">
        <v>2012</v>
      </c>
      <c r="D589">
        <v>129.9</v>
      </c>
      <c r="E589">
        <v>181.8</v>
      </c>
      <c r="F589" t="str">
        <f t="shared" si="9"/>
        <v>petroleum</v>
      </c>
    </row>
    <row r="590" spans="1:6" x14ac:dyDescent="0.25">
      <c r="A590" t="s">
        <v>120</v>
      </c>
      <c r="B590" t="s">
        <v>92</v>
      </c>
      <c r="C590">
        <v>2014</v>
      </c>
      <c r="D590">
        <v>15</v>
      </c>
      <c r="E590">
        <v>15.4</v>
      </c>
      <c r="F590" t="str">
        <f t="shared" si="9"/>
        <v>petroleum</v>
      </c>
    </row>
    <row r="591" spans="1:6" x14ac:dyDescent="0.25">
      <c r="A591" t="s">
        <v>120</v>
      </c>
      <c r="B591" t="s">
        <v>249</v>
      </c>
      <c r="C591">
        <v>2010</v>
      </c>
      <c r="D591">
        <v>0.08</v>
      </c>
      <c r="E591">
        <v>0.1</v>
      </c>
      <c r="F591" t="str">
        <f t="shared" si="9"/>
        <v>solar pv</v>
      </c>
    </row>
    <row r="592" spans="1:6" x14ac:dyDescent="0.25">
      <c r="A592" t="s">
        <v>120</v>
      </c>
      <c r="B592" t="s">
        <v>249</v>
      </c>
      <c r="C592">
        <v>2012</v>
      </c>
      <c r="D592">
        <v>0.8</v>
      </c>
      <c r="E592">
        <v>0.8</v>
      </c>
      <c r="F592" t="str">
        <f t="shared" si="9"/>
        <v>solar pv</v>
      </c>
    </row>
    <row r="593" spans="1:6" x14ac:dyDescent="0.25">
      <c r="A593" t="s">
        <v>120</v>
      </c>
      <c r="B593" t="s">
        <v>249</v>
      </c>
      <c r="C593">
        <v>2013</v>
      </c>
      <c r="D593">
        <v>5</v>
      </c>
      <c r="E593">
        <v>5</v>
      </c>
      <c r="F593" t="str">
        <f t="shared" si="9"/>
        <v>solar pv</v>
      </c>
    </row>
    <row r="594" spans="1:6" x14ac:dyDescent="0.25">
      <c r="A594" t="s">
        <v>120</v>
      </c>
      <c r="B594" t="s">
        <v>249</v>
      </c>
      <c r="C594">
        <v>2014</v>
      </c>
      <c r="D594">
        <v>6</v>
      </c>
      <c r="E594">
        <v>6</v>
      </c>
      <c r="F594" t="str">
        <f t="shared" si="9"/>
        <v>solar pv</v>
      </c>
    </row>
    <row r="595" spans="1:6" x14ac:dyDescent="0.25">
      <c r="A595" t="s">
        <v>120</v>
      </c>
      <c r="B595" t="s">
        <v>249</v>
      </c>
      <c r="C595">
        <v>2016</v>
      </c>
      <c r="D595">
        <v>14</v>
      </c>
      <c r="E595">
        <v>14.2</v>
      </c>
      <c r="F595" t="str">
        <f t="shared" si="9"/>
        <v>solar pv</v>
      </c>
    </row>
    <row r="596" spans="1:6" x14ac:dyDescent="0.25">
      <c r="A596" t="s">
        <v>120</v>
      </c>
      <c r="B596" t="s">
        <v>249</v>
      </c>
      <c r="C596">
        <v>2017</v>
      </c>
      <c r="D596">
        <v>14.4</v>
      </c>
      <c r="E596">
        <v>14.9</v>
      </c>
      <c r="F596" t="str">
        <f t="shared" si="9"/>
        <v>solar pv</v>
      </c>
    </row>
    <row r="597" spans="1:6" x14ac:dyDescent="0.25">
      <c r="A597" t="s">
        <v>120</v>
      </c>
      <c r="B597" t="s">
        <v>249</v>
      </c>
      <c r="C597">
        <v>2018</v>
      </c>
      <c r="D597">
        <v>56.3</v>
      </c>
      <c r="E597">
        <v>56.3</v>
      </c>
      <c r="F597" t="str">
        <f t="shared" si="9"/>
        <v>solar pv</v>
      </c>
    </row>
    <row r="598" spans="1:6" x14ac:dyDescent="0.25">
      <c r="A598" t="s">
        <v>120</v>
      </c>
      <c r="B598" t="s">
        <v>249</v>
      </c>
      <c r="C598">
        <v>2019</v>
      </c>
      <c r="D598">
        <v>42.4</v>
      </c>
      <c r="E598">
        <v>42.4</v>
      </c>
      <c r="F598" t="str">
        <f t="shared" si="9"/>
        <v>solar pv</v>
      </c>
    </row>
    <row r="599" spans="1:6" x14ac:dyDescent="0.25">
      <c r="A599" t="s">
        <v>120</v>
      </c>
      <c r="B599" t="s">
        <v>249</v>
      </c>
      <c r="C599">
        <v>2020</v>
      </c>
      <c r="D599">
        <v>27.6</v>
      </c>
      <c r="E599">
        <v>27.6</v>
      </c>
      <c r="F599" t="str">
        <f t="shared" si="9"/>
        <v>solar pv</v>
      </c>
    </row>
    <row r="600" spans="1:6" x14ac:dyDescent="0.25">
      <c r="A600" t="s">
        <v>120</v>
      </c>
      <c r="B600" t="s">
        <v>249</v>
      </c>
      <c r="C600">
        <v>2021</v>
      </c>
      <c r="D600">
        <v>90.1</v>
      </c>
      <c r="E600">
        <v>90.1</v>
      </c>
      <c r="F600" t="str">
        <f t="shared" si="9"/>
        <v>solar pv</v>
      </c>
    </row>
    <row r="601" spans="1:6" x14ac:dyDescent="0.25">
      <c r="A601" t="s">
        <v>120</v>
      </c>
      <c r="B601" t="s">
        <v>249</v>
      </c>
      <c r="C601">
        <v>2022</v>
      </c>
      <c r="D601">
        <v>30</v>
      </c>
      <c r="E601">
        <v>30</v>
      </c>
      <c r="F601" t="str">
        <f t="shared" si="9"/>
        <v>solar pv</v>
      </c>
    </row>
    <row r="602" spans="1:6" x14ac:dyDescent="0.25">
      <c r="A602" t="s">
        <v>120</v>
      </c>
      <c r="B602" t="s">
        <v>249</v>
      </c>
      <c r="C602">
        <v>2023</v>
      </c>
      <c r="D602">
        <v>4.5</v>
      </c>
      <c r="E602">
        <v>4.5</v>
      </c>
      <c r="F602" t="str">
        <f t="shared" si="9"/>
        <v>solar pv</v>
      </c>
    </row>
    <row r="603" spans="1:6" x14ac:dyDescent="0.25">
      <c r="A603" t="s">
        <v>120</v>
      </c>
      <c r="B603" t="s">
        <v>249</v>
      </c>
      <c r="C603">
        <v>2024</v>
      </c>
      <c r="D603">
        <v>32.9</v>
      </c>
      <c r="E603">
        <v>32.9</v>
      </c>
      <c r="F603" t="str">
        <f t="shared" si="9"/>
        <v>solar pv</v>
      </c>
    </row>
    <row r="604" spans="1:6" x14ac:dyDescent="0.25">
      <c r="A604" t="s">
        <v>120</v>
      </c>
      <c r="B604" t="s">
        <v>249</v>
      </c>
      <c r="C604">
        <v>2025</v>
      </c>
      <c r="D604">
        <v>167.9</v>
      </c>
      <c r="E604">
        <v>167.9</v>
      </c>
      <c r="F604" t="str">
        <f t="shared" si="9"/>
        <v>solar pv</v>
      </c>
    </row>
    <row r="605" spans="1:6" x14ac:dyDescent="0.25">
      <c r="A605" t="s">
        <v>250</v>
      </c>
      <c r="B605" t="s">
        <v>90</v>
      </c>
      <c r="C605">
        <v>2015</v>
      </c>
      <c r="D605">
        <v>12</v>
      </c>
      <c r="E605">
        <v>14.1</v>
      </c>
      <c r="F605" t="str">
        <f t="shared" si="9"/>
        <v>biomass</v>
      </c>
    </row>
    <row r="606" spans="1:6" x14ac:dyDescent="0.25">
      <c r="A606" t="s">
        <v>250</v>
      </c>
      <c r="B606" t="s">
        <v>93</v>
      </c>
      <c r="C606">
        <v>2004</v>
      </c>
      <c r="D606">
        <v>9</v>
      </c>
      <c r="E606">
        <v>10.8</v>
      </c>
      <c r="F606" t="str">
        <f t="shared" si="9"/>
        <v>natural gas peaker</v>
      </c>
    </row>
    <row r="607" spans="1:6" x14ac:dyDescent="0.25">
      <c r="A607" t="s">
        <v>250</v>
      </c>
      <c r="B607" t="s">
        <v>93</v>
      </c>
      <c r="C607">
        <v>2016</v>
      </c>
      <c r="D607">
        <v>4.0999999999999996</v>
      </c>
      <c r="E607">
        <v>4.5999999999999996</v>
      </c>
      <c r="F607" t="str">
        <f t="shared" si="9"/>
        <v>natural gas peaker</v>
      </c>
    </row>
    <row r="608" spans="1:6" x14ac:dyDescent="0.25">
      <c r="A608" t="s">
        <v>250</v>
      </c>
      <c r="B608" t="s">
        <v>93</v>
      </c>
      <c r="C608">
        <v>2018</v>
      </c>
      <c r="D608">
        <v>7.5</v>
      </c>
      <c r="E608">
        <v>7.5</v>
      </c>
      <c r="F608" t="str">
        <f t="shared" si="9"/>
        <v>natural gas peaker</v>
      </c>
    </row>
    <row r="609" spans="1:6" x14ac:dyDescent="0.25">
      <c r="A609" t="s">
        <v>250</v>
      </c>
      <c r="B609" t="s">
        <v>249</v>
      </c>
      <c r="C609">
        <v>2019</v>
      </c>
      <c r="D609">
        <v>7.84</v>
      </c>
      <c r="E609">
        <v>7.8</v>
      </c>
      <c r="F609" t="str">
        <f t="shared" si="9"/>
        <v>solar pv</v>
      </c>
    </row>
    <row r="610" spans="1:6" x14ac:dyDescent="0.25">
      <c r="A610" t="s">
        <v>250</v>
      </c>
      <c r="B610" t="s">
        <v>249</v>
      </c>
      <c r="C610">
        <v>2020</v>
      </c>
      <c r="D610">
        <v>2.6</v>
      </c>
      <c r="E610">
        <v>2.6</v>
      </c>
      <c r="F610" t="str">
        <f t="shared" si="9"/>
        <v>solar pv</v>
      </c>
    </row>
    <row r="611" spans="1:6" x14ac:dyDescent="0.25">
      <c r="A611" t="s">
        <v>250</v>
      </c>
      <c r="B611" t="s">
        <v>249</v>
      </c>
      <c r="C611">
        <v>2021</v>
      </c>
      <c r="D611">
        <v>9.31</v>
      </c>
      <c r="E611">
        <v>9.3000000000000007</v>
      </c>
      <c r="F611" t="str">
        <f t="shared" si="9"/>
        <v>solar pv</v>
      </c>
    </row>
    <row r="612" spans="1:6" x14ac:dyDescent="0.25">
      <c r="A612" t="s">
        <v>250</v>
      </c>
      <c r="B612" t="s">
        <v>249</v>
      </c>
      <c r="C612">
        <v>2022</v>
      </c>
      <c r="D612">
        <v>1.2</v>
      </c>
      <c r="E612">
        <v>1.2</v>
      </c>
      <c r="F612" t="str">
        <f t="shared" si="9"/>
        <v>solar pv</v>
      </c>
    </row>
    <row r="613" spans="1:6" x14ac:dyDescent="0.25">
      <c r="A613" t="s">
        <v>250</v>
      </c>
      <c r="B613" t="s">
        <v>249</v>
      </c>
      <c r="C613">
        <v>2023</v>
      </c>
      <c r="D613">
        <v>1.1000000000000001</v>
      </c>
      <c r="E613">
        <v>1.1000000000000001</v>
      </c>
      <c r="F613" t="str">
        <f t="shared" si="9"/>
        <v>solar pv</v>
      </c>
    </row>
    <row r="614" spans="1:6" x14ac:dyDescent="0.25">
      <c r="A614" t="s">
        <v>250</v>
      </c>
      <c r="B614" t="s">
        <v>249</v>
      </c>
      <c r="C614">
        <v>2024</v>
      </c>
      <c r="D614">
        <v>5.8</v>
      </c>
      <c r="E614">
        <v>5.8</v>
      </c>
      <c r="F614" t="str">
        <f t="shared" si="9"/>
        <v>solar pv</v>
      </c>
    </row>
    <row r="615" spans="1:6" x14ac:dyDescent="0.25">
      <c r="A615" t="s">
        <v>250</v>
      </c>
      <c r="B615" t="s">
        <v>249</v>
      </c>
      <c r="C615">
        <v>2025</v>
      </c>
      <c r="D615">
        <v>6.8</v>
      </c>
      <c r="E615">
        <v>7.4</v>
      </c>
      <c r="F615" t="str">
        <f t="shared" si="9"/>
        <v>solar pv</v>
      </c>
    </row>
    <row r="616" spans="1:6" x14ac:dyDescent="0.25">
      <c r="A616" t="s">
        <v>122</v>
      </c>
      <c r="B616" t="s">
        <v>90</v>
      </c>
      <c r="C616">
        <v>2006</v>
      </c>
      <c r="D616">
        <v>7</v>
      </c>
      <c r="E616">
        <v>7</v>
      </c>
      <c r="F616" t="str">
        <f t="shared" si="9"/>
        <v>biomass</v>
      </c>
    </row>
    <row r="617" spans="1:6" x14ac:dyDescent="0.25">
      <c r="A617" t="s">
        <v>122</v>
      </c>
      <c r="B617" t="s">
        <v>90</v>
      </c>
      <c r="C617">
        <v>2010</v>
      </c>
      <c r="D617">
        <v>1</v>
      </c>
      <c r="E617">
        <v>1</v>
      </c>
      <c r="F617" t="str">
        <f t="shared" si="9"/>
        <v>biomass</v>
      </c>
    </row>
    <row r="618" spans="1:6" x14ac:dyDescent="0.25">
      <c r="A618" t="s">
        <v>122</v>
      </c>
      <c r="B618" t="s">
        <v>90</v>
      </c>
      <c r="C618">
        <v>2013</v>
      </c>
      <c r="D618">
        <v>2.2000000000000002</v>
      </c>
      <c r="E618">
        <v>2.2000000000000002</v>
      </c>
      <c r="F618" t="str">
        <f t="shared" si="9"/>
        <v>biomass</v>
      </c>
    </row>
    <row r="619" spans="1:6" x14ac:dyDescent="0.25">
      <c r="A619" t="s">
        <v>122</v>
      </c>
      <c r="B619" t="s">
        <v>90</v>
      </c>
      <c r="C619">
        <v>2014</v>
      </c>
      <c r="D619">
        <v>2</v>
      </c>
      <c r="E619">
        <v>2</v>
      </c>
      <c r="F619" t="str">
        <f t="shared" si="9"/>
        <v>biomass</v>
      </c>
    </row>
    <row r="620" spans="1:6" x14ac:dyDescent="0.25">
      <c r="A620" t="s">
        <v>122</v>
      </c>
      <c r="B620" t="s">
        <v>90</v>
      </c>
      <c r="C620">
        <v>2021</v>
      </c>
      <c r="D620">
        <v>2</v>
      </c>
      <c r="E620">
        <v>2</v>
      </c>
      <c r="F620" t="str">
        <f t="shared" si="9"/>
        <v>biomass</v>
      </c>
    </row>
    <row r="621" spans="1:6" x14ac:dyDescent="0.25">
      <c r="A621" t="s">
        <v>122</v>
      </c>
      <c r="B621" t="s">
        <v>84</v>
      </c>
      <c r="C621">
        <v>1991</v>
      </c>
      <c r="D621">
        <v>124</v>
      </c>
      <c r="E621">
        <v>122</v>
      </c>
      <c r="F621" t="str">
        <f t="shared" si="9"/>
        <v>natural gas combined cycle</v>
      </c>
    </row>
    <row r="622" spans="1:6" x14ac:dyDescent="0.25">
      <c r="A622" t="s">
        <v>122</v>
      </c>
      <c r="B622" t="s">
        <v>84</v>
      </c>
      <c r="C622">
        <v>1993</v>
      </c>
      <c r="D622">
        <v>192</v>
      </c>
      <c r="E622">
        <v>207</v>
      </c>
      <c r="F622" t="str">
        <f t="shared" si="9"/>
        <v>natural gas combined cycle</v>
      </c>
    </row>
    <row r="623" spans="1:6" x14ac:dyDescent="0.25">
      <c r="A623" t="s">
        <v>122</v>
      </c>
      <c r="B623" t="s">
        <v>84</v>
      </c>
      <c r="C623">
        <v>2001</v>
      </c>
      <c r="D623">
        <v>416</v>
      </c>
      <c r="E623">
        <v>417.2</v>
      </c>
      <c r="F623" t="str">
        <f t="shared" si="9"/>
        <v>natural gas combined cycle</v>
      </c>
    </row>
    <row r="624" spans="1:6" x14ac:dyDescent="0.25">
      <c r="A624" t="s">
        <v>122</v>
      </c>
      <c r="B624" t="s">
        <v>84</v>
      </c>
      <c r="C624">
        <v>2002</v>
      </c>
      <c r="D624">
        <v>192</v>
      </c>
      <c r="E624">
        <v>195</v>
      </c>
      <c r="F624" t="str">
        <f t="shared" si="9"/>
        <v>natural gas combined cycle</v>
      </c>
    </row>
    <row r="625" spans="1:6" x14ac:dyDescent="0.25">
      <c r="A625" t="s">
        <v>122</v>
      </c>
      <c r="B625" t="s">
        <v>84</v>
      </c>
      <c r="C625">
        <v>2015</v>
      </c>
      <c r="D625">
        <v>309</v>
      </c>
      <c r="E625">
        <v>361</v>
      </c>
      <c r="F625" t="str">
        <f t="shared" si="9"/>
        <v>natural gas combined cycle</v>
      </c>
    </row>
    <row r="626" spans="1:6" x14ac:dyDescent="0.25">
      <c r="A626" t="s">
        <v>122</v>
      </c>
      <c r="B626" t="s">
        <v>93</v>
      </c>
      <c r="C626">
        <v>1991</v>
      </c>
      <c r="D626">
        <v>42</v>
      </c>
      <c r="E626">
        <v>45.1</v>
      </c>
      <c r="F626" t="str">
        <f t="shared" si="9"/>
        <v>natural gas peaker</v>
      </c>
    </row>
    <row r="627" spans="1:6" x14ac:dyDescent="0.25">
      <c r="A627" t="s">
        <v>122</v>
      </c>
      <c r="B627" t="s">
        <v>93</v>
      </c>
      <c r="C627">
        <v>2000</v>
      </c>
      <c r="D627">
        <v>130</v>
      </c>
      <c r="E627">
        <v>184</v>
      </c>
      <c r="F627" t="str">
        <f t="shared" si="9"/>
        <v>natural gas peaker</v>
      </c>
    </row>
    <row r="628" spans="1:6" x14ac:dyDescent="0.25">
      <c r="A628" t="s">
        <v>122</v>
      </c>
      <c r="B628" t="s">
        <v>93</v>
      </c>
      <c r="C628">
        <v>2001</v>
      </c>
      <c r="D628">
        <v>44</v>
      </c>
      <c r="E628">
        <v>50</v>
      </c>
      <c r="F628" t="str">
        <f t="shared" si="9"/>
        <v>natural gas peaker</v>
      </c>
    </row>
    <row r="629" spans="1:6" x14ac:dyDescent="0.25">
      <c r="A629" t="s">
        <v>122</v>
      </c>
      <c r="B629" t="s">
        <v>93</v>
      </c>
      <c r="C629">
        <v>2002</v>
      </c>
      <c r="D629">
        <v>48</v>
      </c>
      <c r="E629">
        <v>45</v>
      </c>
      <c r="F629" t="str">
        <f t="shared" si="9"/>
        <v>natural gas peaker</v>
      </c>
    </row>
    <row r="630" spans="1:6" x14ac:dyDescent="0.25">
      <c r="A630" t="s">
        <v>122</v>
      </c>
      <c r="B630" t="s">
        <v>93</v>
      </c>
      <c r="C630">
        <v>2012</v>
      </c>
      <c r="D630">
        <v>58.5</v>
      </c>
      <c r="E630">
        <v>59.5</v>
      </c>
      <c r="F630" t="str">
        <f t="shared" si="9"/>
        <v>natural gas peaker</v>
      </c>
    </row>
    <row r="631" spans="1:6" x14ac:dyDescent="0.25">
      <c r="A631" t="s">
        <v>122</v>
      </c>
      <c r="B631" t="s">
        <v>93</v>
      </c>
      <c r="C631">
        <v>2013</v>
      </c>
      <c r="D631">
        <v>19</v>
      </c>
      <c r="E631">
        <v>19</v>
      </c>
      <c r="F631" t="str">
        <f t="shared" si="9"/>
        <v>natural gas peaker</v>
      </c>
    </row>
    <row r="632" spans="1:6" x14ac:dyDescent="0.25">
      <c r="A632" t="s">
        <v>122</v>
      </c>
      <c r="B632" t="s">
        <v>93</v>
      </c>
      <c r="C632">
        <v>2019</v>
      </c>
      <c r="D632">
        <v>1.3</v>
      </c>
      <c r="E632">
        <v>1.3</v>
      </c>
      <c r="F632" t="str">
        <f t="shared" si="9"/>
        <v>natural gas peaker</v>
      </c>
    </row>
    <row r="633" spans="1:6" x14ac:dyDescent="0.25">
      <c r="A633" t="s">
        <v>122</v>
      </c>
      <c r="B633" t="s">
        <v>87</v>
      </c>
      <c r="C633">
        <v>2010</v>
      </c>
      <c r="D633">
        <v>2</v>
      </c>
      <c r="E633">
        <v>2</v>
      </c>
      <c r="F633" t="str">
        <f t="shared" si="9"/>
        <v>onshore wind</v>
      </c>
    </row>
    <row r="634" spans="1:6" x14ac:dyDescent="0.25">
      <c r="A634" t="s">
        <v>122</v>
      </c>
      <c r="B634" t="s">
        <v>249</v>
      </c>
      <c r="C634">
        <v>2011</v>
      </c>
      <c r="D634">
        <v>13.7</v>
      </c>
      <c r="E634">
        <v>13.8</v>
      </c>
      <c r="F634" t="str">
        <f t="shared" si="9"/>
        <v>solar pv</v>
      </c>
    </row>
    <row r="635" spans="1:6" x14ac:dyDescent="0.25">
      <c r="A635" t="s">
        <v>122</v>
      </c>
      <c r="B635" t="s">
        <v>249</v>
      </c>
      <c r="C635">
        <v>2012</v>
      </c>
      <c r="D635">
        <v>11.8</v>
      </c>
      <c r="E635">
        <v>11.8</v>
      </c>
      <c r="F635" t="str">
        <f t="shared" si="9"/>
        <v>solar pv</v>
      </c>
    </row>
    <row r="636" spans="1:6" x14ac:dyDescent="0.25">
      <c r="A636" t="s">
        <v>122</v>
      </c>
      <c r="B636" t="s">
        <v>249</v>
      </c>
      <c r="C636">
        <v>2013</v>
      </c>
      <c r="D636">
        <v>3.9</v>
      </c>
      <c r="E636">
        <v>4</v>
      </c>
      <c r="F636" t="str">
        <f t="shared" si="9"/>
        <v>solar pv</v>
      </c>
    </row>
    <row r="637" spans="1:6" x14ac:dyDescent="0.25">
      <c r="A637" t="s">
        <v>122</v>
      </c>
      <c r="B637" t="s">
        <v>249</v>
      </c>
      <c r="C637">
        <v>2015</v>
      </c>
      <c r="D637">
        <v>1.2</v>
      </c>
      <c r="E637">
        <v>1.2</v>
      </c>
      <c r="F637" t="str">
        <f t="shared" si="9"/>
        <v>solar pv</v>
      </c>
    </row>
    <row r="638" spans="1:6" x14ac:dyDescent="0.25">
      <c r="A638" t="s">
        <v>122</v>
      </c>
      <c r="B638" t="s">
        <v>249</v>
      </c>
      <c r="C638">
        <v>2017</v>
      </c>
      <c r="D638">
        <v>1.2</v>
      </c>
      <c r="E638">
        <v>1.2</v>
      </c>
      <c r="F638" t="str">
        <f t="shared" si="9"/>
        <v>solar pv</v>
      </c>
    </row>
    <row r="639" spans="1:6" x14ac:dyDescent="0.25">
      <c r="A639" t="s">
        <v>122</v>
      </c>
      <c r="B639" t="s">
        <v>249</v>
      </c>
      <c r="C639">
        <v>2018</v>
      </c>
      <c r="D639">
        <v>2.6</v>
      </c>
      <c r="E639">
        <v>2.6</v>
      </c>
      <c r="F639" t="str">
        <f t="shared" si="9"/>
        <v>solar pv</v>
      </c>
    </row>
    <row r="640" spans="1:6" x14ac:dyDescent="0.25">
      <c r="A640" t="s">
        <v>122</v>
      </c>
      <c r="B640" t="s">
        <v>249</v>
      </c>
      <c r="C640">
        <v>2019</v>
      </c>
      <c r="D640">
        <v>3</v>
      </c>
      <c r="E640">
        <v>3</v>
      </c>
      <c r="F640" t="str">
        <f t="shared" si="9"/>
        <v>solar pv</v>
      </c>
    </row>
    <row r="641" spans="1:6" x14ac:dyDescent="0.25">
      <c r="A641" t="s">
        <v>122</v>
      </c>
      <c r="B641" t="s">
        <v>249</v>
      </c>
      <c r="C641">
        <v>2021</v>
      </c>
      <c r="D641">
        <v>1.3</v>
      </c>
      <c r="E641">
        <v>1.3</v>
      </c>
      <c r="F641" t="str">
        <f t="shared" si="9"/>
        <v>solar pv</v>
      </c>
    </row>
    <row r="642" spans="1:6" x14ac:dyDescent="0.25">
      <c r="A642" t="s">
        <v>122</v>
      </c>
      <c r="B642" t="s">
        <v>249</v>
      </c>
      <c r="C642">
        <v>2022</v>
      </c>
      <c r="D642">
        <v>51.5</v>
      </c>
      <c r="E642">
        <v>51.5</v>
      </c>
      <c r="F642" t="str">
        <f t="shared" ref="F642:F705" si="10">LOWER($B642)</f>
        <v>solar pv</v>
      </c>
    </row>
    <row r="643" spans="1:6" x14ac:dyDescent="0.25">
      <c r="A643" t="s">
        <v>122</v>
      </c>
      <c r="B643" t="s">
        <v>249</v>
      </c>
      <c r="C643">
        <v>2024</v>
      </c>
      <c r="D643">
        <v>7.5</v>
      </c>
      <c r="E643">
        <v>7.7</v>
      </c>
      <c r="F643" t="str">
        <f t="shared" si="10"/>
        <v>solar pv</v>
      </c>
    </row>
    <row r="644" spans="1:6" x14ac:dyDescent="0.25">
      <c r="A644" t="s">
        <v>122</v>
      </c>
      <c r="B644" t="s">
        <v>249</v>
      </c>
      <c r="C644">
        <v>2025</v>
      </c>
      <c r="D644">
        <v>14.3</v>
      </c>
      <c r="E644">
        <v>14.3</v>
      </c>
      <c r="F644" t="str">
        <f t="shared" si="10"/>
        <v>solar pv</v>
      </c>
    </row>
    <row r="645" spans="1:6" x14ac:dyDescent="0.25">
      <c r="A645" t="s">
        <v>124</v>
      </c>
      <c r="B645" t="s">
        <v>90</v>
      </c>
      <c r="C645">
        <v>1993</v>
      </c>
      <c r="D645">
        <v>25.1</v>
      </c>
      <c r="E645">
        <v>32</v>
      </c>
      <c r="F645" t="str">
        <f t="shared" si="10"/>
        <v>biomass</v>
      </c>
    </row>
    <row r="646" spans="1:6" x14ac:dyDescent="0.25">
      <c r="A646" t="s">
        <v>124</v>
      </c>
      <c r="B646" t="s">
        <v>90</v>
      </c>
      <c r="C646">
        <v>1994</v>
      </c>
      <c r="D646">
        <v>47.1</v>
      </c>
      <c r="E646">
        <v>45.5</v>
      </c>
      <c r="F646" t="str">
        <f t="shared" si="10"/>
        <v>biomass</v>
      </c>
    </row>
    <row r="647" spans="1:6" x14ac:dyDescent="0.25">
      <c r="A647" t="s">
        <v>124</v>
      </c>
      <c r="B647" t="s">
        <v>90</v>
      </c>
      <c r="C647">
        <v>1996</v>
      </c>
      <c r="D647">
        <v>74.900000000000006</v>
      </c>
      <c r="E647">
        <v>74.900000000000006</v>
      </c>
      <c r="F647" t="str">
        <f t="shared" si="10"/>
        <v>biomass</v>
      </c>
    </row>
    <row r="648" spans="1:6" x14ac:dyDescent="0.25">
      <c r="A648" t="s">
        <v>124</v>
      </c>
      <c r="B648" t="s">
        <v>90</v>
      </c>
      <c r="C648">
        <v>1997</v>
      </c>
      <c r="D648">
        <v>14</v>
      </c>
      <c r="E648">
        <v>24.6</v>
      </c>
      <c r="F648" t="str">
        <f t="shared" si="10"/>
        <v>biomass</v>
      </c>
    </row>
    <row r="649" spans="1:6" x14ac:dyDescent="0.25">
      <c r="A649" t="s">
        <v>124</v>
      </c>
      <c r="B649" t="s">
        <v>90</v>
      </c>
      <c r="C649">
        <v>2000</v>
      </c>
      <c r="D649">
        <v>2.2000000000000002</v>
      </c>
      <c r="E649">
        <v>2.2000000000000002</v>
      </c>
      <c r="F649" t="str">
        <f t="shared" si="10"/>
        <v>biomass</v>
      </c>
    </row>
    <row r="650" spans="1:6" x14ac:dyDescent="0.25">
      <c r="A650" t="s">
        <v>124</v>
      </c>
      <c r="B650" t="s">
        <v>90</v>
      </c>
      <c r="C650">
        <v>2003</v>
      </c>
      <c r="D650">
        <v>2.1</v>
      </c>
      <c r="E650">
        <v>2.4</v>
      </c>
      <c r="F650" t="str">
        <f t="shared" si="10"/>
        <v>biomass</v>
      </c>
    </row>
    <row r="651" spans="1:6" x14ac:dyDescent="0.25">
      <c r="A651" t="s">
        <v>124</v>
      </c>
      <c r="B651" t="s">
        <v>90</v>
      </c>
      <c r="C651">
        <v>2004</v>
      </c>
      <c r="D651">
        <v>14</v>
      </c>
      <c r="E651">
        <v>15</v>
      </c>
      <c r="F651" t="str">
        <f t="shared" si="10"/>
        <v>biomass</v>
      </c>
    </row>
    <row r="652" spans="1:6" x14ac:dyDescent="0.25">
      <c r="A652" t="s">
        <v>124</v>
      </c>
      <c r="B652" t="s">
        <v>90</v>
      </c>
      <c r="C652">
        <v>2006</v>
      </c>
      <c r="D652">
        <v>53.4</v>
      </c>
      <c r="E652">
        <v>78.8</v>
      </c>
      <c r="F652" t="str">
        <f t="shared" si="10"/>
        <v>biomass</v>
      </c>
    </row>
    <row r="653" spans="1:6" x14ac:dyDescent="0.25">
      <c r="A653" t="s">
        <v>124</v>
      </c>
      <c r="B653" t="s">
        <v>90</v>
      </c>
      <c r="C653">
        <v>2007</v>
      </c>
      <c r="D653">
        <v>18.399999999999999</v>
      </c>
      <c r="E653">
        <v>20.399999999999999</v>
      </c>
      <c r="F653" t="str">
        <f t="shared" si="10"/>
        <v>biomass</v>
      </c>
    </row>
    <row r="654" spans="1:6" x14ac:dyDescent="0.25">
      <c r="A654" t="s">
        <v>124</v>
      </c>
      <c r="B654" t="s">
        <v>90</v>
      </c>
      <c r="C654">
        <v>2008</v>
      </c>
      <c r="D654">
        <v>18.600000000000001</v>
      </c>
      <c r="E654">
        <v>19.2</v>
      </c>
      <c r="F654" t="str">
        <f t="shared" si="10"/>
        <v>biomass</v>
      </c>
    </row>
    <row r="655" spans="1:6" x14ac:dyDescent="0.25">
      <c r="A655" t="s">
        <v>124</v>
      </c>
      <c r="B655" t="s">
        <v>90</v>
      </c>
      <c r="C655">
        <v>2009</v>
      </c>
      <c r="D655">
        <v>3</v>
      </c>
      <c r="E655">
        <v>3.2</v>
      </c>
      <c r="F655" t="str">
        <f t="shared" si="10"/>
        <v>biomass</v>
      </c>
    </row>
    <row r="656" spans="1:6" x14ac:dyDescent="0.25">
      <c r="A656" t="s">
        <v>124</v>
      </c>
      <c r="B656" t="s">
        <v>90</v>
      </c>
      <c r="C656">
        <v>2010</v>
      </c>
      <c r="D656">
        <v>5.4</v>
      </c>
      <c r="E656">
        <v>5.6</v>
      </c>
      <c r="F656" t="str">
        <f t="shared" si="10"/>
        <v>biomass</v>
      </c>
    </row>
    <row r="657" spans="1:6" x14ac:dyDescent="0.25">
      <c r="A657" t="s">
        <v>124</v>
      </c>
      <c r="B657" t="s">
        <v>90</v>
      </c>
      <c r="C657">
        <v>2011</v>
      </c>
      <c r="D657">
        <v>6.8</v>
      </c>
      <c r="E657">
        <v>7</v>
      </c>
      <c r="F657" t="str">
        <f t="shared" si="10"/>
        <v>biomass</v>
      </c>
    </row>
    <row r="658" spans="1:6" x14ac:dyDescent="0.25">
      <c r="A658" t="s">
        <v>124</v>
      </c>
      <c r="B658" t="s">
        <v>90</v>
      </c>
      <c r="C658">
        <v>2012</v>
      </c>
      <c r="D658">
        <v>21</v>
      </c>
      <c r="E658">
        <v>22</v>
      </c>
      <c r="F658" t="str">
        <f t="shared" si="10"/>
        <v>biomass</v>
      </c>
    </row>
    <row r="659" spans="1:6" x14ac:dyDescent="0.25">
      <c r="A659" t="s">
        <v>124</v>
      </c>
      <c r="B659" t="s">
        <v>90</v>
      </c>
      <c r="C659">
        <v>2013</v>
      </c>
      <c r="D659">
        <v>107.4</v>
      </c>
      <c r="E659">
        <v>118.5</v>
      </c>
      <c r="F659" t="str">
        <f t="shared" si="10"/>
        <v>biomass</v>
      </c>
    </row>
    <row r="660" spans="1:6" x14ac:dyDescent="0.25">
      <c r="A660" t="s">
        <v>124</v>
      </c>
      <c r="B660" t="s">
        <v>90</v>
      </c>
      <c r="C660">
        <v>2015</v>
      </c>
      <c r="D660">
        <v>7.2</v>
      </c>
      <c r="E660">
        <v>7.2</v>
      </c>
      <c r="F660" t="str">
        <f t="shared" si="10"/>
        <v>biomass</v>
      </c>
    </row>
    <row r="661" spans="1:6" x14ac:dyDescent="0.25">
      <c r="A661" t="s">
        <v>124</v>
      </c>
      <c r="B661" t="s">
        <v>90</v>
      </c>
      <c r="C661">
        <v>2017</v>
      </c>
      <c r="D661">
        <v>8.4</v>
      </c>
      <c r="E661">
        <v>9.6</v>
      </c>
      <c r="F661" t="str">
        <f t="shared" si="10"/>
        <v>biomass</v>
      </c>
    </row>
    <row r="662" spans="1:6" x14ac:dyDescent="0.25">
      <c r="A662" t="s">
        <v>124</v>
      </c>
      <c r="B662" t="s">
        <v>90</v>
      </c>
      <c r="C662">
        <v>2019</v>
      </c>
      <c r="D662">
        <v>1.6</v>
      </c>
      <c r="E662">
        <v>1.6</v>
      </c>
      <c r="F662" t="str">
        <f t="shared" si="10"/>
        <v>biomass</v>
      </c>
    </row>
    <row r="663" spans="1:6" x14ac:dyDescent="0.25">
      <c r="A663" t="s">
        <v>124</v>
      </c>
      <c r="B663" t="s">
        <v>81</v>
      </c>
      <c r="C663">
        <v>1995</v>
      </c>
      <c r="D663">
        <v>330</v>
      </c>
      <c r="E663">
        <v>395.4</v>
      </c>
      <c r="F663" t="str">
        <f t="shared" si="10"/>
        <v>hard coal</v>
      </c>
    </row>
    <row r="664" spans="1:6" x14ac:dyDescent="0.25">
      <c r="A664" t="s">
        <v>124</v>
      </c>
      <c r="B664" t="s">
        <v>81</v>
      </c>
      <c r="C664">
        <v>1996</v>
      </c>
      <c r="D664">
        <v>469.3</v>
      </c>
      <c r="E664">
        <v>464.5</v>
      </c>
      <c r="F664" t="str">
        <f t="shared" si="10"/>
        <v>hard coal</v>
      </c>
    </row>
    <row r="665" spans="1:6" x14ac:dyDescent="0.25">
      <c r="A665" t="s">
        <v>124</v>
      </c>
      <c r="B665" t="s">
        <v>86</v>
      </c>
      <c r="C665">
        <v>2001</v>
      </c>
      <c r="D665">
        <v>14.5</v>
      </c>
      <c r="E665">
        <v>14.5</v>
      </c>
      <c r="F665" t="str">
        <f t="shared" si="10"/>
        <v>hydro</v>
      </c>
    </row>
    <row r="666" spans="1:6" x14ac:dyDescent="0.25">
      <c r="A666" t="s">
        <v>124</v>
      </c>
      <c r="B666" t="s">
        <v>86</v>
      </c>
      <c r="C666">
        <v>2002</v>
      </c>
      <c r="D666">
        <v>14.5</v>
      </c>
      <c r="E666">
        <v>14.5</v>
      </c>
      <c r="F666" t="str">
        <f t="shared" si="10"/>
        <v>hydro</v>
      </c>
    </row>
    <row r="667" spans="1:6" x14ac:dyDescent="0.25">
      <c r="A667" t="s">
        <v>124</v>
      </c>
      <c r="B667" t="s">
        <v>86</v>
      </c>
      <c r="C667">
        <v>2003</v>
      </c>
      <c r="D667">
        <v>14.5</v>
      </c>
      <c r="E667">
        <v>14.5</v>
      </c>
      <c r="F667" t="str">
        <f t="shared" si="10"/>
        <v>hydro</v>
      </c>
    </row>
    <row r="668" spans="1:6" x14ac:dyDescent="0.25">
      <c r="A668" t="s">
        <v>124</v>
      </c>
      <c r="B668" t="s">
        <v>98</v>
      </c>
      <c r="C668">
        <v>1990</v>
      </c>
      <c r="D668">
        <v>12.5</v>
      </c>
      <c r="E668">
        <v>15.5</v>
      </c>
      <c r="F668" t="str">
        <f t="shared" si="10"/>
        <v>municipal solid waste</v>
      </c>
    </row>
    <row r="669" spans="1:6" x14ac:dyDescent="0.25">
      <c r="A669" t="s">
        <v>124</v>
      </c>
      <c r="B669" t="s">
        <v>98</v>
      </c>
      <c r="C669">
        <v>1991</v>
      </c>
      <c r="D669">
        <v>136</v>
      </c>
      <c r="E669">
        <v>164.8</v>
      </c>
      <c r="F669" t="str">
        <f t="shared" si="10"/>
        <v>municipal solid waste</v>
      </c>
    </row>
    <row r="670" spans="1:6" x14ac:dyDescent="0.25">
      <c r="A670" t="s">
        <v>124</v>
      </c>
      <c r="B670" t="s">
        <v>98</v>
      </c>
      <c r="C670">
        <v>1994</v>
      </c>
      <c r="D670">
        <v>39</v>
      </c>
      <c r="E670">
        <v>39</v>
      </c>
      <c r="F670" t="str">
        <f t="shared" si="10"/>
        <v>municipal solid waste</v>
      </c>
    </row>
    <row r="671" spans="1:6" x14ac:dyDescent="0.25">
      <c r="A671" t="s">
        <v>124</v>
      </c>
      <c r="B671" t="s">
        <v>98</v>
      </c>
      <c r="C671">
        <v>2007</v>
      </c>
      <c r="D671">
        <v>16</v>
      </c>
      <c r="E671">
        <v>20</v>
      </c>
      <c r="F671" t="str">
        <f t="shared" si="10"/>
        <v>municipal solid waste</v>
      </c>
    </row>
    <row r="672" spans="1:6" x14ac:dyDescent="0.25">
      <c r="A672" t="s">
        <v>124</v>
      </c>
      <c r="B672" t="s">
        <v>98</v>
      </c>
      <c r="C672">
        <v>2009</v>
      </c>
      <c r="D672">
        <v>16</v>
      </c>
      <c r="E672">
        <v>18</v>
      </c>
      <c r="F672" t="str">
        <f t="shared" si="10"/>
        <v>municipal solid waste</v>
      </c>
    </row>
    <row r="673" spans="1:6" x14ac:dyDescent="0.25">
      <c r="A673" t="s">
        <v>124</v>
      </c>
      <c r="B673" t="s">
        <v>98</v>
      </c>
      <c r="C673">
        <v>2015</v>
      </c>
      <c r="D673">
        <v>85</v>
      </c>
      <c r="E673">
        <v>96</v>
      </c>
      <c r="F673" t="str">
        <f t="shared" si="10"/>
        <v>municipal solid waste</v>
      </c>
    </row>
    <row r="674" spans="1:6" x14ac:dyDescent="0.25">
      <c r="A674" t="s">
        <v>124</v>
      </c>
      <c r="B674" t="s">
        <v>84</v>
      </c>
      <c r="C674">
        <v>1990</v>
      </c>
      <c r="D674">
        <v>22.4</v>
      </c>
      <c r="E674">
        <v>22.5</v>
      </c>
      <c r="F674" t="str">
        <f t="shared" si="10"/>
        <v>natural gas combined cycle</v>
      </c>
    </row>
    <row r="675" spans="1:6" x14ac:dyDescent="0.25">
      <c r="A675" t="s">
        <v>124</v>
      </c>
      <c r="B675" t="s">
        <v>84</v>
      </c>
      <c r="C675">
        <v>1992</v>
      </c>
      <c r="D675">
        <v>114.5</v>
      </c>
      <c r="E675">
        <v>86.2</v>
      </c>
      <c r="F675" t="str">
        <f t="shared" si="10"/>
        <v>natural gas combined cycle</v>
      </c>
    </row>
    <row r="676" spans="1:6" x14ac:dyDescent="0.25">
      <c r="A676" t="s">
        <v>124</v>
      </c>
      <c r="B676" t="s">
        <v>84</v>
      </c>
      <c r="C676">
        <v>1993</v>
      </c>
      <c r="D676">
        <v>1078</v>
      </c>
      <c r="E676">
        <v>1150.0999999999999</v>
      </c>
      <c r="F676" t="str">
        <f t="shared" si="10"/>
        <v>natural gas combined cycle</v>
      </c>
    </row>
    <row r="677" spans="1:6" x14ac:dyDescent="0.25">
      <c r="A677" t="s">
        <v>124</v>
      </c>
      <c r="B677" t="s">
        <v>84</v>
      </c>
      <c r="C677">
        <v>1994</v>
      </c>
      <c r="D677">
        <v>1089</v>
      </c>
      <c r="E677">
        <v>1351.7</v>
      </c>
      <c r="F677" t="str">
        <f t="shared" si="10"/>
        <v>natural gas combined cycle</v>
      </c>
    </row>
    <row r="678" spans="1:6" x14ac:dyDescent="0.25">
      <c r="A678" t="s">
        <v>124</v>
      </c>
      <c r="B678" t="s">
        <v>84</v>
      </c>
      <c r="C678">
        <v>1995</v>
      </c>
      <c r="D678">
        <v>225.6</v>
      </c>
      <c r="E678">
        <v>273.2</v>
      </c>
      <c r="F678" t="str">
        <f t="shared" si="10"/>
        <v>natural gas combined cycle</v>
      </c>
    </row>
    <row r="679" spans="1:6" x14ac:dyDescent="0.25">
      <c r="A679" t="s">
        <v>124</v>
      </c>
      <c r="B679" t="s">
        <v>84</v>
      </c>
      <c r="C679">
        <v>1996</v>
      </c>
      <c r="D679">
        <v>236</v>
      </c>
      <c r="E679">
        <v>328.4</v>
      </c>
      <c r="F679" t="str">
        <f t="shared" si="10"/>
        <v>natural gas combined cycle</v>
      </c>
    </row>
    <row r="680" spans="1:6" x14ac:dyDescent="0.25">
      <c r="A680" t="s">
        <v>124</v>
      </c>
      <c r="B680" t="s">
        <v>84</v>
      </c>
      <c r="C680">
        <v>1997</v>
      </c>
      <c r="D680">
        <v>199</v>
      </c>
      <c r="E680">
        <v>278.10000000000002</v>
      </c>
      <c r="F680" t="str">
        <f t="shared" si="10"/>
        <v>natural gas combined cycle</v>
      </c>
    </row>
    <row r="681" spans="1:6" x14ac:dyDescent="0.25">
      <c r="A681" t="s">
        <v>124</v>
      </c>
      <c r="B681" t="s">
        <v>84</v>
      </c>
      <c r="C681">
        <v>1999</v>
      </c>
      <c r="D681">
        <v>501</v>
      </c>
      <c r="E681">
        <v>546.5</v>
      </c>
      <c r="F681" t="str">
        <f t="shared" si="10"/>
        <v>natural gas combined cycle</v>
      </c>
    </row>
    <row r="682" spans="1:6" x14ac:dyDescent="0.25">
      <c r="A682" t="s">
        <v>124</v>
      </c>
      <c r="B682" t="s">
        <v>84</v>
      </c>
      <c r="C682">
        <v>2000</v>
      </c>
      <c r="D682">
        <v>966.3</v>
      </c>
      <c r="E682">
        <v>1010.5</v>
      </c>
      <c r="F682" t="str">
        <f t="shared" si="10"/>
        <v>natural gas combined cycle</v>
      </c>
    </row>
    <row r="683" spans="1:6" x14ac:dyDescent="0.25">
      <c r="A683" t="s">
        <v>124</v>
      </c>
      <c r="B683" t="s">
        <v>84</v>
      </c>
      <c r="C683">
        <v>2001</v>
      </c>
      <c r="D683">
        <v>1670.4</v>
      </c>
      <c r="E683">
        <v>1656.1</v>
      </c>
      <c r="F683" t="str">
        <f t="shared" si="10"/>
        <v>natural gas combined cycle</v>
      </c>
    </row>
    <row r="684" spans="1:6" x14ac:dyDescent="0.25">
      <c r="A684" t="s">
        <v>124</v>
      </c>
      <c r="B684" t="s">
        <v>84</v>
      </c>
      <c r="C684">
        <v>2002</v>
      </c>
      <c r="D684">
        <v>3498.4</v>
      </c>
      <c r="E684">
        <v>3025.7</v>
      </c>
      <c r="F684" t="str">
        <f t="shared" si="10"/>
        <v>natural gas combined cycle</v>
      </c>
    </row>
    <row r="685" spans="1:6" x14ac:dyDescent="0.25">
      <c r="A685" t="s">
        <v>124</v>
      </c>
      <c r="B685" t="s">
        <v>84</v>
      </c>
      <c r="C685">
        <v>2003</v>
      </c>
      <c r="D685">
        <v>2169.9</v>
      </c>
      <c r="E685">
        <v>2269</v>
      </c>
      <c r="F685" t="str">
        <f t="shared" si="10"/>
        <v>natural gas combined cycle</v>
      </c>
    </row>
    <row r="686" spans="1:6" x14ac:dyDescent="0.25">
      <c r="A686" t="s">
        <v>124</v>
      </c>
      <c r="B686" t="s">
        <v>84</v>
      </c>
      <c r="C686">
        <v>2004</v>
      </c>
      <c r="D686">
        <v>1288</v>
      </c>
      <c r="E686">
        <v>1403.8</v>
      </c>
      <c r="F686" t="str">
        <f t="shared" si="10"/>
        <v>natural gas combined cycle</v>
      </c>
    </row>
    <row r="687" spans="1:6" x14ac:dyDescent="0.25">
      <c r="A687" t="s">
        <v>124</v>
      </c>
      <c r="B687" t="s">
        <v>84</v>
      </c>
      <c r="C687">
        <v>2005</v>
      </c>
      <c r="D687">
        <v>2682.4</v>
      </c>
      <c r="E687">
        <v>2861.8</v>
      </c>
      <c r="F687" t="str">
        <f t="shared" si="10"/>
        <v>natural gas combined cycle</v>
      </c>
    </row>
    <row r="688" spans="1:6" x14ac:dyDescent="0.25">
      <c r="A688" t="s">
        <v>124</v>
      </c>
      <c r="B688" t="s">
        <v>84</v>
      </c>
      <c r="C688">
        <v>2007</v>
      </c>
      <c r="D688">
        <v>2098.1</v>
      </c>
      <c r="E688">
        <v>2233.1</v>
      </c>
      <c r="F688" t="str">
        <f t="shared" si="10"/>
        <v>natural gas combined cycle</v>
      </c>
    </row>
    <row r="689" spans="1:6" x14ac:dyDescent="0.25">
      <c r="A689" t="s">
        <v>124</v>
      </c>
      <c r="B689" t="s">
        <v>84</v>
      </c>
      <c r="C689">
        <v>2008</v>
      </c>
      <c r="D689">
        <v>477</v>
      </c>
      <c r="E689">
        <v>610.29999999999995</v>
      </c>
      <c r="F689" t="str">
        <f t="shared" si="10"/>
        <v>natural gas combined cycle</v>
      </c>
    </row>
    <row r="690" spans="1:6" x14ac:dyDescent="0.25">
      <c r="A690" t="s">
        <v>124</v>
      </c>
      <c r="B690" t="s">
        <v>84</v>
      </c>
      <c r="C690">
        <v>2009</v>
      </c>
      <c r="D690">
        <v>3684</v>
      </c>
      <c r="E690">
        <v>4096</v>
      </c>
      <c r="F690" t="str">
        <f t="shared" si="10"/>
        <v>natural gas combined cycle</v>
      </c>
    </row>
    <row r="691" spans="1:6" x14ac:dyDescent="0.25">
      <c r="A691" t="s">
        <v>124</v>
      </c>
      <c r="B691" t="s">
        <v>84</v>
      </c>
      <c r="C691">
        <v>2010</v>
      </c>
      <c r="D691">
        <v>292</v>
      </c>
      <c r="E691">
        <v>333</v>
      </c>
      <c r="F691" t="str">
        <f t="shared" si="10"/>
        <v>natural gas combined cycle</v>
      </c>
    </row>
    <row r="692" spans="1:6" x14ac:dyDescent="0.25">
      <c r="A692" t="s">
        <v>124</v>
      </c>
      <c r="B692" t="s">
        <v>84</v>
      </c>
      <c r="C692">
        <v>2011</v>
      </c>
      <c r="D692">
        <v>1549</v>
      </c>
      <c r="E692">
        <v>1744.5</v>
      </c>
      <c r="F692" t="str">
        <f t="shared" si="10"/>
        <v>natural gas combined cycle</v>
      </c>
    </row>
    <row r="693" spans="1:6" x14ac:dyDescent="0.25">
      <c r="A693" t="s">
        <v>124</v>
      </c>
      <c r="B693" t="s">
        <v>84</v>
      </c>
      <c r="C693">
        <v>2013</v>
      </c>
      <c r="D693">
        <v>1290</v>
      </c>
      <c r="E693">
        <v>1295</v>
      </c>
      <c r="F693" t="str">
        <f t="shared" si="10"/>
        <v>natural gas combined cycle</v>
      </c>
    </row>
    <row r="694" spans="1:6" x14ac:dyDescent="0.25">
      <c r="A694" t="s">
        <v>124</v>
      </c>
      <c r="B694" t="s">
        <v>84</v>
      </c>
      <c r="C694">
        <v>2014</v>
      </c>
      <c r="D694">
        <v>1290</v>
      </c>
      <c r="E694">
        <v>1295</v>
      </c>
      <c r="F694" t="str">
        <f t="shared" si="10"/>
        <v>natural gas combined cycle</v>
      </c>
    </row>
    <row r="695" spans="1:6" x14ac:dyDescent="0.25">
      <c r="A695" t="s">
        <v>124</v>
      </c>
      <c r="B695" t="s">
        <v>84</v>
      </c>
      <c r="C695">
        <v>2016</v>
      </c>
      <c r="D695">
        <v>1237</v>
      </c>
      <c r="E695">
        <v>1352</v>
      </c>
      <c r="F695" t="str">
        <f t="shared" si="10"/>
        <v>natural gas combined cycle</v>
      </c>
    </row>
    <row r="696" spans="1:6" x14ac:dyDescent="0.25">
      <c r="A696" t="s">
        <v>124</v>
      </c>
      <c r="B696" t="s">
        <v>84</v>
      </c>
      <c r="C696">
        <v>2017</v>
      </c>
      <c r="D696">
        <v>461</v>
      </c>
      <c r="E696">
        <v>513</v>
      </c>
      <c r="F696" t="str">
        <f t="shared" si="10"/>
        <v>natural gas combined cycle</v>
      </c>
    </row>
    <row r="697" spans="1:6" x14ac:dyDescent="0.25">
      <c r="A697" t="s">
        <v>124</v>
      </c>
      <c r="B697" t="s">
        <v>84</v>
      </c>
      <c r="C697">
        <v>2018</v>
      </c>
      <c r="D697">
        <v>1617</v>
      </c>
      <c r="E697">
        <v>1970.6</v>
      </c>
      <c r="F697" t="str">
        <f t="shared" si="10"/>
        <v>natural gas combined cycle</v>
      </c>
    </row>
    <row r="698" spans="1:6" x14ac:dyDescent="0.25">
      <c r="A698" t="s">
        <v>124</v>
      </c>
      <c r="B698" t="s">
        <v>84</v>
      </c>
      <c r="C698">
        <v>2019</v>
      </c>
      <c r="D698">
        <v>1723.1</v>
      </c>
      <c r="E698">
        <v>1723.1</v>
      </c>
      <c r="F698" t="str">
        <f t="shared" si="10"/>
        <v>natural gas combined cycle</v>
      </c>
    </row>
    <row r="699" spans="1:6" x14ac:dyDescent="0.25">
      <c r="A699" t="s">
        <v>124</v>
      </c>
      <c r="B699" t="s">
        <v>84</v>
      </c>
      <c r="C699">
        <v>2021</v>
      </c>
      <c r="D699">
        <v>761</v>
      </c>
      <c r="E699">
        <v>841.1</v>
      </c>
      <c r="F699" t="str">
        <f t="shared" si="10"/>
        <v>natural gas combined cycle</v>
      </c>
    </row>
    <row r="700" spans="1:6" x14ac:dyDescent="0.25">
      <c r="A700" t="s">
        <v>124</v>
      </c>
      <c r="B700" t="s">
        <v>84</v>
      </c>
      <c r="C700">
        <v>2022</v>
      </c>
      <c r="D700">
        <v>1246</v>
      </c>
      <c r="E700">
        <v>1447.7</v>
      </c>
      <c r="F700" t="str">
        <f t="shared" si="10"/>
        <v>natural gas combined cycle</v>
      </c>
    </row>
    <row r="701" spans="1:6" x14ac:dyDescent="0.25">
      <c r="A701" t="s">
        <v>124</v>
      </c>
      <c r="B701" t="s">
        <v>84</v>
      </c>
      <c r="C701">
        <v>2023</v>
      </c>
      <c r="D701">
        <v>1101.0999999999999</v>
      </c>
      <c r="E701">
        <v>1183.2</v>
      </c>
      <c r="F701" t="str">
        <f t="shared" si="10"/>
        <v>natural gas combined cycle</v>
      </c>
    </row>
    <row r="702" spans="1:6" x14ac:dyDescent="0.25">
      <c r="A702" t="s">
        <v>124</v>
      </c>
      <c r="B702" t="s">
        <v>93</v>
      </c>
      <c r="C702">
        <v>1990</v>
      </c>
      <c r="D702">
        <v>31</v>
      </c>
      <c r="E702">
        <v>46.8</v>
      </c>
      <c r="F702" t="str">
        <f t="shared" si="10"/>
        <v>natural gas peaker</v>
      </c>
    </row>
    <row r="703" spans="1:6" x14ac:dyDescent="0.25">
      <c r="A703" t="s">
        <v>124</v>
      </c>
      <c r="B703" t="s">
        <v>93</v>
      </c>
      <c r="C703">
        <v>1992</v>
      </c>
      <c r="D703">
        <v>435.2</v>
      </c>
      <c r="E703">
        <v>570.5</v>
      </c>
      <c r="F703" t="str">
        <f t="shared" si="10"/>
        <v>natural gas peaker</v>
      </c>
    </row>
    <row r="704" spans="1:6" x14ac:dyDescent="0.25">
      <c r="A704" t="s">
        <v>124</v>
      </c>
      <c r="B704" t="s">
        <v>93</v>
      </c>
      <c r="C704">
        <v>1993</v>
      </c>
      <c r="D704">
        <v>461.2</v>
      </c>
      <c r="E704">
        <v>590</v>
      </c>
      <c r="F704" t="str">
        <f t="shared" si="10"/>
        <v>natural gas peaker</v>
      </c>
    </row>
    <row r="705" spans="1:6" x14ac:dyDescent="0.25">
      <c r="A705" t="s">
        <v>124</v>
      </c>
      <c r="B705" t="s">
        <v>93</v>
      </c>
      <c r="C705">
        <v>1994</v>
      </c>
      <c r="D705">
        <v>76</v>
      </c>
      <c r="E705">
        <v>86.2</v>
      </c>
      <c r="F705" t="str">
        <f t="shared" si="10"/>
        <v>natural gas peaker</v>
      </c>
    </row>
    <row r="706" spans="1:6" x14ac:dyDescent="0.25">
      <c r="A706" t="s">
        <v>124</v>
      </c>
      <c r="B706" t="s">
        <v>93</v>
      </c>
      <c r="C706">
        <v>1996</v>
      </c>
      <c r="D706">
        <v>71</v>
      </c>
      <c r="E706">
        <v>96.1</v>
      </c>
      <c r="F706" t="str">
        <f t="shared" ref="F706:F769" si="11">LOWER($B706)</f>
        <v>natural gas peaker</v>
      </c>
    </row>
    <row r="707" spans="1:6" x14ac:dyDescent="0.25">
      <c r="A707" t="s">
        <v>124</v>
      </c>
      <c r="B707" t="s">
        <v>93</v>
      </c>
      <c r="C707">
        <v>1998</v>
      </c>
      <c r="D707">
        <v>12</v>
      </c>
      <c r="E707">
        <v>14.1</v>
      </c>
      <c r="F707" t="str">
        <f t="shared" si="11"/>
        <v>natural gas peaker</v>
      </c>
    </row>
    <row r="708" spans="1:6" x14ac:dyDescent="0.25">
      <c r="A708" t="s">
        <v>124</v>
      </c>
      <c r="B708" t="s">
        <v>93</v>
      </c>
      <c r="C708">
        <v>2000</v>
      </c>
      <c r="D708">
        <v>488.4</v>
      </c>
      <c r="E708">
        <v>582.70000000000005</v>
      </c>
      <c r="F708" t="str">
        <f t="shared" si="11"/>
        <v>natural gas peaker</v>
      </c>
    </row>
    <row r="709" spans="1:6" x14ac:dyDescent="0.25">
      <c r="A709" t="s">
        <v>124</v>
      </c>
      <c r="B709" t="s">
        <v>93</v>
      </c>
      <c r="C709">
        <v>2001</v>
      </c>
      <c r="D709">
        <v>498.6</v>
      </c>
      <c r="E709">
        <v>585.20000000000005</v>
      </c>
      <c r="F709" t="str">
        <f t="shared" si="11"/>
        <v>natural gas peaker</v>
      </c>
    </row>
    <row r="710" spans="1:6" x14ac:dyDescent="0.25">
      <c r="A710" t="s">
        <v>124</v>
      </c>
      <c r="B710" t="s">
        <v>93</v>
      </c>
      <c r="C710">
        <v>2002</v>
      </c>
      <c r="D710">
        <v>1934.65</v>
      </c>
      <c r="E710">
        <v>2250.4</v>
      </c>
      <c r="F710" t="str">
        <f t="shared" si="11"/>
        <v>natural gas peaker</v>
      </c>
    </row>
    <row r="711" spans="1:6" x14ac:dyDescent="0.25">
      <c r="A711" t="s">
        <v>124</v>
      </c>
      <c r="B711" t="s">
        <v>93</v>
      </c>
      <c r="C711">
        <v>2003</v>
      </c>
      <c r="D711">
        <v>364</v>
      </c>
      <c r="E711">
        <v>376.4</v>
      </c>
      <c r="F711" t="str">
        <f t="shared" si="11"/>
        <v>natural gas peaker</v>
      </c>
    </row>
    <row r="712" spans="1:6" x14ac:dyDescent="0.25">
      <c r="A712" t="s">
        <v>124</v>
      </c>
      <c r="B712" t="s">
        <v>93</v>
      </c>
      <c r="C712">
        <v>2005</v>
      </c>
      <c r="D712">
        <v>92</v>
      </c>
      <c r="E712">
        <v>121</v>
      </c>
      <c r="F712" t="str">
        <f t="shared" si="11"/>
        <v>natural gas peaker</v>
      </c>
    </row>
    <row r="713" spans="1:6" x14ac:dyDescent="0.25">
      <c r="A713" t="s">
        <v>124</v>
      </c>
      <c r="B713" t="s">
        <v>93</v>
      </c>
      <c r="C713">
        <v>2006</v>
      </c>
      <c r="D713">
        <v>253.4</v>
      </c>
      <c r="E713">
        <v>320.39999999999998</v>
      </c>
      <c r="F713" t="str">
        <f t="shared" si="11"/>
        <v>natural gas peaker</v>
      </c>
    </row>
    <row r="714" spans="1:6" x14ac:dyDescent="0.25">
      <c r="A714" t="s">
        <v>124</v>
      </c>
      <c r="B714" t="s">
        <v>93</v>
      </c>
      <c r="C714">
        <v>2007</v>
      </c>
      <c r="D714">
        <v>163</v>
      </c>
      <c r="E714">
        <v>198.8</v>
      </c>
      <c r="F714" t="str">
        <f t="shared" si="11"/>
        <v>natural gas peaker</v>
      </c>
    </row>
    <row r="715" spans="1:6" x14ac:dyDescent="0.25">
      <c r="A715" t="s">
        <v>124</v>
      </c>
      <c r="B715" t="s">
        <v>93</v>
      </c>
      <c r="C715">
        <v>2009</v>
      </c>
      <c r="D715">
        <v>462.9</v>
      </c>
      <c r="E715">
        <v>538.6</v>
      </c>
      <c r="F715" t="str">
        <f t="shared" si="11"/>
        <v>natural gas peaker</v>
      </c>
    </row>
    <row r="716" spans="1:6" x14ac:dyDescent="0.25">
      <c r="A716" t="s">
        <v>124</v>
      </c>
      <c r="B716" t="s">
        <v>93</v>
      </c>
      <c r="C716">
        <v>2010</v>
      </c>
      <c r="D716">
        <v>11.6</v>
      </c>
      <c r="E716">
        <v>12.3</v>
      </c>
      <c r="F716" t="str">
        <f t="shared" si="11"/>
        <v>natural gas peaker</v>
      </c>
    </row>
    <row r="717" spans="1:6" x14ac:dyDescent="0.25">
      <c r="A717" t="s">
        <v>124</v>
      </c>
      <c r="B717" t="s">
        <v>93</v>
      </c>
      <c r="C717">
        <v>2011</v>
      </c>
      <c r="D717">
        <v>357.2</v>
      </c>
      <c r="E717">
        <v>380.8</v>
      </c>
      <c r="F717" t="str">
        <f t="shared" si="11"/>
        <v>natural gas peaker</v>
      </c>
    </row>
    <row r="718" spans="1:6" x14ac:dyDescent="0.25">
      <c r="A718" t="s">
        <v>124</v>
      </c>
      <c r="B718" t="s">
        <v>93</v>
      </c>
      <c r="C718">
        <v>2014</v>
      </c>
      <c r="D718">
        <v>8</v>
      </c>
      <c r="E718">
        <v>8</v>
      </c>
      <c r="F718" t="str">
        <f t="shared" si="11"/>
        <v>natural gas peaker</v>
      </c>
    </row>
    <row r="719" spans="1:6" x14ac:dyDescent="0.25">
      <c r="A719" t="s">
        <v>124</v>
      </c>
      <c r="B719" t="s">
        <v>93</v>
      </c>
      <c r="C719">
        <v>2015</v>
      </c>
      <c r="D719">
        <v>8.6</v>
      </c>
      <c r="E719">
        <v>8.1999999999999993</v>
      </c>
      <c r="F719" t="str">
        <f t="shared" si="11"/>
        <v>natural gas peaker</v>
      </c>
    </row>
    <row r="720" spans="1:6" x14ac:dyDescent="0.25">
      <c r="A720" t="s">
        <v>124</v>
      </c>
      <c r="B720" t="s">
        <v>93</v>
      </c>
      <c r="C720">
        <v>2016</v>
      </c>
      <c r="D720">
        <v>1642.7</v>
      </c>
      <c r="E720">
        <v>1632.2</v>
      </c>
      <c r="F720" t="str">
        <f t="shared" si="11"/>
        <v>natural gas peaker</v>
      </c>
    </row>
    <row r="721" spans="1:6" x14ac:dyDescent="0.25">
      <c r="A721" t="s">
        <v>124</v>
      </c>
      <c r="B721" t="s">
        <v>93</v>
      </c>
      <c r="C721">
        <v>2017</v>
      </c>
      <c r="D721">
        <v>7.4</v>
      </c>
      <c r="E721">
        <v>7.4</v>
      </c>
      <c r="F721" t="str">
        <f t="shared" si="11"/>
        <v>natural gas peaker</v>
      </c>
    </row>
    <row r="722" spans="1:6" x14ac:dyDescent="0.25">
      <c r="A722" t="s">
        <v>124</v>
      </c>
      <c r="B722" t="s">
        <v>93</v>
      </c>
      <c r="C722">
        <v>2018</v>
      </c>
      <c r="D722">
        <v>28.4</v>
      </c>
      <c r="E722">
        <v>28.6</v>
      </c>
      <c r="F722" t="str">
        <f t="shared" si="11"/>
        <v>natural gas peaker</v>
      </c>
    </row>
    <row r="723" spans="1:6" x14ac:dyDescent="0.25">
      <c r="A723" t="s">
        <v>124</v>
      </c>
      <c r="B723" t="s">
        <v>93</v>
      </c>
      <c r="C723">
        <v>2019</v>
      </c>
      <c r="D723">
        <v>74</v>
      </c>
      <c r="E723">
        <v>75.2</v>
      </c>
      <c r="F723" t="str">
        <f t="shared" si="11"/>
        <v>natural gas peaker</v>
      </c>
    </row>
    <row r="724" spans="1:6" x14ac:dyDescent="0.25">
      <c r="A724" t="s">
        <v>124</v>
      </c>
      <c r="B724" t="s">
        <v>93</v>
      </c>
      <c r="C724">
        <v>2020</v>
      </c>
      <c r="D724">
        <v>138</v>
      </c>
      <c r="E724">
        <v>148.80000000000001</v>
      </c>
      <c r="F724" t="str">
        <f t="shared" si="11"/>
        <v>natural gas peaker</v>
      </c>
    </row>
    <row r="725" spans="1:6" x14ac:dyDescent="0.25">
      <c r="A725" t="s">
        <v>124</v>
      </c>
      <c r="B725" t="s">
        <v>93</v>
      </c>
      <c r="C725">
        <v>2021</v>
      </c>
      <c r="D725">
        <v>934.2</v>
      </c>
      <c r="E725">
        <v>972.4</v>
      </c>
      <c r="F725" t="str">
        <f t="shared" si="11"/>
        <v>natural gas peaker</v>
      </c>
    </row>
    <row r="726" spans="1:6" x14ac:dyDescent="0.25">
      <c r="A726" t="s">
        <v>124</v>
      </c>
      <c r="B726" t="s">
        <v>93</v>
      </c>
      <c r="C726">
        <v>2023</v>
      </c>
      <c r="D726">
        <v>2.6</v>
      </c>
      <c r="E726">
        <v>2.6</v>
      </c>
      <c r="F726" t="str">
        <f t="shared" si="11"/>
        <v>natural gas peaker</v>
      </c>
    </row>
    <row r="727" spans="1:6" x14ac:dyDescent="0.25">
      <c r="A727" t="s">
        <v>124</v>
      </c>
      <c r="B727" t="s">
        <v>93</v>
      </c>
      <c r="C727">
        <v>2024</v>
      </c>
      <c r="D727">
        <v>59.49</v>
      </c>
      <c r="E727">
        <v>60.9</v>
      </c>
      <c r="F727" t="str">
        <f t="shared" si="11"/>
        <v>natural gas peaker</v>
      </c>
    </row>
    <row r="728" spans="1:6" x14ac:dyDescent="0.25">
      <c r="A728" t="s">
        <v>124</v>
      </c>
      <c r="B728" t="s">
        <v>93</v>
      </c>
      <c r="C728">
        <v>2025</v>
      </c>
      <c r="D728">
        <v>132.29</v>
      </c>
      <c r="E728">
        <v>135.19999999999999</v>
      </c>
      <c r="F728" t="str">
        <f t="shared" si="11"/>
        <v>natural gas peaker</v>
      </c>
    </row>
    <row r="729" spans="1:6" x14ac:dyDescent="0.25">
      <c r="A729" t="s">
        <v>124</v>
      </c>
      <c r="B729" t="s">
        <v>92</v>
      </c>
      <c r="C729">
        <v>1991</v>
      </c>
      <c r="D729">
        <v>15</v>
      </c>
      <c r="E729">
        <v>19.2</v>
      </c>
      <c r="F729" t="str">
        <f t="shared" si="11"/>
        <v>petroleum</v>
      </c>
    </row>
    <row r="730" spans="1:6" x14ac:dyDescent="0.25">
      <c r="A730" t="s">
        <v>124</v>
      </c>
      <c r="B730" t="s">
        <v>92</v>
      </c>
      <c r="C730">
        <v>1992</v>
      </c>
      <c r="D730">
        <v>72</v>
      </c>
      <c r="E730">
        <v>103.5</v>
      </c>
      <c r="F730" t="str">
        <f t="shared" si="11"/>
        <v>petroleum</v>
      </c>
    </row>
    <row r="731" spans="1:6" x14ac:dyDescent="0.25">
      <c r="A731" t="s">
        <v>124</v>
      </c>
      <c r="B731" t="s">
        <v>92</v>
      </c>
      <c r="C731">
        <v>1997</v>
      </c>
      <c r="D731">
        <v>140</v>
      </c>
      <c r="E731">
        <v>148.5</v>
      </c>
      <c r="F731" t="str">
        <f t="shared" si="11"/>
        <v>petroleum</v>
      </c>
    </row>
    <row r="732" spans="1:6" x14ac:dyDescent="0.25">
      <c r="A732" t="s">
        <v>124</v>
      </c>
      <c r="B732" t="s">
        <v>92</v>
      </c>
      <c r="C732">
        <v>1998</v>
      </c>
      <c r="D732">
        <v>3.9</v>
      </c>
      <c r="E732">
        <v>3.9</v>
      </c>
      <c r="F732" t="str">
        <f t="shared" si="11"/>
        <v>petroleum</v>
      </c>
    </row>
    <row r="733" spans="1:6" x14ac:dyDescent="0.25">
      <c r="A733" t="s">
        <v>124</v>
      </c>
      <c r="B733" t="s">
        <v>92</v>
      </c>
      <c r="C733">
        <v>1999</v>
      </c>
      <c r="D733">
        <v>34</v>
      </c>
      <c r="E733">
        <v>39.4</v>
      </c>
      <c r="F733" t="str">
        <f t="shared" si="11"/>
        <v>petroleum</v>
      </c>
    </row>
    <row r="734" spans="1:6" x14ac:dyDescent="0.25">
      <c r="A734" t="s">
        <v>124</v>
      </c>
      <c r="B734" t="s">
        <v>92</v>
      </c>
      <c r="C734">
        <v>2001</v>
      </c>
      <c r="D734">
        <v>97.5</v>
      </c>
      <c r="E734">
        <v>101.5</v>
      </c>
      <c r="F734" t="str">
        <f t="shared" si="11"/>
        <v>petroleum</v>
      </c>
    </row>
    <row r="735" spans="1:6" x14ac:dyDescent="0.25">
      <c r="A735" t="s">
        <v>124</v>
      </c>
      <c r="B735" t="s">
        <v>92</v>
      </c>
      <c r="C735">
        <v>2005</v>
      </c>
      <c r="D735">
        <v>0.2</v>
      </c>
      <c r="E735">
        <v>0.2</v>
      </c>
      <c r="F735" t="str">
        <f t="shared" si="11"/>
        <v>petroleum</v>
      </c>
    </row>
    <row r="736" spans="1:6" x14ac:dyDescent="0.25">
      <c r="A736" t="s">
        <v>124</v>
      </c>
      <c r="B736" t="s">
        <v>92</v>
      </c>
      <c r="C736">
        <v>2006</v>
      </c>
      <c r="D736">
        <v>44</v>
      </c>
      <c r="E736">
        <v>42</v>
      </c>
      <c r="F736" t="str">
        <f t="shared" si="11"/>
        <v>petroleum</v>
      </c>
    </row>
    <row r="737" spans="1:6" x14ac:dyDescent="0.25">
      <c r="A737" t="s">
        <v>124</v>
      </c>
      <c r="B737" t="s">
        <v>92</v>
      </c>
      <c r="C737">
        <v>2012</v>
      </c>
      <c r="D737">
        <v>2.5</v>
      </c>
      <c r="E737">
        <v>2.5</v>
      </c>
      <c r="F737" t="str">
        <f t="shared" si="11"/>
        <v>petroleum</v>
      </c>
    </row>
    <row r="738" spans="1:6" x14ac:dyDescent="0.25">
      <c r="A738" t="s">
        <v>124</v>
      </c>
      <c r="B738" t="s">
        <v>92</v>
      </c>
      <c r="C738">
        <v>2013</v>
      </c>
      <c r="D738">
        <v>0.1</v>
      </c>
      <c r="E738">
        <v>0.1</v>
      </c>
      <c r="F738" t="str">
        <f t="shared" si="11"/>
        <v>petroleum</v>
      </c>
    </row>
    <row r="739" spans="1:6" x14ac:dyDescent="0.25">
      <c r="A739" t="s">
        <v>124</v>
      </c>
      <c r="B739" t="s">
        <v>92</v>
      </c>
      <c r="C739">
        <v>2020</v>
      </c>
      <c r="D739">
        <v>1.4</v>
      </c>
      <c r="E739">
        <v>1.4</v>
      </c>
      <c r="F739" t="str">
        <f t="shared" si="11"/>
        <v>petroleum</v>
      </c>
    </row>
    <row r="740" spans="1:6" x14ac:dyDescent="0.25">
      <c r="A740" t="s">
        <v>124</v>
      </c>
      <c r="B740" t="s">
        <v>92</v>
      </c>
      <c r="C740">
        <v>2025</v>
      </c>
      <c r="D740">
        <v>1</v>
      </c>
      <c r="E740">
        <v>1</v>
      </c>
      <c r="F740" t="str">
        <f t="shared" si="11"/>
        <v>petroleum</v>
      </c>
    </row>
    <row r="741" spans="1:6" x14ac:dyDescent="0.25">
      <c r="A741" t="s">
        <v>124</v>
      </c>
      <c r="B741" t="s">
        <v>249</v>
      </c>
      <c r="C741">
        <v>2009</v>
      </c>
      <c r="D741">
        <v>25</v>
      </c>
      <c r="E741">
        <v>25</v>
      </c>
      <c r="F741" t="str">
        <f t="shared" si="11"/>
        <v>solar pv</v>
      </c>
    </row>
    <row r="742" spans="1:6" x14ac:dyDescent="0.25">
      <c r="A742" t="s">
        <v>124</v>
      </c>
      <c r="B742" t="s">
        <v>249</v>
      </c>
      <c r="C742">
        <v>2010</v>
      </c>
      <c r="D742">
        <v>23.7</v>
      </c>
      <c r="E742">
        <v>23.8</v>
      </c>
      <c r="F742" t="str">
        <f t="shared" si="11"/>
        <v>solar pv</v>
      </c>
    </row>
    <row r="743" spans="1:6" x14ac:dyDescent="0.25">
      <c r="A743" t="s">
        <v>124</v>
      </c>
      <c r="B743" t="s">
        <v>249</v>
      </c>
      <c r="C743">
        <v>2011</v>
      </c>
      <c r="D743">
        <v>9</v>
      </c>
      <c r="E743">
        <v>9</v>
      </c>
      <c r="F743" t="str">
        <f t="shared" si="11"/>
        <v>solar pv</v>
      </c>
    </row>
    <row r="744" spans="1:6" x14ac:dyDescent="0.25">
      <c r="A744" t="s">
        <v>124</v>
      </c>
      <c r="B744" t="s">
        <v>249</v>
      </c>
      <c r="C744">
        <v>2012</v>
      </c>
      <c r="D744">
        <v>4.5</v>
      </c>
      <c r="E744">
        <v>4.5</v>
      </c>
      <c r="F744" t="str">
        <f t="shared" si="11"/>
        <v>solar pv</v>
      </c>
    </row>
    <row r="745" spans="1:6" x14ac:dyDescent="0.25">
      <c r="A745" t="s">
        <v>124</v>
      </c>
      <c r="B745" t="s">
        <v>249</v>
      </c>
      <c r="C745">
        <v>2013</v>
      </c>
      <c r="D745">
        <v>2</v>
      </c>
      <c r="E745">
        <v>2</v>
      </c>
      <c r="F745" t="str">
        <f t="shared" si="11"/>
        <v>solar pv</v>
      </c>
    </row>
    <row r="746" spans="1:6" x14ac:dyDescent="0.25">
      <c r="A746" t="s">
        <v>124</v>
      </c>
      <c r="B746" t="s">
        <v>249</v>
      </c>
      <c r="C746">
        <v>2015</v>
      </c>
      <c r="D746">
        <v>10.3</v>
      </c>
      <c r="E746">
        <v>10.5</v>
      </c>
      <c r="F746" t="str">
        <f t="shared" si="11"/>
        <v>solar pv</v>
      </c>
    </row>
    <row r="747" spans="1:6" x14ac:dyDescent="0.25">
      <c r="A747" t="s">
        <v>124</v>
      </c>
      <c r="B747" t="s">
        <v>249</v>
      </c>
      <c r="C747">
        <v>2016</v>
      </c>
      <c r="D747">
        <v>245.9</v>
      </c>
      <c r="E747">
        <v>247.1</v>
      </c>
      <c r="F747" t="str">
        <f t="shared" si="11"/>
        <v>solar pv</v>
      </c>
    </row>
    <row r="748" spans="1:6" x14ac:dyDescent="0.25">
      <c r="A748" t="s">
        <v>124</v>
      </c>
      <c r="B748" t="s">
        <v>249</v>
      </c>
      <c r="C748">
        <v>2017</v>
      </c>
      <c r="D748">
        <v>195.9</v>
      </c>
      <c r="E748">
        <v>195.9</v>
      </c>
      <c r="F748" t="str">
        <f t="shared" si="11"/>
        <v>solar pv</v>
      </c>
    </row>
    <row r="749" spans="1:6" x14ac:dyDescent="0.25">
      <c r="A749" t="s">
        <v>124</v>
      </c>
      <c r="B749" t="s">
        <v>249</v>
      </c>
      <c r="C749">
        <v>2018</v>
      </c>
      <c r="D749">
        <v>879.1</v>
      </c>
      <c r="E749">
        <v>878.9</v>
      </c>
      <c r="F749" t="str">
        <f t="shared" si="11"/>
        <v>solar pv</v>
      </c>
    </row>
    <row r="750" spans="1:6" x14ac:dyDescent="0.25">
      <c r="A750" t="s">
        <v>124</v>
      </c>
      <c r="B750" t="s">
        <v>249</v>
      </c>
      <c r="C750">
        <v>2019</v>
      </c>
      <c r="D750">
        <v>742.9</v>
      </c>
      <c r="E750">
        <v>742.9</v>
      </c>
      <c r="F750" t="str">
        <f t="shared" si="11"/>
        <v>solar pv</v>
      </c>
    </row>
    <row r="751" spans="1:6" x14ac:dyDescent="0.25">
      <c r="A751" t="s">
        <v>124</v>
      </c>
      <c r="B751" t="s">
        <v>249</v>
      </c>
      <c r="C751">
        <v>2020</v>
      </c>
      <c r="D751">
        <v>1639.7</v>
      </c>
      <c r="E751">
        <v>1639.7</v>
      </c>
      <c r="F751" t="str">
        <f t="shared" si="11"/>
        <v>solar pv</v>
      </c>
    </row>
    <row r="752" spans="1:6" x14ac:dyDescent="0.25">
      <c r="A752" t="s">
        <v>124</v>
      </c>
      <c r="B752" t="s">
        <v>249</v>
      </c>
      <c r="C752">
        <v>2021</v>
      </c>
      <c r="D752">
        <v>1103.8</v>
      </c>
      <c r="E752">
        <v>1103.8</v>
      </c>
      <c r="F752" t="str">
        <f t="shared" si="11"/>
        <v>solar pv</v>
      </c>
    </row>
    <row r="753" spans="1:6" x14ac:dyDescent="0.25">
      <c r="A753" t="s">
        <v>124</v>
      </c>
      <c r="B753" t="s">
        <v>249</v>
      </c>
      <c r="C753">
        <v>2022</v>
      </c>
      <c r="D753">
        <v>1114.4000000000001</v>
      </c>
      <c r="E753">
        <v>1114.4000000000001</v>
      </c>
      <c r="F753" t="str">
        <f t="shared" si="11"/>
        <v>solar pv</v>
      </c>
    </row>
    <row r="754" spans="1:6" x14ac:dyDescent="0.25">
      <c r="A754" t="s">
        <v>124</v>
      </c>
      <c r="B754" t="s">
        <v>249</v>
      </c>
      <c r="C754">
        <v>2023</v>
      </c>
      <c r="D754">
        <v>1800.4</v>
      </c>
      <c r="E754">
        <v>1800.4</v>
      </c>
      <c r="F754" t="str">
        <f t="shared" si="11"/>
        <v>solar pv</v>
      </c>
    </row>
    <row r="755" spans="1:6" x14ac:dyDescent="0.25">
      <c r="A755" t="s">
        <v>124</v>
      </c>
      <c r="B755" t="s">
        <v>249</v>
      </c>
      <c r="C755">
        <v>2024</v>
      </c>
      <c r="D755">
        <v>3154</v>
      </c>
      <c r="E755">
        <v>3154</v>
      </c>
      <c r="F755" t="str">
        <f t="shared" si="11"/>
        <v>solar pv</v>
      </c>
    </row>
    <row r="756" spans="1:6" x14ac:dyDescent="0.25">
      <c r="A756" t="s">
        <v>124</v>
      </c>
      <c r="B756" t="s">
        <v>249</v>
      </c>
      <c r="C756">
        <v>2025</v>
      </c>
      <c r="D756">
        <v>1342.7</v>
      </c>
      <c r="E756">
        <v>1342.7</v>
      </c>
      <c r="F756" t="str">
        <f t="shared" si="11"/>
        <v>solar pv</v>
      </c>
    </row>
    <row r="757" spans="1:6" x14ac:dyDescent="0.25">
      <c r="A757" t="s">
        <v>126</v>
      </c>
      <c r="B757" t="s">
        <v>90</v>
      </c>
      <c r="C757">
        <v>1991</v>
      </c>
      <c r="D757">
        <v>47.3</v>
      </c>
      <c r="E757">
        <v>47.3</v>
      </c>
      <c r="F757" t="str">
        <f t="shared" si="11"/>
        <v>biomass</v>
      </c>
    </row>
    <row r="758" spans="1:6" x14ac:dyDescent="0.25">
      <c r="A758" t="s">
        <v>126</v>
      </c>
      <c r="B758" t="s">
        <v>90</v>
      </c>
      <c r="C758">
        <v>1993</v>
      </c>
      <c r="D758">
        <v>2.4</v>
      </c>
      <c r="E758">
        <v>2.4</v>
      </c>
      <c r="F758" t="str">
        <f t="shared" si="11"/>
        <v>biomass</v>
      </c>
    </row>
    <row r="759" spans="1:6" x14ac:dyDescent="0.25">
      <c r="A759" t="s">
        <v>126</v>
      </c>
      <c r="B759" t="s">
        <v>90</v>
      </c>
      <c r="C759">
        <v>1996</v>
      </c>
      <c r="D759">
        <v>13</v>
      </c>
      <c r="E759">
        <v>13</v>
      </c>
      <c r="F759" t="str">
        <f t="shared" si="11"/>
        <v>biomass</v>
      </c>
    </row>
    <row r="760" spans="1:6" x14ac:dyDescent="0.25">
      <c r="A760" t="s">
        <v>126</v>
      </c>
      <c r="B760" t="s">
        <v>90</v>
      </c>
      <c r="C760">
        <v>1998</v>
      </c>
      <c r="D760">
        <v>82.7</v>
      </c>
      <c r="E760">
        <v>82.8</v>
      </c>
      <c r="F760" t="str">
        <f t="shared" si="11"/>
        <v>biomass</v>
      </c>
    </row>
    <row r="761" spans="1:6" x14ac:dyDescent="0.25">
      <c r="A761" t="s">
        <v>126</v>
      </c>
      <c r="B761" t="s">
        <v>90</v>
      </c>
      <c r="C761">
        <v>2001</v>
      </c>
      <c r="D761">
        <v>8.3000000000000007</v>
      </c>
      <c r="E761">
        <v>8.5</v>
      </c>
      <c r="F761" t="str">
        <f t="shared" si="11"/>
        <v>biomass</v>
      </c>
    </row>
    <row r="762" spans="1:6" x14ac:dyDescent="0.25">
      <c r="A762" t="s">
        <v>126</v>
      </c>
      <c r="B762" t="s">
        <v>90</v>
      </c>
      <c r="C762">
        <v>2003</v>
      </c>
      <c r="D762">
        <v>5.4</v>
      </c>
      <c r="E762">
        <v>5.4</v>
      </c>
      <c r="F762" t="str">
        <f t="shared" si="11"/>
        <v>biomass</v>
      </c>
    </row>
    <row r="763" spans="1:6" x14ac:dyDescent="0.25">
      <c r="A763" t="s">
        <v>126</v>
      </c>
      <c r="B763" t="s">
        <v>90</v>
      </c>
      <c r="C763">
        <v>2004</v>
      </c>
      <c r="D763">
        <v>25</v>
      </c>
      <c r="E763">
        <v>25</v>
      </c>
      <c r="F763" t="str">
        <f t="shared" si="11"/>
        <v>biomass</v>
      </c>
    </row>
    <row r="764" spans="1:6" x14ac:dyDescent="0.25">
      <c r="A764" t="s">
        <v>126</v>
      </c>
      <c r="B764" t="s">
        <v>90</v>
      </c>
      <c r="C764">
        <v>2009</v>
      </c>
      <c r="D764">
        <v>8.1999999999999993</v>
      </c>
      <c r="E764">
        <v>8.1999999999999993</v>
      </c>
      <c r="F764" t="str">
        <f t="shared" si="11"/>
        <v>biomass</v>
      </c>
    </row>
    <row r="765" spans="1:6" x14ac:dyDescent="0.25">
      <c r="A765" t="s">
        <v>126</v>
      </c>
      <c r="B765" t="s">
        <v>90</v>
      </c>
      <c r="C765">
        <v>2010</v>
      </c>
      <c r="D765">
        <v>18</v>
      </c>
      <c r="E765">
        <v>17.899999999999999</v>
      </c>
      <c r="F765" t="str">
        <f t="shared" si="11"/>
        <v>biomass</v>
      </c>
    </row>
    <row r="766" spans="1:6" x14ac:dyDescent="0.25">
      <c r="A766" t="s">
        <v>126</v>
      </c>
      <c r="B766" t="s">
        <v>90</v>
      </c>
      <c r="C766">
        <v>2011</v>
      </c>
      <c r="D766">
        <v>60.8</v>
      </c>
      <c r="E766">
        <v>61</v>
      </c>
      <c r="F766" t="str">
        <f t="shared" si="11"/>
        <v>biomass</v>
      </c>
    </row>
    <row r="767" spans="1:6" x14ac:dyDescent="0.25">
      <c r="A767" t="s">
        <v>126</v>
      </c>
      <c r="B767" t="s">
        <v>90</v>
      </c>
      <c r="C767">
        <v>2013</v>
      </c>
      <c r="D767">
        <v>99.3</v>
      </c>
      <c r="E767">
        <v>104.8</v>
      </c>
      <c r="F767" t="str">
        <f t="shared" si="11"/>
        <v>biomass</v>
      </c>
    </row>
    <row r="768" spans="1:6" x14ac:dyDescent="0.25">
      <c r="A768" t="s">
        <v>126</v>
      </c>
      <c r="B768" t="s">
        <v>90</v>
      </c>
      <c r="C768">
        <v>2014</v>
      </c>
      <c r="D768">
        <v>1.6</v>
      </c>
      <c r="E768">
        <v>1.6</v>
      </c>
      <c r="F768" t="str">
        <f t="shared" si="11"/>
        <v>biomass</v>
      </c>
    </row>
    <row r="769" spans="1:6" x14ac:dyDescent="0.25">
      <c r="A769" t="s">
        <v>126</v>
      </c>
      <c r="B769" t="s">
        <v>90</v>
      </c>
      <c r="C769">
        <v>2015</v>
      </c>
      <c r="D769">
        <v>35</v>
      </c>
      <c r="E769">
        <v>35</v>
      </c>
      <c r="F769" t="str">
        <f t="shared" si="11"/>
        <v>biomass</v>
      </c>
    </row>
    <row r="770" spans="1:6" x14ac:dyDescent="0.25">
      <c r="A770" t="s">
        <v>126</v>
      </c>
      <c r="B770" t="s">
        <v>90</v>
      </c>
      <c r="C770">
        <v>2016</v>
      </c>
      <c r="D770">
        <v>23.4</v>
      </c>
      <c r="E770">
        <v>24.4</v>
      </c>
      <c r="F770" t="str">
        <f t="shared" ref="F770:F833" si="12">LOWER($B770)</f>
        <v>biomass</v>
      </c>
    </row>
    <row r="771" spans="1:6" x14ac:dyDescent="0.25">
      <c r="A771" t="s">
        <v>126</v>
      </c>
      <c r="B771" t="s">
        <v>90</v>
      </c>
      <c r="C771">
        <v>2017</v>
      </c>
      <c r="D771">
        <v>49.5</v>
      </c>
      <c r="E771">
        <v>54.5</v>
      </c>
      <c r="F771" t="str">
        <f t="shared" si="12"/>
        <v>biomass</v>
      </c>
    </row>
    <row r="772" spans="1:6" x14ac:dyDescent="0.25">
      <c r="A772" t="s">
        <v>126</v>
      </c>
      <c r="B772" t="s">
        <v>90</v>
      </c>
      <c r="C772">
        <v>2019</v>
      </c>
      <c r="D772">
        <v>116</v>
      </c>
      <c r="E772">
        <v>116</v>
      </c>
      <c r="F772" t="str">
        <f t="shared" si="12"/>
        <v>biomass</v>
      </c>
    </row>
    <row r="773" spans="1:6" x14ac:dyDescent="0.25">
      <c r="A773" t="s">
        <v>126</v>
      </c>
      <c r="B773" t="s">
        <v>90</v>
      </c>
      <c r="C773">
        <v>2021</v>
      </c>
      <c r="D773">
        <v>1.9</v>
      </c>
      <c r="E773">
        <v>2.1</v>
      </c>
      <c r="F773" t="str">
        <f t="shared" si="12"/>
        <v>biomass</v>
      </c>
    </row>
    <row r="774" spans="1:6" x14ac:dyDescent="0.25">
      <c r="A774" t="s">
        <v>126</v>
      </c>
      <c r="B774" t="s">
        <v>86</v>
      </c>
      <c r="C774">
        <v>1993</v>
      </c>
      <c r="D774">
        <v>0.9</v>
      </c>
      <c r="E774">
        <v>0.9</v>
      </c>
      <c r="F774" t="str">
        <f t="shared" si="12"/>
        <v>hydro</v>
      </c>
    </row>
    <row r="775" spans="1:6" x14ac:dyDescent="0.25">
      <c r="A775" t="s">
        <v>126</v>
      </c>
      <c r="B775" t="s">
        <v>86</v>
      </c>
      <c r="C775">
        <v>1994</v>
      </c>
      <c r="D775">
        <v>1.3</v>
      </c>
      <c r="E775">
        <v>1.5</v>
      </c>
      <c r="F775" t="str">
        <f t="shared" si="12"/>
        <v>hydro</v>
      </c>
    </row>
    <row r="776" spans="1:6" x14ac:dyDescent="0.25">
      <c r="A776" t="s">
        <v>126</v>
      </c>
      <c r="B776" t="s">
        <v>86</v>
      </c>
      <c r="C776">
        <v>2003</v>
      </c>
      <c r="D776">
        <v>60</v>
      </c>
      <c r="E776">
        <v>62</v>
      </c>
      <c r="F776" t="str">
        <f t="shared" si="12"/>
        <v>hydro</v>
      </c>
    </row>
    <row r="777" spans="1:6" x14ac:dyDescent="0.25">
      <c r="A777" t="s">
        <v>126</v>
      </c>
      <c r="B777" t="s">
        <v>86</v>
      </c>
      <c r="C777">
        <v>2004</v>
      </c>
      <c r="D777">
        <v>60</v>
      </c>
      <c r="E777">
        <v>62</v>
      </c>
      <c r="F777" t="str">
        <f t="shared" si="12"/>
        <v>hydro</v>
      </c>
    </row>
    <row r="778" spans="1:6" x14ac:dyDescent="0.25">
      <c r="A778" t="s">
        <v>126</v>
      </c>
      <c r="B778" t="s">
        <v>86</v>
      </c>
      <c r="C778">
        <v>2005</v>
      </c>
      <c r="D778">
        <v>6.8</v>
      </c>
      <c r="E778">
        <v>7.2</v>
      </c>
      <c r="F778" t="str">
        <f t="shared" si="12"/>
        <v>hydro</v>
      </c>
    </row>
    <row r="779" spans="1:6" x14ac:dyDescent="0.25">
      <c r="A779" t="s">
        <v>126</v>
      </c>
      <c r="B779" t="s">
        <v>84</v>
      </c>
      <c r="C779">
        <v>1997</v>
      </c>
      <c r="D779">
        <v>201.5</v>
      </c>
      <c r="E779">
        <v>216.5</v>
      </c>
      <c r="F779" t="str">
        <f t="shared" si="12"/>
        <v>natural gas combined cycle</v>
      </c>
    </row>
    <row r="780" spans="1:6" x14ac:dyDescent="0.25">
      <c r="A780" t="s">
        <v>126</v>
      </c>
      <c r="B780" t="s">
        <v>84</v>
      </c>
      <c r="C780">
        <v>1998</v>
      </c>
      <c r="D780">
        <v>101.5</v>
      </c>
      <c r="E780">
        <v>106.5</v>
      </c>
      <c r="F780" t="str">
        <f t="shared" si="12"/>
        <v>natural gas combined cycle</v>
      </c>
    </row>
    <row r="781" spans="1:6" x14ac:dyDescent="0.25">
      <c r="A781" t="s">
        <v>126</v>
      </c>
      <c r="B781" t="s">
        <v>84</v>
      </c>
      <c r="C781">
        <v>2002</v>
      </c>
      <c r="D781">
        <v>2537.8000000000002</v>
      </c>
      <c r="E781">
        <v>2431</v>
      </c>
      <c r="F781" t="str">
        <f t="shared" si="12"/>
        <v>natural gas combined cycle</v>
      </c>
    </row>
    <row r="782" spans="1:6" x14ac:dyDescent="0.25">
      <c r="A782" t="s">
        <v>126</v>
      </c>
      <c r="B782" t="s">
        <v>84</v>
      </c>
      <c r="C782">
        <v>2003</v>
      </c>
      <c r="D782">
        <v>990.6</v>
      </c>
      <c r="E782">
        <v>1136.3</v>
      </c>
      <c r="F782" t="str">
        <f t="shared" si="12"/>
        <v>natural gas combined cycle</v>
      </c>
    </row>
    <row r="783" spans="1:6" x14ac:dyDescent="0.25">
      <c r="A783" t="s">
        <v>126</v>
      </c>
      <c r="B783" t="s">
        <v>84</v>
      </c>
      <c r="C783">
        <v>2004</v>
      </c>
      <c r="D783">
        <v>462.8</v>
      </c>
      <c r="E783">
        <v>594.1</v>
      </c>
      <c r="F783" t="str">
        <f t="shared" si="12"/>
        <v>natural gas combined cycle</v>
      </c>
    </row>
    <row r="784" spans="1:6" x14ac:dyDescent="0.25">
      <c r="A784" t="s">
        <v>126</v>
      </c>
      <c r="B784" t="s">
        <v>84</v>
      </c>
      <c r="C784">
        <v>2005</v>
      </c>
      <c r="D784">
        <v>1315.6</v>
      </c>
      <c r="E784">
        <v>1376.6</v>
      </c>
      <c r="F784" t="str">
        <f t="shared" si="12"/>
        <v>natural gas combined cycle</v>
      </c>
    </row>
    <row r="785" spans="1:6" x14ac:dyDescent="0.25">
      <c r="A785" t="s">
        <v>126</v>
      </c>
      <c r="B785" t="s">
        <v>84</v>
      </c>
      <c r="C785">
        <v>2011</v>
      </c>
      <c r="D785">
        <v>835</v>
      </c>
      <c r="E785">
        <v>921.6</v>
      </c>
      <c r="F785" t="str">
        <f t="shared" si="12"/>
        <v>natural gas combined cycle</v>
      </c>
    </row>
    <row r="786" spans="1:6" x14ac:dyDescent="0.25">
      <c r="A786" t="s">
        <v>126</v>
      </c>
      <c r="B786" t="s">
        <v>84</v>
      </c>
      <c r="C786">
        <v>2012</v>
      </c>
      <c r="D786">
        <v>1636</v>
      </c>
      <c r="E786">
        <v>1843.2</v>
      </c>
      <c r="F786" t="str">
        <f t="shared" si="12"/>
        <v>natural gas combined cycle</v>
      </c>
    </row>
    <row r="787" spans="1:6" x14ac:dyDescent="0.25">
      <c r="A787" t="s">
        <v>126</v>
      </c>
      <c r="B787" t="s">
        <v>93</v>
      </c>
      <c r="C787">
        <v>1994</v>
      </c>
      <c r="D787">
        <v>790.7</v>
      </c>
      <c r="E787">
        <v>967.8</v>
      </c>
      <c r="F787" t="str">
        <f t="shared" si="12"/>
        <v>natural gas peaker</v>
      </c>
    </row>
    <row r="788" spans="1:6" x14ac:dyDescent="0.25">
      <c r="A788" t="s">
        <v>126</v>
      </c>
      <c r="B788" t="s">
        <v>93</v>
      </c>
      <c r="C788">
        <v>1995</v>
      </c>
      <c r="D788">
        <v>164.4</v>
      </c>
      <c r="E788">
        <v>202.6</v>
      </c>
      <c r="F788" t="str">
        <f t="shared" si="12"/>
        <v>natural gas peaker</v>
      </c>
    </row>
    <row r="789" spans="1:6" x14ac:dyDescent="0.25">
      <c r="A789" t="s">
        <v>126</v>
      </c>
      <c r="B789" t="s">
        <v>93</v>
      </c>
      <c r="C789">
        <v>1999</v>
      </c>
      <c r="D789">
        <v>282.39999999999998</v>
      </c>
      <c r="E789">
        <v>341.6</v>
      </c>
      <c r="F789" t="str">
        <f t="shared" si="12"/>
        <v>natural gas peaker</v>
      </c>
    </row>
    <row r="790" spans="1:6" x14ac:dyDescent="0.25">
      <c r="A790" t="s">
        <v>126</v>
      </c>
      <c r="B790" t="s">
        <v>93</v>
      </c>
      <c r="C790">
        <v>2000</v>
      </c>
      <c r="D790">
        <v>2284.6</v>
      </c>
      <c r="E790">
        <v>2842.8</v>
      </c>
      <c r="F790" t="str">
        <f t="shared" si="12"/>
        <v>natural gas peaker</v>
      </c>
    </row>
    <row r="791" spans="1:6" x14ac:dyDescent="0.25">
      <c r="A791" t="s">
        <v>126</v>
      </c>
      <c r="B791" t="s">
        <v>93</v>
      </c>
      <c r="C791">
        <v>2001</v>
      </c>
      <c r="D791">
        <v>1674.8</v>
      </c>
      <c r="E791">
        <v>1923.2</v>
      </c>
      <c r="F791" t="str">
        <f t="shared" si="12"/>
        <v>natural gas peaker</v>
      </c>
    </row>
    <row r="792" spans="1:6" x14ac:dyDescent="0.25">
      <c r="A792" t="s">
        <v>126</v>
      </c>
      <c r="B792" t="s">
        <v>93</v>
      </c>
      <c r="C792">
        <v>2002</v>
      </c>
      <c r="D792">
        <v>1429.7</v>
      </c>
      <c r="E792">
        <v>1725.6</v>
      </c>
      <c r="F792" t="str">
        <f t="shared" si="12"/>
        <v>natural gas peaker</v>
      </c>
    </row>
    <row r="793" spans="1:6" x14ac:dyDescent="0.25">
      <c r="A793" t="s">
        <v>126</v>
      </c>
      <c r="B793" t="s">
        <v>93</v>
      </c>
      <c r="C793">
        <v>2003</v>
      </c>
      <c r="D793">
        <v>815</v>
      </c>
      <c r="E793">
        <v>1037.5999999999999</v>
      </c>
      <c r="F793" t="str">
        <f t="shared" si="12"/>
        <v>natural gas peaker</v>
      </c>
    </row>
    <row r="794" spans="1:6" x14ac:dyDescent="0.25">
      <c r="A794" t="s">
        <v>126</v>
      </c>
      <c r="B794" t="s">
        <v>93</v>
      </c>
      <c r="C794">
        <v>2012</v>
      </c>
      <c r="D794">
        <v>6.6</v>
      </c>
      <c r="E794">
        <v>6.6</v>
      </c>
      <c r="F794" t="str">
        <f t="shared" si="12"/>
        <v>natural gas peaker</v>
      </c>
    </row>
    <row r="795" spans="1:6" x14ac:dyDescent="0.25">
      <c r="A795" t="s">
        <v>126</v>
      </c>
      <c r="B795" t="s">
        <v>93</v>
      </c>
      <c r="C795">
        <v>2020</v>
      </c>
      <c r="D795">
        <v>0.6</v>
      </c>
      <c r="E795">
        <v>0.6</v>
      </c>
      <c r="F795" t="str">
        <f t="shared" si="12"/>
        <v>natural gas peaker</v>
      </c>
    </row>
    <row r="796" spans="1:6" x14ac:dyDescent="0.25">
      <c r="A796" t="s">
        <v>126</v>
      </c>
      <c r="B796" t="s">
        <v>93</v>
      </c>
      <c r="C796">
        <v>2022</v>
      </c>
      <c r="D796">
        <v>1</v>
      </c>
      <c r="E796">
        <v>1</v>
      </c>
      <c r="F796" t="str">
        <f t="shared" si="12"/>
        <v>natural gas peaker</v>
      </c>
    </row>
    <row r="797" spans="1:6" x14ac:dyDescent="0.25">
      <c r="A797" t="s">
        <v>126</v>
      </c>
      <c r="B797" t="s">
        <v>93</v>
      </c>
      <c r="C797">
        <v>2023</v>
      </c>
      <c r="D797">
        <v>5</v>
      </c>
      <c r="E797">
        <v>5</v>
      </c>
      <c r="F797" t="str">
        <f t="shared" si="12"/>
        <v>natural gas peaker</v>
      </c>
    </row>
    <row r="798" spans="1:6" x14ac:dyDescent="0.25">
      <c r="A798" t="s">
        <v>126</v>
      </c>
      <c r="B798" t="s">
        <v>85</v>
      </c>
      <c r="C798">
        <v>2023</v>
      </c>
      <c r="D798">
        <v>1114</v>
      </c>
      <c r="E798">
        <v>1114</v>
      </c>
      <c r="F798" t="str">
        <f t="shared" si="12"/>
        <v>nuclear</v>
      </c>
    </row>
    <row r="799" spans="1:6" x14ac:dyDescent="0.25">
      <c r="A799" t="s">
        <v>126</v>
      </c>
      <c r="B799" t="s">
        <v>85</v>
      </c>
      <c r="C799">
        <v>2024</v>
      </c>
      <c r="D799">
        <v>1114</v>
      </c>
      <c r="E799">
        <v>1114</v>
      </c>
      <c r="F799" t="str">
        <f t="shared" si="12"/>
        <v>nuclear</v>
      </c>
    </row>
    <row r="800" spans="1:6" x14ac:dyDescent="0.25">
      <c r="A800" t="s">
        <v>126</v>
      </c>
      <c r="B800" t="s">
        <v>92</v>
      </c>
      <c r="C800">
        <v>1991</v>
      </c>
      <c r="D800">
        <v>8.4</v>
      </c>
      <c r="E800">
        <v>8.8000000000000007</v>
      </c>
      <c r="F800" t="str">
        <f t="shared" si="12"/>
        <v>petroleum</v>
      </c>
    </row>
    <row r="801" spans="1:6" x14ac:dyDescent="0.25">
      <c r="A801" t="s">
        <v>126</v>
      </c>
      <c r="B801" t="s">
        <v>92</v>
      </c>
      <c r="C801">
        <v>1992</v>
      </c>
      <c r="D801">
        <v>2.5</v>
      </c>
      <c r="E801">
        <v>2.5</v>
      </c>
      <c r="F801" t="str">
        <f t="shared" si="12"/>
        <v>petroleum</v>
      </c>
    </row>
    <row r="802" spans="1:6" x14ac:dyDescent="0.25">
      <c r="A802" t="s">
        <v>126</v>
      </c>
      <c r="B802" t="s">
        <v>92</v>
      </c>
      <c r="C802">
        <v>1993</v>
      </c>
      <c r="D802">
        <v>4.4000000000000004</v>
      </c>
      <c r="E802">
        <v>4.5</v>
      </c>
      <c r="F802" t="str">
        <f t="shared" si="12"/>
        <v>petroleum</v>
      </c>
    </row>
    <row r="803" spans="1:6" x14ac:dyDescent="0.25">
      <c r="A803" t="s">
        <v>126</v>
      </c>
      <c r="B803" t="s">
        <v>92</v>
      </c>
      <c r="C803">
        <v>1994</v>
      </c>
      <c r="D803">
        <v>4.9000000000000004</v>
      </c>
      <c r="E803">
        <v>5.5</v>
      </c>
      <c r="F803" t="str">
        <f t="shared" si="12"/>
        <v>petroleum</v>
      </c>
    </row>
    <row r="804" spans="1:6" x14ac:dyDescent="0.25">
      <c r="A804" t="s">
        <v>126</v>
      </c>
      <c r="B804" t="s">
        <v>92</v>
      </c>
      <c r="C804">
        <v>1995</v>
      </c>
      <c r="D804">
        <v>161.69999999999999</v>
      </c>
      <c r="E804">
        <v>185.5</v>
      </c>
      <c r="F804" t="str">
        <f t="shared" si="12"/>
        <v>petroleum</v>
      </c>
    </row>
    <row r="805" spans="1:6" x14ac:dyDescent="0.25">
      <c r="A805" t="s">
        <v>126</v>
      </c>
      <c r="B805" t="s">
        <v>92</v>
      </c>
      <c r="C805">
        <v>1996</v>
      </c>
      <c r="D805">
        <v>0.5</v>
      </c>
      <c r="E805">
        <v>0.5</v>
      </c>
      <c r="F805" t="str">
        <f t="shared" si="12"/>
        <v>petroleum</v>
      </c>
    </row>
    <row r="806" spans="1:6" x14ac:dyDescent="0.25">
      <c r="A806" t="s">
        <v>126</v>
      </c>
      <c r="B806" t="s">
        <v>92</v>
      </c>
      <c r="C806">
        <v>1998</v>
      </c>
      <c r="D806">
        <v>10.8</v>
      </c>
      <c r="E806">
        <v>10.8</v>
      </c>
      <c r="F806" t="str">
        <f t="shared" si="12"/>
        <v>petroleum</v>
      </c>
    </row>
    <row r="807" spans="1:6" x14ac:dyDescent="0.25">
      <c r="A807" t="s">
        <v>126</v>
      </c>
      <c r="B807" t="s">
        <v>92</v>
      </c>
      <c r="C807">
        <v>2000</v>
      </c>
      <c r="D807">
        <v>74</v>
      </c>
      <c r="E807">
        <v>80</v>
      </c>
      <c r="F807" t="str">
        <f t="shared" si="12"/>
        <v>petroleum</v>
      </c>
    </row>
    <row r="808" spans="1:6" x14ac:dyDescent="0.25">
      <c r="A808" t="s">
        <v>126</v>
      </c>
      <c r="B808" t="s">
        <v>92</v>
      </c>
      <c r="C808">
        <v>2001</v>
      </c>
      <c r="D808">
        <v>6.2</v>
      </c>
      <c r="E808">
        <v>6.2</v>
      </c>
      <c r="F808" t="str">
        <f t="shared" si="12"/>
        <v>petroleum</v>
      </c>
    </row>
    <row r="809" spans="1:6" x14ac:dyDescent="0.25">
      <c r="A809" t="s">
        <v>126</v>
      </c>
      <c r="B809" t="s">
        <v>92</v>
      </c>
      <c r="C809">
        <v>2003</v>
      </c>
      <c r="D809">
        <v>7.5</v>
      </c>
      <c r="E809">
        <v>7.5</v>
      </c>
      <c r="F809" t="str">
        <f t="shared" si="12"/>
        <v>petroleum</v>
      </c>
    </row>
    <row r="810" spans="1:6" x14ac:dyDescent="0.25">
      <c r="A810" t="s">
        <v>126</v>
      </c>
      <c r="B810" t="s">
        <v>92</v>
      </c>
      <c r="C810">
        <v>2004</v>
      </c>
      <c r="D810">
        <v>1.2</v>
      </c>
      <c r="E810">
        <v>1.5</v>
      </c>
      <c r="F810" t="str">
        <f t="shared" si="12"/>
        <v>petroleum</v>
      </c>
    </row>
    <row r="811" spans="1:6" x14ac:dyDescent="0.25">
      <c r="A811" t="s">
        <v>126</v>
      </c>
      <c r="B811" t="s">
        <v>92</v>
      </c>
      <c r="C811">
        <v>2005</v>
      </c>
      <c r="D811">
        <v>4.2</v>
      </c>
      <c r="E811">
        <v>4.5999999999999996</v>
      </c>
      <c r="F811" t="str">
        <f t="shared" si="12"/>
        <v>petroleum</v>
      </c>
    </row>
    <row r="812" spans="1:6" x14ac:dyDescent="0.25">
      <c r="A812" t="s">
        <v>126</v>
      </c>
      <c r="B812" t="s">
        <v>92</v>
      </c>
      <c r="C812">
        <v>2007</v>
      </c>
      <c r="D812">
        <v>3.2</v>
      </c>
      <c r="E812">
        <v>3.2</v>
      </c>
      <c r="F812" t="str">
        <f t="shared" si="12"/>
        <v>petroleum</v>
      </c>
    </row>
    <row r="813" spans="1:6" x14ac:dyDescent="0.25">
      <c r="A813" t="s">
        <v>126</v>
      </c>
      <c r="B813" t="s">
        <v>92</v>
      </c>
      <c r="C813">
        <v>2008</v>
      </c>
      <c r="D813">
        <v>2.5</v>
      </c>
      <c r="E813">
        <v>2.5</v>
      </c>
      <c r="F813" t="str">
        <f t="shared" si="12"/>
        <v>petroleum</v>
      </c>
    </row>
    <row r="814" spans="1:6" x14ac:dyDescent="0.25">
      <c r="A814" t="s">
        <v>126</v>
      </c>
      <c r="B814" t="s">
        <v>92</v>
      </c>
      <c r="C814">
        <v>2009</v>
      </c>
      <c r="D814">
        <v>0.6</v>
      </c>
      <c r="E814">
        <v>0.6</v>
      </c>
      <c r="F814" t="str">
        <f t="shared" si="12"/>
        <v>petroleum</v>
      </c>
    </row>
    <row r="815" spans="1:6" x14ac:dyDescent="0.25">
      <c r="A815" t="s">
        <v>126</v>
      </c>
      <c r="B815" t="s">
        <v>92</v>
      </c>
      <c r="C815">
        <v>2010</v>
      </c>
      <c r="D815">
        <v>0.6</v>
      </c>
      <c r="E815">
        <v>0.6</v>
      </c>
      <c r="F815" t="str">
        <f t="shared" si="12"/>
        <v>petroleum</v>
      </c>
    </row>
    <row r="816" spans="1:6" x14ac:dyDescent="0.25">
      <c r="A816" t="s">
        <v>126</v>
      </c>
      <c r="B816" t="s">
        <v>92</v>
      </c>
      <c r="C816">
        <v>2013</v>
      </c>
      <c r="D816">
        <v>4</v>
      </c>
      <c r="E816">
        <v>4</v>
      </c>
      <c r="F816" t="str">
        <f t="shared" si="12"/>
        <v>petroleum</v>
      </c>
    </row>
    <row r="817" spans="1:6" x14ac:dyDescent="0.25">
      <c r="A817" t="s">
        <v>126</v>
      </c>
      <c r="B817" t="s">
        <v>92</v>
      </c>
      <c r="C817">
        <v>2015</v>
      </c>
      <c r="D817">
        <v>0.3</v>
      </c>
      <c r="E817">
        <v>0.3</v>
      </c>
      <c r="F817" t="str">
        <f t="shared" si="12"/>
        <v>petroleum</v>
      </c>
    </row>
    <row r="818" spans="1:6" x14ac:dyDescent="0.25">
      <c r="A818" t="s">
        <v>126</v>
      </c>
      <c r="B818" t="s">
        <v>92</v>
      </c>
      <c r="C818">
        <v>2020</v>
      </c>
      <c r="D818">
        <v>0.6</v>
      </c>
      <c r="E818">
        <v>0.6</v>
      </c>
      <c r="F818" t="str">
        <f t="shared" si="12"/>
        <v>petroleum</v>
      </c>
    </row>
    <row r="819" spans="1:6" x14ac:dyDescent="0.25">
      <c r="A819" t="s">
        <v>126</v>
      </c>
      <c r="B819" t="s">
        <v>92</v>
      </c>
      <c r="C819">
        <v>2023</v>
      </c>
      <c r="D819">
        <v>0.15</v>
      </c>
      <c r="E819">
        <v>0.2</v>
      </c>
      <c r="F819" t="str">
        <f t="shared" si="12"/>
        <v>petroleum</v>
      </c>
    </row>
    <row r="820" spans="1:6" x14ac:dyDescent="0.25">
      <c r="A820" t="s">
        <v>126</v>
      </c>
      <c r="B820" t="s">
        <v>92</v>
      </c>
      <c r="C820">
        <v>2024</v>
      </c>
      <c r="D820">
        <v>0.5</v>
      </c>
      <c r="E820">
        <v>0.5</v>
      </c>
      <c r="F820" t="str">
        <f t="shared" si="12"/>
        <v>petroleum</v>
      </c>
    </row>
    <row r="821" spans="1:6" x14ac:dyDescent="0.25">
      <c r="A821" t="s">
        <v>126</v>
      </c>
      <c r="B821" t="s">
        <v>92</v>
      </c>
      <c r="C821">
        <v>2025</v>
      </c>
      <c r="D821">
        <v>3.8</v>
      </c>
      <c r="E821">
        <v>3.8</v>
      </c>
      <c r="F821" t="str">
        <f t="shared" si="12"/>
        <v>petroleum</v>
      </c>
    </row>
    <row r="822" spans="1:6" x14ac:dyDescent="0.25">
      <c r="A822" t="s">
        <v>126</v>
      </c>
      <c r="B822" t="s">
        <v>249</v>
      </c>
      <c r="C822">
        <v>2011</v>
      </c>
      <c r="D822">
        <v>0.6</v>
      </c>
      <c r="E822">
        <v>0.6</v>
      </c>
      <c r="F822" t="str">
        <f t="shared" si="12"/>
        <v>solar pv</v>
      </c>
    </row>
    <row r="823" spans="1:6" x14ac:dyDescent="0.25">
      <c r="A823" t="s">
        <v>126</v>
      </c>
      <c r="B823" t="s">
        <v>249</v>
      </c>
      <c r="C823">
        <v>2012</v>
      </c>
      <c r="D823">
        <v>3</v>
      </c>
      <c r="E823">
        <v>3</v>
      </c>
      <c r="F823" t="str">
        <f t="shared" si="12"/>
        <v>solar pv</v>
      </c>
    </row>
    <row r="824" spans="1:6" x14ac:dyDescent="0.25">
      <c r="A824" t="s">
        <v>126</v>
      </c>
      <c r="B824" t="s">
        <v>249</v>
      </c>
      <c r="C824">
        <v>2013</v>
      </c>
      <c r="D824">
        <v>58.9</v>
      </c>
      <c r="E824">
        <v>58.9</v>
      </c>
      <c r="F824" t="str">
        <f t="shared" si="12"/>
        <v>solar pv</v>
      </c>
    </row>
    <row r="825" spans="1:6" x14ac:dyDescent="0.25">
      <c r="A825" t="s">
        <v>126</v>
      </c>
      <c r="B825" t="s">
        <v>249</v>
      </c>
      <c r="C825">
        <v>2014</v>
      </c>
      <c r="D825">
        <v>11</v>
      </c>
      <c r="E825">
        <v>11.1</v>
      </c>
      <c r="F825" t="str">
        <f t="shared" si="12"/>
        <v>solar pv</v>
      </c>
    </row>
    <row r="826" spans="1:6" x14ac:dyDescent="0.25">
      <c r="A826" t="s">
        <v>126</v>
      </c>
      <c r="B826" t="s">
        <v>249</v>
      </c>
      <c r="C826">
        <v>2015</v>
      </c>
      <c r="D826">
        <v>145.5</v>
      </c>
      <c r="E826">
        <v>146.5</v>
      </c>
      <c r="F826" t="str">
        <f t="shared" si="12"/>
        <v>solar pv</v>
      </c>
    </row>
    <row r="827" spans="1:6" x14ac:dyDescent="0.25">
      <c r="A827" t="s">
        <v>126</v>
      </c>
      <c r="B827" t="s">
        <v>249</v>
      </c>
      <c r="C827">
        <v>2016</v>
      </c>
      <c r="D827">
        <v>724.4</v>
      </c>
      <c r="E827">
        <v>735.8</v>
      </c>
      <c r="F827" t="str">
        <f t="shared" si="12"/>
        <v>solar pv</v>
      </c>
    </row>
    <row r="828" spans="1:6" x14ac:dyDescent="0.25">
      <c r="A828" t="s">
        <v>126</v>
      </c>
      <c r="B828" t="s">
        <v>249</v>
      </c>
      <c r="C828">
        <v>2017</v>
      </c>
      <c r="D828">
        <v>14.4</v>
      </c>
      <c r="E828">
        <v>14</v>
      </c>
      <c r="F828" t="str">
        <f t="shared" si="12"/>
        <v>solar pv</v>
      </c>
    </row>
    <row r="829" spans="1:6" x14ac:dyDescent="0.25">
      <c r="A829" t="s">
        <v>126</v>
      </c>
      <c r="B829" t="s">
        <v>249</v>
      </c>
      <c r="C829">
        <v>2018</v>
      </c>
      <c r="D829">
        <v>41.5</v>
      </c>
      <c r="E829">
        <v>41.6</v>
      </c>
      <c r="F829" t="str">
        <f t="shared" si="12"/>
        <v>solar pv</v>
      </c>
    </row>
    <row r="830" spans="1:6" x14ac:dyDescent="0.25">
      <c r="A830" t="s">
        <v>126</v>
      </c>
      <c r="B830" t="s">
        <v>249</v>
      </c>
      <c r="C830">
        <v>2019</v>
      </c>
      <c r="D830">
        <v>442</v>
      </c>
      <c r="E830">
        <v>442</v>
      </c>
      <c r="F830" t="str">
        <f t="shared" si="12"/>
        <v>solar pv</v>
      </c>
    </row>
    <row r="831" spans="1:6" x14ac:dyDescent="0.25">
      <c r="A831" t="s">
        <v>126</v>
      </c>
      <c r="B831" t="s">
        <v>249</v>
      </c>
      <c r="C831">
        <v>2020</v>
      </c>
      <c r="D831">
        <v>731.5</v>
      </c>
      <c r="E831">
        <v>731.6</v>
      </c>
      <c r="F831" t="str">
        <f t="shared" si="12"/>
        <v>solar pv</v>
      </c>
    </row>
    <row r="832" spans="1:6" x14ac:dyDescent="0.25">
      <c r="A832" t="s">
        <v>126</v>
      </c>
      <c r="B832" t="s">
        <v>249</v>
      </c>
      <c r="C832">
        <v>2021</v>
      </c>
      <c r="D832">
        <v>870.1</v>
      </c>
      <c r="E832">
        <v>869.9</v>
      </c>
      <c r="F832" t="str">
        <f t="shared" si="12"/>
        <v>solar pv</v>
      </c>
    </row>
    <row r="833" spans="1:6" x14ac:dyDescent="0.25">
      <c r="A833" t="s">
        <v>126</v>
      </c>
      <c r="B833" t="s">
        <v>249</v>
      </c>
      <c r="C833">
        <v>2022</v>
      </c>
      <c r="D833">
        <v>562.9</v>
      </c>
      <c r="E833">
        <v>562.9</v>
      </c>
      <c r="F833" t="str">
        <f t="shared" si="12"/>
        <v>solar pv</v>
      </c>
    </row>
    <row r="834" spans="1:6" x14ac:dyDescent="0.25">
      <c r="A834" t="s">
        <v>126</v>
      </c>
      <c r="B834" t="s">
        <v>249</v>
      </c>
      <c r="C834">
        <v>2023</v>
      </c>
      <c r="D834">
        <v>508.5</v>
      </c>
      <c r="E834">
        <v>508.5</v>
      </c>
      <c r="F834" t="str">
        <f t="shared" ref="F834:F897" si="13">LOWER($B834)</f>
        <v>solar pv</v>
      </c>
    </row>
    <row r="835" spans="1:6" x14ac:dyDescent="0.25">
      <c r="A835" t="s">
        <v>126</v>
      </c>
      <c r="B835" t="s">
        <v>249</v>
      </c>
      <c r="C835">
        <v>2024</v>
      </c>
      <c r="D835">
        <v>638</v>
      </c>
      <c r="E835">
        <v>638</v>
      </c>
      <c r="F835" t="str">
        <f t="shared" si="13"/>
        <v>solar pv</v>
      </c>
    </row>
    <row r="836" spans="1:6" x14ac:dyDescent="0.25">
      <c r="A836" t="s">
        <v>126</v>
      </c>
      <c r="B836" t="s">
        <v>249</v>
      </c>
      <c r="C836">
        <v>2025</v>
      </c>
      <c r="D836">
        <v>650</v>
      </c>
      <c r="E836">
        <v>650</v>
      </c>
      <c r="F836" t="str">
        <f t="shared" si="13"/>
        <v>solar pv</v>
      </c>
    </row>
    <row r="837" spans="1:6" x14ac:dyDescent="0.25">
      <c r="A837" t="s">
        <v>251</v>
      </c>
      <c r="B837" t="s">
        <v>90</v>
      </c>
      <c r="C837">
        <v>1995</v>
      </c>
      <c r="D837">
        <v>2.5</v>
      </c>
      <c r="E837">
        <v>4</v>
      </c>
      <c r="F837" t="str">
        <f t="shared" si="13"/>
        <v>biomass</v>
      </c>
    </row>
    <row r="838" spans="1:6" x14ac:dyDescent="0.25">
      <c r="A838" t="s">
        <v>251</v>
      </c>
      <c r="B838" t="s">
        <v>90</v>
      </c>
      <c r="C838">
        <v>2016</v>
      </c>
      <c r="D838">
        <v>7.5</v>
      </c>
      <c r="E838">
        <v>9.3000000000000007</v>
      </c>
      <c r="F838" t="str">
        <f t="shared" si="13"/>
        <v>biomass</v>
      </c>
    </row>
    <row r="839" spans="1:6" x14ac:dyDescent="0.25">
      <c r="A839" t="s">
        <v>251</v>
      </c>
      <c r="B839" t="s">
        <v>90</v>
      </c>
      <c r="C839">
        <v>2017</v>
      </c>
      <c r="D839">
        <v>10</v>
      </c>
      <c r="E839">
        <v>10</v>
      </c>
      <c r="F839" t="str">
        <f t="shared" si="13"/>
        <v>biomass</v>
      </c>
    </row>
    <row r="840" spans="1:6" x14ac:dyDescent="0.25">
      <c r="A840" t="s">
        <v>251</v>
      </c>
      <c r="B840" t="s">
        <v>90</v>
      </c>
      <c r="C840">
        <v>2018</v>
      </c>
      <c r="D840">
        <v>50.4</v>
      </c>
      <c r="E840">
        <v>50.4</v>
      </c>
      <c r="F840" t="str">
        <f t="shared" si="13"/>
        <v>biomass</v>
      </c>
    </row>
    <row r="841" spans="1:6" x14ac:dyDescent="0.25">
      <c r="A841" t="s">
        <v>251</v>
      </c>
      <c r="B841" t="s">
        <v>91</v>
      </c>
      <c r="C841">
        <v>1992</v>
      </c>
      <c r="D841">
        <v>31</v>
      </c>
      <c r="E841">
        <v>35</v>
      </c>
      <c r="F841" t="str">
        <f t="shared" si="13"/>
        <v>geothermal</v>
      </c>
    </row>
    <row r="842" spans="1:6" x14ac:dyDescent="0.25">
      <c r="A842" t="s">
        <v>251</v>
      </c>
      <c r="B842" t="s">
        <v>91</v>
      </c>
      <c r="C842">
        <v>2012</v>
      </c>
      <c r="D842">
        <v>12</v>
      </c>
      <c r="E842">
        <v>16</v>
      </c>
      <c r="F842" t="str">
        <f t="shared" si="13"/>
        <v>geothermal</v>
      </c>
    </row>
    <row r="843" spans="1:6" x14ac:dyDescent="0.25">
      <c r="A843" t="s">
        <v>251</v>
      </c>
      <c r="B843" t="s">
        <v>97</v>
      </c>
      <c r="C843">
        <v>1991</v>
      </c>
      <c r="D843">
        <v>85</v>
      </c>
      <c r="E843">
        <v>119.2</v>
      </c>
      <c r="F843" t="str">
        <f t="shared" si="13"/>
        <v>heavy or residual fuel oil</v>
      </c>
    </row>
    <row r="844" spans="1:6" x14ac:dyDescent="0.25">
      <c r="A844" t="s">
        <v>251</v>
      </c>
      <c r="B844" t="s">
        <v>86</v>
      </c>
      <c r="C844">
        <v>1993</v>
      </c>
      <c r="D844">
        <v>9.8000000000000007</v>
      </c>
      <c r="E844">
        <v>10.4</v>
      </c>
      <c r="F844" t="str">
        <f t="shared" si="13"/>
        <v>hydro</v>
      </c>
    </row>
    <row r="845" spans="1:6" x14ac:dyDescent="0.25">
      <c r="A845" t="s">
        <v>251</v>
      </c>
      <c r="B845" t="s">
        <v>86</v>
      </c>
      <c r="C845">
        <v>2005</v>
      </c>
      <c r="D845">
        <v>2.4</v>
      </c>
      <c r="E845">
        <v>2.4</v>
      </c>
      <c r="F845" t="str">
        <f t="shared" si="13"/>
        <v>hydro</v>
      </c>
    </row>
    <row r="846" spans="1:6" x14ac:dyDescent="0.25">
      <c r="A846" t="s">
        <v>251</v>
      </c>
      <c r="B846" t="s">
        <v>86</v>
      </c>
      <c r="C846">
        <v>2016</v>
      </c>
      <c r="D846">
        <v>2</v>
      </c>
      <c r="E846">
        <v>2</v>
      </c>
      <c r="F846" t="str">
        <f t="shared" si="13"/>
        <v>hydro</v>
      </c>
    </row>
    <row r="847" spans="1:6" x14ac:dyDescent="0.25">
      <c r="A847" t="s">
        <v>251</v>
      </c>
      <c r="B847" t="s">
        <v>86</v>
      </c>
      <c r="C847">
        <v>2019</v>
      </c>
      <c r="D847">
        <v>6.5</v>
      </c>
      <c r="E847">
        <v>6.5</v>
      </c>
      <c r="F847" t="str">
        <f t="shared" si="13"/>
        <v>hydro</v>
      </c>
    </row>
    <row r="848" spans="1:6" x14ac:dyDescent="0.25">
      <c r="A848" t="s">
        <v>251</v>
      </c>
      <c r="B848" t="s">
        <v>98</v>
      </c>
      <c r="C848">
        <v>2013</v>
      </c>
      <c r="D848">
        <v>28</v>
      </c>
      <c r="E848">
        <v>33.6</v>
      </c>
      <c r="F848" t="str">
        <f t="shared" si="13"/>
        <v>municipal solid waste</v>
      </c>
    </row>
    <row r="849" spans="1:6" x14ac:dyDescent="0.25">
      <c r="A849" t="s">
        <v>251</v>
      </c>
      <c r="B849" t="s">
        <v>87</v>
      </c>
      <c r="C849">
        <v>2006</v>
      </c>
      <c r="D849">
        <v>40.6</v>
      </c>
      <c r="E849">
        <v>40.6</v>
      </c>
      <c r="F849" t="str">
        <f t="shared" si="13"/>
        <v>onshore wind</v>
      </c>
    </row>
    <row r="850" spans="1:6" x14ac:dyDescent="0.25">
      <c r="A850" t="s">
        <v>251</v>
      </c>
      <c r="B850" t="s">
        <v>87</v>
      </c>
      <c r="C850">
        <v>2007</v>
      </c>
      <c r="D850">
        <v>21</v>
      </c>
      <c r="E850">
        <v>21</v>
      </c>
      <c r="F850" t="str">
        <f t="shared" si="13"/>
        <v>onshore wind</v>
      </c>
    </row>
    <row r="851" spans="1:6" x14ac:dyDescent="0.25">
      <c r="A851" t="s">
        <v>251</v>
      </c>
      <c r="B851" t="s">
        <v>87</v>
      </c>
      <c r="C851">
        <v>2011</v>
      </c>
      <c r="D851">
        <v>30</v>
      </c>
      <c r="E851">
        <v>30</v>
      </c>
      <c r="F851" t="str">
        <f t="shared" si="13"/>
        <v>onshore wind</v>
      </c>
    </row>
    <row r="852" spans="1:6" x14ac:dyDescent="0.25">
      <c r="A852" t="s">
        <v>251</v>
      </c>
      <c r="B852" t="s">
        <v>87</v>
      </c>
      <c r="C852">
        <v>2012</v>
      </c>
      <c r="D852">
        <v>114</v>
      </c>
      <c r="E852">
        <v>114</v>
      </c>
      <c r="F852" t="str">
        <f t="shared" si="13"/>
        <v>onshore wind</v>
      </c>
    </row>
    <row r="853" spans="1:6" x14ac:dyDescent="0.25">
      <c r="A853" t="s">
        <v>251</v>
      </c>
      <c r="B853" t="s">
        <v>87</v>
      </c>
      <c r="C853">
        <v>2020</v>
      </c>
      <c r="D853">
        <v>27.6</v>
      </c>
      <c r="E853">
        <v>27.6</v>
      </c>
      <c r="F853" t="str">
        <f t="shared" si="13"/>
        <v>onshore wind</v>
      </c>
    </row>
    <row r="854" spans="1:6" x14ac:dyDescent="0.25">
      <c r="A854" t="s">
        <v>251</v>
      </c>
      <c r="B854" t="s">
        <v>92</v>
      </c>
      <c r="C854">
        <v>1990</v>
      </c>
      <c r="D854">
        <v>30.8</v>
      </c>
      <c r="E854">
        <v>32.200000000000003</v>
      </c>
      <c r="F854" t="str">
        <f t="shared" si="13"/>
        <v>petroleum</v>
      </c>
    </row>
    <row r="855" spans="1:6" x14ac:dyDescent="0.25">
      <c r="A855" t="s">
        <v>251</v>
      </c>
      <c r="B855" t="s">
        <v>92</v>
      </c>
      <c r="C855">
        <v>1991</v>
      </c>
      <c r="D855">
        <v>66.099999999999994</v>
      </c>
      <c r="E855">
        <v>79.099999999999994</v>
      </c>
      <c r="F855" t="str">
        <f t="shared" si="13"/>
        <v>petroleum</v>
      </c>
    </row>
    <row r="856" spans="1:6" x14ac:dyDescent="0.25">
      <c r="A856" t="s">
        <v>251</v>
      </c>
      <c r="B856" t="s">
        <v>92</v>
      </c>
      <c r="C856">
        <v>1992</v>
      </c>
      <c r="D856">
        <v>41.1</v>
      </c>
      <c r="E856">
        <v>47.2</v>
      </c>
      <c r="F856" t="str">
        <f t="shared" si="13"/>
        <v>petroleum</v>
      </c>
    </row>
    <row r="857" spans="1:6" x14ac:dyDescent="0.25">
      <c r="A857" t="s">
        <v>251</v>
      </c>
      <c r="B857" t="s">
        <v>92</v>
      </c>
      <c r="C857">
        <v>1993</v>
      </c>
      <c r="D857">
        <v>33.1</v>
      </c>
      <c r="E857">
        <v>41.6</v>
      </c>
      <c r="F857" t="str">
        <f t="shared" si="13"/>
        <v>petroleum</v>
      </c>
    </row>
    <row r="858" spans="1:6" x14ac:dyDescent="0.25">
      <c r="A858" t="s">
        <v>251</v>
      </c>
      <c r="B858" t="s">
        <v>92</v>
      </c>
      <c r="C858">
        <v>1996</v>
      </c>
      <c r="D858">
        <v>10.199999999999999</v>
      </c>
      <c r="E858">
        <v>11</v>
      </c>
      <c r="F858" t="str">
        <f t="shared" si="13"/>
        <v>petroleum</v>
      </c>
    </row>
    <row r="859" spans="1:6" x14ac:dyDescent="0.25">
      <c r="A859" t="s">
        <v>251</v>
      </c>
      <c r="B859" t="s">
        <v>92</v>
      </c>
      <c r="C859">
        <v>1998</v>
      </c>
      <c r="D859">
        <v>17.600000000000001</v>
      </c>
      <c r="E859">
        <v>25</v>
      </c>
      <c r="F859" t="str">
        <f t="shared" si="13"/>
        <v>petroleum</v>
      </c>
    </row>
    <row r="860" spans="1:6" x14ac:dyDescent="0.25">
      <c r="A860" t="s">
        <v>251</v>
      </c>
      <c r="B860" t="s">
        <v>92</v>
      </c>
      <c r="C860">
        <v>2000</v>
      </c>
      <c r="D860">
        <v>78.400000000000006</v>
      </c>
      <c r="E860">
        <v>91</v>
      </c>
      <c r="F860" t="str">
        <f t="shared" si="13"/>
        <v>petroleum</v>
      </c>
    </row>
    <row r="861" spans="1:6" x14ac:dyDescent="0.25">
      <c r="A861" t="s">
        <v>251</v>
      </c>
      <c r="B861" t="s">
        <v>92</v>
      </c>
      <c r="C861">
        <v>2001</v>
      </c>
      <c r="D861">
        <v>2</v>
      </c>
      <c r="E861">
        <v>2</v>
      </c>
      <c r="F861" t="str">
        <f t="shared" si="13"/>
        <v>petroleum</v>
      </c>
    </row>
    <row r="862" spans="1:6" x14ac:dyDescent="0.25">
      <c r="A862" t="s">
        <v>251</v>
      </c>
      <c r="B862" t="s">
        <v>92</v>
      </c>
      <c r="C862">
        <v>2004</v>
      </c>
      <c r="D862">
        <v>39.6</v>
      </c>
      <c r="E862">
        <v>46</v>
      </c>
      <c r="F862" t="str">
        <f t="shared" si="13"/>
        <v>petroleum</v>
      </c>
    </row>
    <row r="863" spans="1:6" x14ac:dyDescent="0.25">
      <c r="A863" t="s">
        <v>251</v>
      </c>
      <c r="B863" t="s">
        <v>92</v>
      </c>
      <c r="C863">
        <v>2005</v>
      </c>
      <c r="D863">
        <v>14.4</v>
      </c>
      <c r="E863">
        <v>14.4</v>
      </c>
      <c r="F863" t="str">
        <f t="shared" si="13"/>
        <v>petroleum</v>
      </c>
    </row>
    <row r="864" spans="1:6" x14ac:dyDescent="0.25">
      <c r="A864" t="s">
        <v>251</v>
      </c>
      <c r="B864" t="s">
        <v>92</v>
      </c>
      <c r="C864">
        <v>2006</v>
      </c>
      <c r="D864">
        <v>23.4</v>
      </c>
      <c r="E864">
        <v>27.6</v>
      </c>
      <c r="F864" t="str">
        <f t="shared" si="13"/>
        <v>petroleum</v>
      </c>
    </row>
    <row r="865" spans="1:6" x14ac:dyDescent="0.25">
      <c r="A865" t="s">
        <v>251</v>
      </c>
      <c r="B865" t="s">
        <v>92</v>
      </c>
      <c r="C865">
        <v>2007</v>
      </c>
      <c r="D865">
        <v>4.8</v>
      </c>
      <c r="E865">
        <v>4.8</v>
      </c>
      <c r="F865" t="str">
        <f t="shared" si="13"/>
        <v>petroleum</v>
      </c>
    </row>
    <row r="866" spans="1:6" x14ac:dyDescent="0.25">
      <c r="A866" t="s">
        <v>251</v>
      </c>
      <c r="B866" t="s">
        <v>92</v>
      </c>
      <c r="C866">
        <v>2009</v>
      </c>
      <c r="D866">
        <v>129</v>
      </c>
      <c r="E866">
        <v>131</v>
      </c>
      <c r="F866" t="str">
        <f t="shared" si="13"/>
        <v>petroleum</v>
      </c>
    </row>
    <row r="867" spans="1:6" x14ac:dyDescent="0.25">
      <c r="A867" t="s">
        <v>251</v>
      </c>
      <c r="B867" t="s">
        <v>92</v>
      </c>
      <c r="C867">
        <v>2010</v>
      </c>
      <c r="D867">
        <v>1</v>
      </c>
      <c r="E867">
        <v>1</v>
      </c>
      <c r="F867" t="str">
        <f t="shared" si="13"/>
        <v>petroleum</v>
      </c>
    </row>
    <row r="868" spans="1:6" x14ac:dyDescent="0.25">
      <c r="A868" t="s">
        <v>251</v>
      </c>
      <c r="B868" t="s">
        <v>92</v>
      </c>
      <c r="C868">
        <v>2011</v>
      </c>
      <c r="D868">
        <v>3.2</v>
      </c>
      <c r="E868">
        <v>3.2</v>
      </c>
      <c r="F868" t="str">
        <f t="shared" si="13"/>
        <v>petroleum</v>
      </c>
    </row>
    <row r="869" spans="1:6" x14ac:dyDescent="0.25">
      <c r="A869" t="s">
        <v>251</v>
      </c>
      <c r="B869" t="s">
        <v>92</v>
      </c>
      <c r="C869">
        <v>2014</v>
      </c>
      <c r="D869">
        <v>1</v>
      </c>
      <c r="E869">
        <v>1</v>
      </c>
      <c r="F869" t="str">
        <f t="shared" si="13"/>
        <v>petroleum</v>
      </c>
    </row>
    <row r="870" spans="1:6" x14ac:dyDescent="0.25">
      <c r="A870" t="s">
        <v>251</v>
      </c>
      <c r="B870" t="s">
        <v>92</v>
      </c>
      <c r="C870">
        <v>2023</v>
      </c>
      <c r="D870">
        <v>1</v>
      </c>
      <c r="E870">
        <v>1</v>
      </c>
      <c r="F870" t="str">
        <f t="shared" si="13"/>
        <v>petroleum</v>
      </c>
    </row>
    <row r="871" spans="1:6" x14ac:dyDescent="0.25">
      <c r="A871" t="s">
        <v>251</v>
      </c>
      <c r="B871" t="s">
        <v>249</v>
      </c>
      <c r="C871">
        <v>2008</v>
      </c>
      <c r="D871">
        <v>1.2</v>
      </c>
      <c r="E871">
        <v>1.2</v>
      </c>
      <c r="F871" t="str">
        <f t="shared" si="13"/>
        <v>solar pv</v>
      </c>
    </row>
    <row r="872" spans="1:6" x14ac:dyDescent="0.25">
      <c r="A872" t="s">
        <v>251</v>
      </c>
      <c r="B872" t="s">
        <v>249</v>
      </c>
      <c r="C872">
        <v>2010</v>
      </c>
      <c r="D872">
        <v>1</v>
      </c>
      <c r="E872">
        <v>1</v>
      </c>
      <c r="F872" t="str">
        <f t="shared" si="13"/>
        <v>solar pv</v>
      </c>
    </row>
    <row r="873" spans="1:6" x14ac:dyDescent="0.25">
      <c r="A873" t="s">
        <v>251</v>
      </c>
      <c r="B873" t="s">
        <v>249</v>
      </c>
      <c r="C873">
        <v>2012</v>
      </c>
      <c r="D873">
        <v>13</v>
      </c>
      <c r="E873">
        <v>13</v>
      </c>
      <c r="F873" t="str">
        <f t="shared" si="13"/>
        <v>solar pv</v>
      </c>
    </row>
    <row r="874" spans="1:6" x14ac:dyDescent="0.25">
      <c r="A874" t="s">
        <v>251</v>
      </c>
      <c r="B874" t="s">
        <v>249</v>
      </c>
      <c r="C874">
        <v>2014</v>
      </c>
      <c r="D874">
        <v>17</v>
      </c>
      <c r="E874">
        <v>17</v>
      </c>
      <c r="F874" t="str">
        <f t="shared" si="13"/>
        <v>solar pv</v>
      </c>
    </row>
    <row r="875" spans="1:6" x14ac:dyDescent="0.25">
      <c r="A875" t="s">
        <v>251</v>
      </c>
      <c r="B875" t="s">
        <v>249</v>
      </c>
      <c r="C875">
        <v>2015</v>
      </c>
      <c r="D875">
        <v>22.2</v>
      </c>
      <c r="E875">
        <v>23</v>
      </c>
      <c r="F875" t="str">
        <f t="shared" si="13"/>
        <v>solar pv</v>
      </c>
    </row>
    <row r="876" spans="1:6" x14ac:dyDescent="0.25">
      <c r="A876" t="s">
        <v>251</v>
      </c>
      <c r="B876" t="s">
        <v>249</v>
      </c>
      <c r="C876">
        <v>2016</v>
      </c>
      <c r="D876">
        <v>6.5</v>
      </c>
      <c r="E876">
        <v>6.5</v>
      </c>
      <c r="F876" t="str">
        <f t="shared" si="13"/>
        <v>solar pv</v>
      </c>
    </row>
    <row r="877" spans="1:6" x14ac:dyDescent="0.25">
      <c r="A877" t="s">
        <v>251</v>
      </c>
      <c r="B877" t="s">
        <v>249</v>
      </c>
      <c r="C877">
        <v>2017</v>
      </c>
      <c r="D877">
        <v>47.6</v>
      </c>
      <c r="E877">
        <v>48.3</v>
      </c>
      <c r="F877" t="str">
        <f t="shared" si="13"/>
        <v>solar pv</v>
      </c>
    </row>
    <row r="878" spans="1:6" x14ac:dyDescent="0.25">
      <c r="A878" t="s">
        <v>251</v>
      </c>
      <c r="B878" t="s">
        <v>249</v>
      </c>
      <c r="C878">
        <v>2018</v>
      </c>
      <c r="D878">
        <v>25.8</v>
      </c>
      <c r="E878">
        <v>25.8</v>
      </c>
      <c r="F878" t="str">
        <f t="shared" si="13"/>
        <v>solar pv</v>
      </c>
    </row>
    <row r="879" spans="1:6" x14ac:dyDescent="0.25">
      <c r="A879" t="s">
        <v>251</v>
      </c>
      <c r="B879" t="s">
        <v>249</v>
      </c>
      <c r="C879">
        <v>2019</v>
      </c>
      <c r="D879">
        <v>143.6</v>
      </c>
      <c r="E879">
        <v>143.6</v>
      </c>
      <c r="F879" t="str">
        <f t="shared" si="13"/>
        <v>solar pv</v>
      </c>
    </row>
    <row r="880" spans="1:6" x14ac:dyDescent="0.25">
      <c r="A880" t="s">
        <v>251</v>
      </c>
      <c r="B880" t="s">
        <v>249</v>
      </c>
      <c r="C880">
        <v>2020</v>
      </c>
      <c r="D880">
        <v>6.2</v>
      </c>
      <c r="E880">
        <v>6.4</v>
      </c>
      <c r="F880" t="str">
        <f t="shared" si="13"/>
        <v>solar pv</v>
      </c>
    </row>
    <row r="881" spans="1:6" x14ac:dyDescent="0.25">
      <c r="A881" t="s">
        <v>251</v>
      </c>
      <c r="B881" t="s">
        <v>249</v>
      </c>
      <c r="C881">
        <v>2021</v>
      </c>
      <c r="D881">
        <v>3.5</v>
      </c>
      <c r="E881">
        <v>3.9</v>
      </c>
      <c r="F881" t="str">
        <f t="shared" si="13"/>
        <v>solar pv</v>
      </c>
    </row>
    <row r="882" spans="1:6" x14ac:dyDescent="0.25">
      <c r="A882" t="s">
        <v>251</v>
      </c>
      <c r="B882" t="s">
        <v>249</v>
      </c>
      <c r="C882">
        <v>2022</v>
      </c>
      <c r="D882">
        <v>39</v>
      </c>
      <c r="E882">
        <v>39</v>
      </c>
      <c r="F882" t="str">
        <f t="shared" si="13"/>
        <v>solar pv</v>
      </c>
    </row>
    <row r="883" spans="1:6" x14ac:dyDescent="0.25">
      <c r="A883" t="s">
        <v>251</v>
      </c>
      <c r="B883" t="s">
        <v>249</v>
      </c>
      <c r="C883">
        <v>2023</v>
      </c>
      <c r="D883">
        <v>76.12</v>
      </c>
      <c r="E883">
        <v>66</v>
      </c>
      <c r="F883" t="str">
        <f t="shared" si="13"/>
        <v>solar pv</v>
      </c>
    </row>
    <row r="884" spans="1:6" x14ac:dyDescent="0.25">
      <c r="A884" t="s">
        <v>251</v>
      </c>
      <c r="B884" t="s">
        <v>249</v>
      </c>
      <c r="C884">
        <v>2024</v>
      </c>
      <c r="D884">
        <v>72.5</v>
      </c>
      <c r="E884">
        <v>72.5</v>
      </c>
      <c r="F884" t="str">
        <f t="shared" si="13"/>
        <v>solar pv</v>
      </c>
    </row>
    <row r="885" spans="1:6" x14ac:dyDescent="0.25">
      <c r="A885" t="s">
        <v>251</v>
      </c>
      <c r="B885" t="s">
        <v>249</v>
      </c>
      <c r="C885">
        <v>2025</v>
      </c>
      <c r="D885">
        <v>110.8</v>
      </c>
      <c r="E885">
        <v>110.8</v>
      </c>
      <c r="F885" t="str">
        <f t="shared" si="13"/>
        <v>solar pv</v>
      </c>
    </row>
    <row r="886" spans="1:6" x14ac:dyDescent="0.25">
      <c r="A886" t="s">
        <v>128</v>
      </c>
      <c r="B886" t="s">
        <v>90</v>
      </c>
      <c r="C886">
        <v>1991</v>
      </c>
      <c r="D886">
        <v>1.8</v>
      </c>
      <c r="E886">
        <v>1.8</v>
      </c>
      <c r="F886" t="str">
        <f t="shared" si="13"/>
        <v>biomass</v>
      </c>
    </row>
    <row r="887" spans="1:6" x14ac:dyDescent="0.25">
      <c r="A887" t="s">
        <v>128</v>
      </c>
      <c r="B887" t="s">
        <v>90</v>
      </c>
      <c r="C887">
        <v>1995</v>
      </c>
      <c r="D887">
        <v>1.6</v>
      </c>
      <c r="E887">
        <v>1.6</v>
      </c>
      <c r="F887" t="str">
        <f t="shared" si="13"/>
        <v>biomass</v>
      </c>
    </row>
    <row r="888" spans="1:6" x14ac:dyDescent="0.25">
      <c r="A888" t="s">
        <v>128</v>
      </c>
      <c r="B888" t="s">
        <v>90</v>
      </c>
      <c r="C888">
        <v>1998</v>
      </c>
      <c r="D888">
        <v>6.4</v>
      </c>
      <c r="E888">
        <v>6.4</v>
      </c>
      <c r="F888" t="str">
        <f t="shared" si="13"/>
        <v>biomass</v>
      </c>
    </row>
    <row r="889" spans="1:6" x14ac:dyDescent="0.25">
      <c r="A889" t="s">
        <v>128</v>
      </c>
      <c r="B889" t="s">
        <v>90</v>
      </c>
      <c r="C889">
        <v>2006</v>
      </c>
      <c r="D889">
        <v>4.8</v>
      </c>
      <c r="E889">
        <v>4.8</v>
      </c>
      <c r="F889" t="str">
        <f t="shared" si="13"/>
        <v>biomass</v>
      </c>
    </row>
    <row r="890" spans="1:6" x14ac:dyDescent="0.25">
      <c r="A890" t="s">
        <v>128</v>
      </c>
      <c r="B890" t="s">
        <v>90</v>
      </c>
      <c r="C890">
        <v>2013</v>
      </c>
      <c r="D890">
        <v>1</v>
      </c>
      <c r="E890">
        <v>1</v>
      </c>
      <c r="F890" t="str">
        <f t="shared" si="13"/>
        <v>biomass</v>
      </c>
    </row>
    <row r="891" spans="1:6" x14ac:dyDescent="0.25">
      <c r="A891" t="s">
        <v>128</v>
      </c>
      <c r="B891" t="s">
        <v>90</v>
      </c>
      <c r="C891">
        <v>2014</v>
      </c>
      <c r="D891">
        <v>4.8</v>
      </c>
      <c r="E891">
        <v>4.8</v>
      </c>
      <c r="F891" t="str">
        <f t="shared" si="13"/>
        <v>biomass</v>
      </c>
    </row>
    <row r="892" spans="1:6" x14ac:dyDescent="0.25">
      <c r="A892" t="s">
        <v>128</v>
      </c>
      <c r="B892" t="s">
        <v>90</v>
      </c>
      <c r="C892">
        <v>2015</v>
      </c>
      <c r="D892">
        <v>2.8</v>
      </c>
      <c r="E892">
        <v>2.8</v>
      </c>
      <c r="F892" t="str">
        <f t="shared" si="13"/>
        <v>biomass</v>
      </c>
    </row>
    <row r="893" spans="1:6" x14ac:dyDescent="0.25">
      <c r="A893" t="s">
        <v>128</v>
      </c>
      <c r="B893" t="s">
        <v>81</v>
      </c>
      <c r="C893">
        <v>1991</v>
      </c>
      <c r="D893">
        <v>7</v>
      </c>
      <c r="E893">
        <v>7</v>
      </c>
      <c r="F893" t="str">
        <f t="shared" si="13"/>
        <v>hard coal</v>
      </c>
    </row>
    <row r="894" spans="1:6" x14ac:dyDescent="0.25">
      <c r="A894" t="s">
        <v>128</v>
      </c>
      <c r="B894" t="s">
        <v>81</v>
      </c>
      <c r="C894">
        <v>1995</v>
      </c>
      <c r="D894">
        <v>31</v>
      </c>
      <c r="E894">
        <v>31</v>
      </c>
      <c r="F894" t="str">
        <f t="shared" si="13"/>
        <v>hard coal</v>
      </c>
    </row>
    <row r="895" spans="1:6" x14ac:dyDescent="0.25">
      <c r="A895" t="s">
        <v>128</v>
      </c>
      <c r="B895" t="s">
        <v>81</v>
      </c>
      <c r="C895">
        <v>1997</v>
      </c>
      <c r="D895">
        <v>14.6</v>
      </c>
      <c r="E895">
        <v>14.6</v>
      </c>
      <c r="F895" t="str">
        <f t="shared" si="13"/>
        <v>hard coal</v>
      </c>
    </row>
    <row r="896" spans="1:6" x14ac:dyDescent="0.25">
      <c r="A896" t="s">
        <v>128</v>
      </c>
      <c r="B896" t="s">
        <v>81</v>
      </c>
      <c r="C896">
        <v>2000</v>
      </c>
      <c r="D896">
        <v>119.5</v>
      </c>
      <c r="E896">
        <v>119.1</v>
      </c>
      <c r="F896" t="str">
        <f t="shared" si="13"/>
        <v>hard coal</v>
      </c>
    </row>
    <row r="897" spans="1:6" x14ac:dyDescent="0.25">
      <c r="A897" t="s">
        <v>128</v>
      </c>
      <c r="B897" t="s">
        <v>81</v>
      </c>
      <c r="C897">
        <v>2007</v>
      </c>
      <c r="D897">
        <v>805.8</v>
      </c>
      <c r="E897">
        <v>922.5</v>
      </c>
      <c r="F897" t="str">
        <f t="shared" si="13"/>
        <v>hard coal</v>
      </c>
    </row>
    <row r="898" spans="1:6" x14ac:dyDescent="0.25">
      <c r="A898" t="s">
        <v>128</v>
      </c>
      <c r="B898" t="s">
        <v>81</v>
      </c>
      <c r="C898">
        <v>2009</v>
      </c>
      <c r="D898">
        <v>180</v>
      </c>
      <c r="E898">
        <v>180</v>
      </c>
      <c r="F898" t="str">
        <f t="shared" ref="F898:F961" si="14">LOWER($B898)</f>
        <v>hard coal</v>
      </c>
    </row>
    <row r="899" spans="1:6" x14ac:dyDescent="0.25">
      <c r="A899" t="s">
        <v>128</v>
      </c>
      <c r="B899" t="s">
        <v>86</v>
      </c>
      <c r="C899">
        <v>2021</v>
      </c>
      <c r="D899">
        <v>55</v>
      </c>
      <c r="E899">
        <v>55.2</v>
      </c>
      <c r="F899" t="str">
        <f t="shared" si="14"/>
        <v>hydro</v>
      </c>
    </row>
    <row r="900" spans="1:6" x14ac:dyDescent="0.25">
      <c r="A900" t="s">
        <v>128</v>
      </c>
      <c r="B900" t="s">
        <v>84</v>
      </c>
      <c r="C900">
        <v>2003</v>
      </c>
      <c r="D900">
        <v>322.7</v>
      </c>
      <c r="E900">
        <v>380.8</v>
      </c>
      <c r="F900" t="str">
        <f t="shared" si="14"/>
        <v>natural gas combined cycle</v>
      </c>
    </row>
    <row r="901" spans="1:6" x14ac:dyDescent="0.25">
      <c r="A901" t="s">
        <v>128</v>
      </c>
      <c r="B901" t="s">
        <v>84</v>
      </c>
      <c r="C901">
        <v>2004</v>
      </c>
      <c r="D901">
        <v>768.4</v>
      </c>
      <c r="E901">
        <v>848.3</v>
      </c>
      <c r="F901" t="str">
        <f t="shared" si="14"/>
        <v>natural gas combined cycle</v>
      </c>
    </row>
    <row r="902" spans="1:6" x14ac:dyDescent="0.25">
      <c r="A902" t="s">
        <v>128</v>
      </c>
      <c r="B902" t="s">
        <v>84</v>
      </c>
      <c r="C902">
        <v>2017</v>
      </c>
      <c r="D902">
        <v>665.2</v>
      </c>
      <c r="E902">
        <v>705.9</v>
      </c>
      <c r="F902" t="str">
        <f t="shared" si="14"/>
        <v>natural gas combined cycle</v>
      </c>
    </row>
    <row r="903" spans="1:6" x14ac:dyDescent="0.25">
      <c r="A903" t="s">
        <v>128</v>
      </c>
      <c r="B903" t="s">
        <v>93</v>
      </c>
      <c r="C903">
        <v>1990</v>
      </c>
      <c r="D903">
        <v>145.6</v>
      </c>
      <c r="E903">
        <v>165.7</v>
      </c>
      <c r="F903" t="str">
        <f t="shared" si="14"/>
        <v>natural gas peaker</v>
      </c>
    </row>
    <row r="904" spans="1:6" x14ac:dyDescent="0.25">
      <c r="A904" t="s">
        <v>128</v>
      </c>
      <c r="B904" t="s">
        <v>93</v>
      </c>
      <c r="C904">
        <v>1991</v>
      </c>
      <c r="D904">
        <v>20.9</v>
      </c>
      <c r="E904">
        <v>23.8</v>
      </c>
      <c r="F904" t="str">
        <f t="shared" si="14"/>
        <v>natural gas peaker</v>
      </c>
    </row>
    <row r="905" spans="1:6" x14ac:dyDescent="0.25">
      <c r="A905" t="s">
        <v>128</v>
      </c>
      <c r="B905" t="s">
        <v>93</v>
      </c>
      <c r="C905">
        <v>1992</v>
      </c>
      <c r="D905">
        <v>18.8</v>
      </c>
      <c r="E905">
        <v>22.7</v>
      </c>
      <c r="F905" t="str">
        <f t="shared" si="14"/>
        <v>natural gas peaker</v>
      </c>
    </row>
    <row r="906" spans="1:6" x14ac:dyDescent="0.25">
      <c r="A906" t="s">
        <v>128</v>
      </c>
      <c r="B906" t="s">
        <v>93</v>
      </c>
      <c r="C906">
        <v>1994</v>
      </c>
      <c r="D906">
        <v>95.9</v>
      </c>
      <c r="E906">
        <v>136.4</v>
      </c>
      <c r="F906" t="str">
        <f t="shared" si="14"/>
        <v>natural gas peaker</v>
      </c>
    </row>
    <row r="907" spans="1:6" x14ac:dyDescent="0.25">
      <c r="A907" t="s">
        <v>128</v>
      </c>
      <c r="B907" t="s">
        <v>93</v>
      </c>
      <c r="C907">
        <v>1995</v>
      </c>
      <c r="D907">
        <v>9.1999999999999993</v>
      </c>
      <c r="E907">
        <v>19.7</v>
      </c>
      <c r="F907" t="str">
        <f t="shared" si="14"/>
        <v>natural gas peaker</v>
      </c>
    </row>
    <row r="908" spans="1:6" x14ac:dyDescent="0.25">
      <c r="A908" t="s">
        <v>128</v>
      </c>
      <c r="B908" t="s">
        <v>93</v>
      </c>
      <c r="C908">
        <v>1996</v>
      </c>
      <c r="D908">
        <v>26.3</v>
      </c>
      <c r="E908">
        <v>42.2</v>
      </c>
      <c r="F908" t="str">
        <f t="shared" si="14"/>
        <v>natural gas peaker</v>
      </c>
    </row>
    <row r="909" spans="1:6" x14ac:dyDescent="0.25">
      <c r="A909" t="s">
        <v>128</v>
      </c>
      <c r="B909" t="s">
        <v>93</v>
      </c>
      <c r="C909">
        <v>1998</v>
      </c>
      <c r="D909">
        <v>1</v>
      </c>
      <c r="E909">
        <v>1</v>
      </c>
      <c r="F909" t="str">
        <f t="shared" si="14"/>
        <v>natural gas peaker</v>
      </c>
    </row>
    <row r="910" spans="1:6" x14ac:dyDescent="0.25">
      <c r="A910" t="s">
        <v>128</v>
      </c>
      <c r="B910" t="s">
        <v>93</v>
      </c>
      <c r="C910">
        <v>1999</v>
      </c>
      <c r="D910">
        <v>9.8000000000000007</v>
      </c>
      <c r="E910">
        <v>10</v>
      </c>
      <c r="F910" t="str">
        <f t="shared" si="14"/>
        <v>natural gas peaker</v>
      </c>
    </row>
    <row r="911" spans="1:6" x14ac:dyDescent="0.25">
      <c r="A911" t="s">
        <v>128</v>
      </c>
      <c r="B911" t="s">
        <v>93</v>
      </c>
      <c r="C911">
        <v>2000</v>
      </c>
      <c r="D911">
        <v>23.7</v>
      </c>
      <c r="E911">
        <v>24.8</v>
      </c>
      <c r="F911" t="str">
        <f t="shared" si="14"/>
        <v>natural gas peaker</v>
      </c>
    </row>
    <row r="912" spans="1:6" x14ac:dyDescent="0.25">
      <c r="A912" t="s">
        <v>128</v>
      </c>
      <c r="B912" t="s">
        <v>93</v>
      </c>
      <c r="C912">
        <v>2004</v>
      </c>
      <c r="D912">
        <v>180.5</v>
      </c>
      <c r="E912">
        <v>216.3</v>
      </c>
      <c r="F912" t="str">
        <f t="shared" si="14"/>
        <v>natural gas peaker</v>
      </c>
    </row>
    <row r="913" spans="1:6" x14ac:dyDescent="0.25">
      <c r="A913" t="s">
        <v>128</v>
      </c>
      <c r="B913" t="s">
        <v>93</v>
      </c>
      <c r="C913">
        <v>2006</v>
      </c>
      <c r="D913">
        <v>3</v>
      </c>
      <c r="E913">
        <v>3</v>
      </c>
      <c r="F913" t="str">
        <f t="shared" si="14"/>
        <v>natural gas peaker</v>
      </c>
    </row>
    <row r="914" spans="1:6" x14ac:dyDescent="0.25">
      <c r="A914" t="s">
        <v>128</v>
      </c>
      <c r="B914" t="s">
        <v>93</v>
      </c>
      <c r="C914">
        <v>2007</v>
      </c>
      <c r="D914">
        <v>46.7</v>
      </c>
      <c r="E914">
        <v>60.5</v>
      </c>
      <c r="F914" t="str">
        <f t="shared" si="14"/>
        <v>natural gas peaker</v>
      </c>
    </row>
    <row r="915" spans="1:6" x14ac:dyDescent="0.25">
      <c r="A915" t="s">
        <v>128</v>
      </c>
      <c r="B915" t="s">
        <v>93</v>
      </c>
      <c r="C915">
        <v>2010</v>
      </c>
      <c r="D915">
        <v>2.8</v>
      </c>
      <c r="E915">
        <v>2.8</v>
      </c>
      <c r="F915" t="str">
        <f t="shared" si="14"/>
        <v>natural gas peaker</v>
      </c>
    </row>
    <row r="916" spans="1:6" x14ac:dyDescent="0.25">
      <c r="A916" t="s">
        <v>128</v>
      </c>
      <c r="B916" t="s">
        <v>93</v>
      </c>
      <c r="C916">
        <v>2014</v>
      </c>
      <c r="D916">
        <v>8</v>
      </c>
      <c r="E916">
        <v>8</v>
      </c>
      <c r="F916" t="str">
        <f t="shared" si="14"/>
        <v>natural gas peaker</v>
      </c>
    </row>
    <row r="917" spans="1:6" x14ac:dyDescent="0.25">
      <c r="A917" t="s">
        <v>128</v>
      </c>
      <c r="B917" t="s">
        <v>93</v>
      </c>
      <c r="C917">
        <v>2016</v>
      </c>
      <c r="D917">
        <v>35</v>
      </c>
      <c r="E917">
        <v>38.5</v>
      </c>
      <c r="F917" t="str">
        <f t="shared" si="14"/>
        <v>natural gas peaker</v>
      </c>
    </row>
    <row r="918" spans="1:6" x14ac:dyDescent="0.25">
      <c r="A918" t="s">
        <v>128</v>
      </c>
      <c r="B918" t="s">
        <v>93</v>
      </c>
      <c r="C918">
        <v>2021</v>
      </c>
      <c r="D918">
        <v>55.2</v>
      </c>
      <c r="E918">
        <v>56.4</v>
      </c>
      <c r="F918" t="str">
        <f t="shared" si="14"/>
        <v>natural gas peaker</v>
      </c>
    </row>
    <row r="919" spans="1:6" x14ac:dyDescent="0.25">
      <c r="A919" t="s">
        <v>128</v>
      </c>
      <c r="B919" t="s">
        <v>83</v>
      </c>
      <c r="C919">
        <v>2005</v>
      </c>
      <c r="D919">
        <v>15.1</v>
      </c>
      <c r="E919">
        <v>15.1</v>
      </c>
      <c r="F919" t="str">
        <f t="shared" si="14"/>
        <v>natural gas steam turbine</v>
      </c>
    </row>
    <row r="920" spans="1:6" x14ac:dyDescent="0.25">
      <c r="A920" t="s">
        <v>128</v>
      </c>
      <c r="B920" t="s">
        <v>83</v>
      </c>
      <c r="C920">
        <v>2018</v>
      </c>
      <c r="D920">
        <v>10</v>
      </c>
      <c r="E920">
        <v>10</v>
      </c>
      <c r="F920" t="str">
        <f t="shared" si="14"/>
        <v>natural gas steam turbine</v>
      </c>
    </row>
    <row r="921" spans="1:6" x14ac:dyDescent="0.25">
      <c r="A921" t="s">
        <v>128</v>
      </c>
      <c r="B921" t="s">
        <v>83</v>
      </c>
      <c r="C921">
        <v>2019</v>
      </c>
      <c r="D921">
        <v>0.9</v>
      </c>
      <c r="E921">
        <v>5</v>
      </c>
      <c r="F921" t="str">
        <f t="shared" si="14"/>
        <v>natural gas steam turbine</v>
      </c>
    </row>
    <row r="922" spans="1:6" x14ac:dyDescent="0.25">
      <c r="A922" t="s">
        <v>128</v>
      </c>
      <c r="B922" t="s">
        <v>83</v>
      </c>
      <c r="C922">
        <v>2022</v>
      </c>
      <c r="D922">
        <v>15.8</v>
      </c>
      <c r="E922">
        <v>15.8</v>
      </c>
      <c r="F922" t="str">
        <f t="shared" si="14"/>
        <v>natural gas steam turbine</v>
      </c>
    </row>
    <row r="923" spans="1:6" x14ac:dyDescent="0.25">
      <c r="A923" t="s">
        <v>128</v>
      </c>
      <c r="B923" t="s">
        <v>83</v>
      </c>
      <c r="C923">
        <v>2023</v>
      </c>
      <c r="D923">
        <v>2.7</v>
      </c>
      <c r="E923">
        <v>3.5</v>
      </c>
      <c r="F923" t="str">
        <f t="shared" si="14"/>
        <v>natural gas steam turbine</v>
      </c>
    </row>
    <row r="924" spans="1:6" x14ac:dyDescent="0.25">
      <c r="A924" t="s">
        <v>128</v>
      </c>
      <c r="B924" t="s">
        <v>87</v>
      </c>
      <c r="C924">
        <v>1998</v>
      </c>
      <c r="D924">
        <v>1.8</v>
      </c>
      <c r="E924">
        <v>1.8</v>
      </c>
      <c r="F924" t="str">
        <f t="shared" si="14"/>
        <v>onshore wind</v>
      </c>
    </row>
    <row r="925" spans="1:6" x14ac:dyDescent="0.25">
      <c r="A925" t="s">
        <v>128</v>
      </c>
      <c r="B925" t="s">
        <v>87</v>
      </c>
      <c r="C925">
        <v>1999</v>
      </c>
      <c r="D925">
        <v>224.2</v>
      </c>
      <c r="E925">
        <v>236.1</v>
      </c>
      <c r="F925" t="str">
        <f t="shared" si="14"/>
        <v>onshore wind</v>
      </c>
    </row>
    <row r="926" spans="1:6" x14ac:dyDescent="0.25">
      <c r="A926" t="s">
        <v>128</v>
      </c>
      <c r="B926" t="s">
        <v>87</v>
      </c>
      <c r="C926">
        <v>2000</v>
      </c>
      <c r="D926">
        <v>2.2999999999999998</v>
      </c>
      <c r="E926">
        <v>2.2999999999999998</v>
      </c>
      <c r="F926" t="str">
        <f t="shared" si="14"/>
        <v>onshore wind</v>
      </c>
    </row>
    <row r="927" spans="1:6" x14ac:dyDescent="0.25">
      <c r="A927" t="s">
        <v>128</v>
      </c>
      <c r="B927" t="s">
        <v>87</v>
      </c>
      <c r="C927">
        <v>2001</v>
      </c>
      <c r="D927">
        <v>80.900000000000006</v>
      </c>
      <c r="E927">
        <v>80.900000000000006</v>
      </c>
      <c r="F927" t="str">
        <f t="shared" si="14"/>
        <v>onshore wind</v>
      </c>
    </row>
    <row r="928" spans="1:6" x14ac:dyDescent="0.25">
      <c r="A928" t="s">
        <v>128</v>
      </c>
      <c r="B928" t="s">
        <v>87</v>
      </c>
      <c r="C928">
        <v>2002</v>
      </c>
      <c r="D928">
        <v>98</v>
      </c>
      <c r="E928">
        <v>98</v>
      </c>
      <c r="F928" t="str">
        <f t="shared" si="14"/>
        <v>onshore wind</v>
      </c>
    </row>
    <row r="929" spans="1:6" x14ac:dyDescent="0.25">
      <c r="A929" t="s">
        <v>128</v>
      </c>
      <c r="B929" t="s">
        <v>87</v>
      </c>
      <c r="C929">
        <v>2003</v>
      </c>
      <c r="D929">
        <v>45.5</v>
      </c>
      <c r="E929">
        <v>45.5</v>
      </c>
      <c r="F929" t="str">
        <f t="shared" si="14"/>
        <v>onshore wind</v>
      </c>
    </row>
    <row r="930" spans="1:6" x14ac:dyDescent="0.25">
      <c r="A930" t="s">
        <v>128</v>
      </c>
      <c r="B930" t="s">
        <v>87</v>
      </c>
      <c r="C930">
        <v>2004</v>
      </c>
      <c r="D930">
        <v>160.5</v>
      </c>
      <c r="E930">
        <v>160.5</v>
      </c>
      <c r="F930" t="str">
        <f t="shared" si="14"/>
        <v>onshore wind</v>
      </c>
    </row>
    <row r="931" spans="1:6" x14ac:dyDescent="0.25">
      <c r="A931" t="s">
        <v>128</v>
      </c>
      <c r="B931" t="s">
        <v>87</v>
      </c>
      <c r="C931">
        <v>2005</v>
      </c>
      <c r="D931">
        <v>166</v>
      </c>
      <c r="E931">
        <v>166.7</v>
      </c>
      <c r="F931" t="str">
        <f t="shared" si="14"/>
        <v>onshore wind</v>
      </c>
    </row>
    <row r="932" spans="1:6" x14ac:dyDescent="0.25">
      <c r="A932" t="s">
        <v>128</v>
      </c>
      <c r="B932" t="s">
        <v>87</v>
      </c>
      <c r="C932">
        <v>2006</v>
      </c>
      <c r="D932">
        <v>99</v>
      </c>
      <c r="E932">
        <v>105</v>
      </c>
      <c r="F932" t="str">
        <f t="shared" si="14"/>
        <v>onshore wind</v>
      </c>
    </row>
    <row r="933" spans="1:6" x14ac:dyDescent="0.25">
      <c r="A933" t="s">
        <v>128</v>
      </c>
      <c r="B933" t="s">
        <v>87</v>
      </c>
      <c r="C933">
        <v>2007</v>
      </c>
      <c r="D933">
        <v>287.89999999999998</v>
      </c>
      <c r="E933">
        <v>284.89999999999998</v>
      </c>
      <c r="F933" t="str">
        <f t="shared" si="14"/>
        <v>onshore wind</v>
      </c>
    </row>
    <row r="934" spans="1:6" x14ac:dyDescent="0.25">
      <c r="A934" t="s">
        <v>128</v>
      </c>
      <c r="B934" t="s">
        <v>87</v>
      </c>
      <c r="C934">
        <v>2008</v>
      </c>
      <c r="D934">
        <v>1489.5</v>
      </c>
      <c r="E934">
        <v>1515.1</v>
      </c>
      <c r="F934" t="str">
        <f t="shared" si="14"/>
        <v>onshore wind</v>
      </c>
    </row>
    <row r="935" spans="1:6" x14ac:dyDescent="0.25">
      <c r="A935" t="s">
        <v>128</v>
      </c>
      <c r="B935" t="s">
        <v>87</v>
      </c>
      <c r="C935">
        <v>2009</v>
      </c>
      <c r="D935">
        <v>994.1</v>
      </c>
      <c r="E935">
        <v>996.2</v>
      </c>
      <c r="F935" t="str">
        <f t="shared" si="14"/>
        <v>onshore wind</v>
      </c>
    </row>
    <row r="936" spans="1:6" x14ac:dyDescent="0.25">
      <c r="A936" t="s">
        <v>128</v>
      </c>
      <c r="B936" t="s">
        <v>87</v>
      </c>
      <c r="C936">
        <v>2010</v>
      </c>
      <c r="D936">
        <v>6</v>
      </c>
      <c r="E936">
        <v>6</v>
      </c>
      <c r="F936" t="str">
        <f t="shared" si="14"/>
        <v>onshore wind</v>
      </c>
    </row>
    <row r="937" spans="1:6" x14ac:dyDescent="0.25">
      <c r="A937" t="s">
        <v>128</v>
      </c>
      <c r="B937" t="s">
        <v>87</v>
      </c>
      <c r="C937">
        <v>2011</v>
      </c>
      <c r="D937">
        <v>745.1</v>
      </c>
      <c r="E937">
        <v>786.1</v>
      </c>
      <c r="F937" t="str">
        <f t="shared" si="14"/>
        <v>onshore wind</v>
      </c>
    </row>
    <row r="938" spans="1:6" x14ac:dyDescent="0.25">
      <c r="A938" t="s">
        <v>128</v>
      </c>
      <c r="B938" t="s">
        <v>87</v>
      </c>
      <c r="C938">
        <v>2012</v>
      </c>
      <c r="D938">
        <v>694.6</v>
      </c>
      <c r="E938">
        <v>714.6</v>
      </c>
      <c r="F938" t="str">
        <f t="shared" si="14"/>
        <v>onshore wind</v>
      </c>
    </row>
    <row r="939" spans="1:6" x14ac:dyDescent="0.25">
      <c r="A939" t="s">
        <v>128</v>
      </c>
      <c r="B939" t="s">
        <v>87</v>
      </c>
      <c r="C939">
        <v>2013</v>
      </c>
      <c r="D939">
        <v>44.6</v>
      </c>
      <c r="E939">
        <v>44.6</v>
      </c>
      <c r="F939" t="str">
        <f t="shared" si="14"/>
        <v>onshore wind</v>
      </c>
    </row>
    <row r="940" spans="1:6" x14ac:dyDescent="0.25">
      <c r="A940" t="s">
        <v>128</v>
      </c>
      <c r="B940" t="s">
        <v>87</v>
      </c>
      <c r="C940">
        <v>2014</v>
      </c>
      <c r="D940">
        <v>508.2</v>
      </c>
      <c r="E940">
        <v>531.29999999999995</v>
      </c>
      <c r="F940" t="str">
        <f t="shared" si="14"/>
        <v>onshore wind</v>
      </c>
    </row>
    <row r="941" spans="1:6" x14ac:dyDescent="0.25">
      <c r="A941" t="s">
        <v>128</v>
      </c>
      <c r="B941" t="s">
        <v>87</v>
      </c>
      <c r="C941">
        <v>2015</v>
      </c>
      <c r="D941">
        <v>624.29999999999995</v>
      </c>
      <c r="E941">
        <v>630.6</v>
      </c>
      <c r="F941" t="str">
        <f t="shared" si="14"/>
        <v>onshore wind</v>
      </c>
    </row>
    <row r="942" spans="1:6" x14ac:dyDescent="0.25">
      <c r="A942" t="s">
        <v>128</v>
      </c>
      <c r="B942" t="s">
        <v>87</v>
      </c>
      <c r="C942">
        <v>2016</v>
      </c>
      <c r="D942">
        <v>606.29999999999995</v>
      </c>
      <c r="E942">
        <v>607.4</v>
      </c>
      <c r="F942" t="str">
        <f t="shared" si="14"/>
        <v>onshore wind</v>
      </c>
    </row>
    <row r="943" spans="1:6" x14ac:dyDescent="0.25">
      <c r="A943" t="s">
        <v>128</v>
      </c>
      <c r="B943" t="s">
        <v>87</v>
      </c>
      <c r="C943">
        <v>2017</v>
      </c>
      <c r="D943">
        <v>199.4</v>
      </c>
      <c r="E943">
        <v>199.4</v>
      </c>
      <c r="F943" t="str">
        <f t="shared" si="14"/>
        <v>onshore wind</v>
      </c>
    </row>
    <row r="944" spans="1:6" x14ac:dyDescent="0.25">
      <c r="A944" t="s">
        <v>128</v>
      </c>
      <c r="B944" t="s">
        <v>87</v>
      </c>
      <c r="C944">
        <v>2018</v>
      </c>
      <c r="D944">
        <v>1281.7</v>
      </c>
      <c r="E944">
        <v>1283.5</v>
      </c>
      <c r="F944" t="str">
        <f t="shared" si="14"/>
        <v>onshore wind</v>
      </c>
    </row>
    <row r="945" spans="1:6" x14ac:dyDescent="0.25">
      <c r="A945" t="s">
        <v>128</v>
      </c>
      <c r="B945" t="s">
        <v>87</v>
      </c>
      <c r="C945">
        <v>2019</v>
      </c>
      <c r="D945">
        <v>1476.8</v>
      </c>
      <c r="E945">
        <v>1488.3</v>
      </c>
      <c r="F945" t="str">
        <f t="shared" si="14"/>
        <v>onshore wind</v>
      </c>
    </row>
    <row r="946" spans="1:6" x14ac:dyDescent="0.25">
      <c r="A946" t="s">
        <v>128</v>
      </c>
      <c r="B946" t="s">
        <v>87</v>
      </c>
      <c r="C946">
        <v>2020</v>
      </c>
      <c r="D946">
        <v>1495.9</v>
      </c>
      <c r="E946">
        <v>1500.6</v>
      </c>
      <c r="F946" t="str">
        <f t="shared" si="14"/>
        <v>onshore wind</v>
      </c>
    </row>
    <row r="947" spans="1:6" x14ac:dyDescent="0.25">
      <c r="A947" t="s">
        <v>128</v>
      </c>
      <c r="B947" t="s">
        <v>87</v>
      </c>
      <c r="C947">
        <v>2021</v>
      </c>
      <c r="D947">
        <v>391.9</v>
      </c>
      <c r="E947">
        <v>397.4</v>
      </c>
      <c r="F947" t="str">
        <f t="shared" si="14"/>
        <v>onshore wind</v>
      </c>
    </row>
    <row r="948" spans="1:6" x14ac:dyDescent="0.25">
      <c r="A948" t="s">
        <v>128</v>
      </c>
      <c r="B948" t="s">
        <v>87</v>
      </c>
      <c r="C948">
        <v>2022</v>
      </c>
      <c r="D948">
        <v>677.9</v>
      </c>
      <c r="E948">
        <v>687.6</v>
      </c>
      <c r="F948" t="str">
        <f t="shared" si="14"/>
        <v>onshore wind</v>
      </c>
    </row>
    <row r="949" spans="1:6" x14ac:dyDescent="0.25">
      <c r="A949" t="s">
        <v>128</v>
      </c>
      <c r="B949" t="s">
        <v>87</v>
      </c>
      <c r="C949">
        <v>2023</v>
      </c>
      <c r="D949">
        <v>424.4</v>
      </c>
      <c r="E949">
        <v>426.8</v>
      </c>
      <c r="F949" t="str">
        <f t="shared" si="14"/>
        <v>onshore wind</v>
      </c>
    </row>
    <row r="950" spans="1:6" x14ac:dyDescent="0.25">
      <c r="A950" t="s">
        <v>128</v>
      </c>
      <c r="B950" t="s">
        <v>87</v>
      </c>
      <c r="C950">
        <v>2024</v>
      </c>
      <c r="D950">
        <v>38.700000000000003</v>
      </c>
      <c r="E950">
        <v>38.700000000000003</v>
      </c>
      <c r="F950" t="str">
        <f t="shared" si="14"/>
        <v>onshore wind</v>
      </c>
    </row>
    <row r="951" spans="1:6" x14ac:dyDescent="0.25">
      <c r="A951" t="s">
        <v>128</v>
      </c>
      <c r="B951" t="s">
        <v>87</v>
      </c>
      <c r="C951">
        <v>2025</v>
      </c>
      <c r="D951">
        <v>383.3</v>
      </c>
      <c r="E951">
        <v>383.7</v>
      </c>
      <c r="F951" t="str">
        <f t="shared" si="14"/>
        <v>onshore wind</v>
      </c>
    </row>
    <row r="952" spans="1:6" x14ac:dyDescent="0.25">
      <c r="A952" t="s">
        <v>128</v>
      </c>
      <c r="B952" t="s">
        <v>92</v>
      </c>
      <c r="C952">
        <v>1990</v>
      </c>
      <c r="D952">
        <v>53.3</v>
      </c>
      <c r="E952">
        <v>60.8</v>
      </c>
      <c r="F952" t="str">
        <f t="shared" si="14"/>
        <v>petroleum</v>
      </c>
    </row>
    <row r="953" spans="1:6" x14ac:dyDescent="0.25">
      <c r="A953" t="s">
        <v>128</v>
      </c>
      <c r="B953" t="s">
        <v>92</v>
      </c>
      <c r="C953">
        <v>1991</v>
      </c>
      <c r="D953">
        <v>71.8</v>
      </c>
      <c r="E953">
        <v>91.2</v>
      </c>
      <c r="F953" t="str">
        <f t="shared" si="14"/>
        <v>petroleum</v>
      </c>
    </row>
    <row r="954" spans="1:6" x14ac:dyDescent="0.25">
      <c r="A954" t="s">
        <v>128</v>
      </c>
      <c r="B954" t="s">
        <v>92</v>
      </c>
      <c r="C954">
        <v>1992</v>
      </c>
      <c r="D954">
        <v>28.1</v>
      </c>
      <c r="E954">
        <v>28.3</v>
      </c>
      <c r="F954" t="str">
        <f t="shared" si="14"/>
        <v>petroleum</v>
      </c>
    </row>
    <row r="955" spans="1:6" x14ac:dyDescent="0.25">
      <c r="A955" t="s">
        <v>128</v>
      </c>
      <c r="B955" t="s">
        <v>92</v>
      </c>
      <c r="C955">
        <v>1993</v>
      </c>
      <c r="D955">
        <v>15.9</v>
      </c>
      <c r="E955">
        <v>15.9</v>
      </c>
      <c r="F955" t="str">
        <f t="shared" si="14"/>
        <v>petroleum</v>
      </c>
    </row>
    <row r="956" spans="1:6" x14ac:dyDescent="0.25">
      <c r="A956" t="s">
        <v>128</v>
      </c>
      <c r="B956" t="s">
        <v>92</v>
      </c>
      <c r="C956">
        <v>1994</v>
      </c>
      <c r="D956">
        <v>22.2</v>
      </c>
      <c r="E956">
        <v>22.8</v>
      </c>
      <c r="F956" t="str">
        <f t="shared" si="14"/>
        <v>petroleum</v>
      </c>
    </row>
    <row r="957" spans="1:6" x14ac:dyDescent="0.25">
      <c r="A957" t="s">
        <v>128</v>
      </c>
      <c r="B957" t="s">
        <v>92</v>
      </c>
      <c r="C957">
        <v>1995</v>
      </c>
      <c r="D957">
        <v>20.9</v>
      </c>
      <c r="E957">
        <v>20.9</v>
      </c>
      <c r="F957" t="str">
        <f t="shared" si="14"/>
        <v>petroleum</v>
      </c>
    </row>
    <row r="958" spans="1:6" x14ac:dyDescent="0.25">
      <c r="A958" t="s">
        <v>128</v>
      </c>
      <c r="B958" t="s">
        <v>92</v>
      </c>
      <c r="C958">
        <v>1996</v>
      </c>
      <c r="D958">
        <v>11.4</v>
      </c>
      <c r="E958">
        <v>11.5</v>
      </c>
      <c r="F958" t="str">
        <f t="shared" si="14"/>
        <v>petroleum</v>
      </c>
    </row>
    <row r="959" spans="1:6" x14ac:dyDescent="0.25">
      <c r="A959" t="s">
        <v>128</v>
      </c>
      <c r="B959" t="s">
        <v>92</v>
      </c>
      <c r="C959">
        <v>1997</v>
      </c>
      <c r="D959">
        <v>6.4</v>
      </c>
      <c r="E959">
        <v>6.4</v>
      </c>
      <c r="F959" t="str">
        <f t="shared" si="14"/>
        <v>petroleum</v>
      </c>
    </row>
    <row r="960" spans="1:6" x14ac:dyDescent="0.25">
      <c r="A960" t="s">
        <v>128</v>
      </c>
      <c r="B960" t="s">
        <v>92</v>
      </c>
      <c r="C960">
        <v>1998</v>
      </c>
      <c r="D960">
        <v>16.2</v>
      </c>
      <c r="E960">
        <v>16.3</v>
      </c>
      <c r="F960" t="str">
        <f t="shared" si="14"/>
        <v>petroleum</v>
      </c>
    </row>
    <row r="961" spans="1:6" x14ac:dyDescent="0.25">
      <c r="A961" t="s">
        <v>128</v>
      </c>
      <c r="B961" t="s">
        <v>92</v>
      </c>
      <c r="C961">
        <v>1999</v>
      </c>
      <c r="D961">
        <v>23.3</v>
      </c>
      <c r="E961">
        <v>23.4</v>
      </c>
      <c r="F961" t="str">
        <f t="shared" si="14"/>
        <v>petroleum</v>
      </c>
    </row>
    <row r="962" spans="1:6" x14ac:dyDescent="0.25">
      <c r="A962" t="s">
        <v>128</v>
      </c>
      <c r="B962" t="s">
        <v>92</v>
      </c>
      <c r="C962">
        <v>2000</v>
      </c>
      <c r="D962">
        <v>121.6</v>
      </c>
      <c r="E962">
        <v>120</v>
      </c>
      <c r="F962" t="str">
        <f t="shared" ref="F962:F1025" si="15">LOWER($B962)</f>
        <v>petroleum</v>
      </c>
    </row>
    <row r="963" spans="1:6" x14ac:dyDescent="0.25">
      <c r="A963" t="s">
        <v>128</v>
      </c>
      <c r="B963" t="s">
        <v>92</v>
      </c>
      <c r="C963">
        <v>2001</v>
      </c>
      <c r="D963">
        <v>56.5</v>
      </c>
      <c r="E963">
        <v>59</v>
      </c>
      <c r="F963" t="str">
        <f t="shared" si="15"/>
        <v>petroleum</v>
      </c>
    </row>
    <row r="964" spans="1:6" x14ac:dyDescent="0.25">
      <c r="A964" t="s">
        <v>128</v>
      </c>
      <c r="B964" t="s">
        <v>92</v>
      </c>
      <c r="C964">
        <v>2002</v>
      </c>
      <c r="D964">
        <v>50</v>
      </c>
      <c r="E964">
        <v>51.6</v>
      </c>
      <c r="F964" t="str">
        <f t="shared" si="15"/>
        <v>petroleum</v>
      </c>
    </row>
    <row r="965" spans="1:6" x14ac:dyDescent="0.25">
      <c r="A965" t="s">
        <v>128</v>
      </c>
      <c r="B965" t="s">
        <v>92</v>
      </c>
      <c r="C965">
        <v>2003</v>
      </c>
      <c r="D965">
        <v>44.7</v>
      </c>
      <c r="E965">
        <v>48.1</v>
      </c>
      <c r="F965" t="str">
        <f t="shared" si="15"/>
        <v>petroleum</v>
      </c>
    </row>
    <row r="966" spans="1:6" x14ac:dyDescent="0.25">
      <c r="A966" t="s">
        <v>128</v>
      </c>
      <c r="B966" t="s">
        <v>92</v>
      </c>
      <c r="C966">
        <v>2004</v>
      </c>
      <c r="D966">
        <v>18.7</v>
      </c>
      <c r="E966">
        <v>19.7</v>
      </c>
      <c r="F966" t="str">
        <f t="shared" si="15"/>
        <v>petroleum</v>
      </c>
    </row>
    <row r="967" spans="1:6" x14ac:dyDescent="0.25">
      <c r="A967" t="s">
        <v>128</v>
      </c>
      <c r="B967" t="s">
        <v>92</v>
      </c>
      <c r="C967">
        <v>2005</v>
      </c>
      <c r="D967">
        <v>31.8</v>
      </c>
      <c r="E967">
        <v>64</v>
      </c>
      <c r="F967" t="str">
        <f t="shared" si="15"/>
        <v>petroleum</v>
      </c>
    </row>
    <row r="968" spans="1:6" x14ac:dyDescent="0.25">
      <c r="A968" t="s">
        <v>128</v>
      </c>
      <c r="B968" t="s">
        <v>92</v>
      </c>
      <c r="C968">
        <v>2006</v>
      </c>
      <c r="D968">
        <v>11.8</v>
      </c>
      <c r="E968">
        <v>12</v>
      </c>
      <c r="F968" t="str">
        <f t="shared" si="15"/>
        <v>petroleum</v>
      </c>
    </row>
    <row r="969" spans="1:6" x14ac:dyDescent="0.25">
      <c r="A969" t="s">
        <v>128</v>
      </c>
      <c r="B969" t="s">
        <v>92</v>
      </c>
      <c r="C969">
        <v>2007</v>
      </c>
      <c r="D969">
        <v>33.5</v>
      </c>
      <c r="E969">
        <v>35.9</v>
      </c>
      <c r="F969" t="str">
        <f t="shared" si="15"/>
        <v>petroleum</v>
      </c>
    </row>
    <row r="970" spans="1:6" x14ac:dyDescent="0.25">
      <c r="A970" t="s">
        <v>128</v>
      </c>
      <c r="B970" t="s">
        <v>92</v>
      </c>
      <c r="C970">
        <v>2009</v>
      </c>
      <c r="D970">
        <v>0.6</v>
      </c>
      <c r="E970">
        <v>0.8</v>
      </c>
      <c r="F970" t="str">
        <f t="shared" si="15"/>
        <v>petroleum</v>
      </c>
    </row>
    <row r="971" spans="1:6" x14ac:dyDescent="0.25">
      <c r="A971" t="s">
        <v>128</v>
      </c>
      <c r="B971" t="s">
        <v>92</v>
      </c>
      <c r="C971">
        <v>2010</v>
      </c>
      <c r="D971">
        <v>2</v>
      </c>
      <c r="E971">
        <v>2</v>
      </c>
      <c r="F971" t="str">
        <f t="shared" si="15"/>
        <v>petroleum</v>
      </c>
    </row>
    <row r="972" spans="1:6" x14ac:dyDescent="0.25">
      <c r="A972" t="s">
        <v>128</v>
      </c>
      <c r="B972" t="s">
        <v>92</v>
      </c>
      <c r="C972">
        <v>2011</v>
      </c>
      <c r="D972">
        <v>17.8</v>
      </c>
      <c r="E972">
        <v>18.5</v>
      </c>
      <c r="F972" t="str">
        <f t="shared" si="15"/>
        <v>petroleum</v>
      </c>
    </row>
    <row r="973" spans="1:6" x14ac:dyDescent="0.25">
      <c r="A973" t="s">
        <v>128</v>
      </c>
      <c r="B973" t="s">
        <v>92</v>
      </c>
      <c r="C973">
        <v>2012</v>
      </c>
      <c r="D973">
        <v>15.2</v>
      </c>
      <c r="E973">
        <v>16</v>
      </c>
      <c r="F973" t="str">
        <f t="shared" si="15"/>
        <v>petroleum</v>
      </c>
    </row>
    <row r="974" spans="1:6" x14ac:dyDescent="0.25">
      <c r="A974" t="s">
        <v>128</v>
      </c>
      <c r="B974" t="s">
        <v>92</v>
      </c>
      <c r="C974">
        <v>2013</v>
      </c>
      <c r="D974">
        <v>13.4</v>
      </c>
      <c r="E974">
        <v>14.3</v>
      </c>
      <c r="F974" t="str">
        <f t="shared" si="15"/>
        <v>petroleum</v>
      </c>
    </row>
    <row r="975" spans="1:6" x14ac:dyDescent="0.25">
      <c r="A975" t="s">
        <v>128</v>
      </c>
      <c r="B975" t="s">
        <v>92</v>
      </c>
      <c r="C975">
        <v>2014</v>
      </c>
      <c r="D975">
        <v>1</v>
      </c>
      <c r="E975">
        <v>1</v>
      </c>
      <c r="F975" t="str">
        <f t="shared" si="15"/>
        <v>petroleum</v>
      </c>
    </row>
    <row r="976" spans="1:6" x14ac:dyDescent="0.25">
      <c r="A976" t="s">
        <v>128</v>
      </c>
      <c r="B976" t="s">
        <v>92</v>
      </c>
      <c r="C976">
        <v>2015</v>
      </c>
      <c r="D976">
        <v>8.3000000000000007</v>
      </c>
      <c r="E976">
        <v>9</v>
      </c>
      <c r="F976" t="str">
        <f t="shared" si="15"/>
        <v>petroleum</v>
      </c>
    </row>
    <row r="977" spans="1:6" x14ac:dyDescent="0.25">
      <c r="A977" t="s">
        <v>128</v>
      </c>
      <c r="B977" t="s">
        <v>92</v>
      </c>
      <c r="C977">
        <v>2016</v>
      </c>
      <c r="D977">
        <v>2.2999999999999998</v>
      </c>
      <c r="E977">
        <v>2.5</v>
      </c>
      <c r="F977" t="str">
        <f t="shared" si="15"/>
        <v>petroleum</v>
      </c>
    </row>
    <row r="978" spans="1:6" x14ac:dyDescent="0.25">
      <c r="A978" t="s">
        <v>128</v>
      </c>
      <c r="B978" t="s">
        <v>92</v>
      </c>
      <c r="C978">
        <v>2018</v>
      </c>
      <c r="D978">
        <v>4</v>
      </c>
      <c r="E978">
        <v>4</v>
      </c>
      <c r="F978" t="str">
        <f t="shared" si="15"/>
        <v>petroleum</v>
      </c>
    </row>
    <row r="979" spans="1:6" x14ac:dyDescent="0.25">
      <c r="A979" t="s">
        <v>128</v>
      </c>
      <c r="B979" t="s">
        <v>92</v>
      </c>
      <c r="C979">
        <v>2019</v>
      </c>
      <c r="D979">
        <v>2.6</v>
      </c>
      <c r="E979">
        <v>2.6</v>
      </c>
      <c r="F979" t="str">
        <f t="shared" si="15"/>
        <v>petroleum</v>
      </c>
    </row>
    <row r="980" spans="1:6" x14ac:dyDescent="0.25">
      <c r="A980" t="s">
        <v>128</v>
      </c>
      <c r="B980" t="s">
        <v>92</v>
      </c>
      <c r="C980">
        <v>2020</v>
      </c>
      <c r="D980">
        <v>8.9</v>
      </c>
      <c r="E980">
        <v>8.8000000000000007</v>
      </c>
      <c r="F980" t="str">
        <f t="shared" si="15"/>
        <v>petroleum</v>
      </c>
    </row>
    <row r="981" spans="1:6" x14ac:dyDescent="0.25">
      <c r="A981" t="s">
        <v>128</v>
      </c>
      <c r="B981" t="s">
        <v>92</v>
      </c>
      <c r="C981">
        <v>2021</v>
      </c>
      <c r="D981">
        <v>7.1</v>
      </c>
      <c r="E981">
        <v>7.2</v>
      </c>
      <c r="F981" t="str">
        <f t="shared" si="15"/>
        <v>petroleum</v>
      </c>
    </row>
    <row r="982" spans="1:6" x14ac:dyDescent="0.25">
      <c r="A982" t="s">
        <v>128</v>
      </c>
      <c r="B982" t="s">
        <v>92</v>
      </c>
      <c r="C982">
        <v>2022</v>
      </c>
      <c r="D982">
        <v>7.1</v>
      </c>
      <c r="E982">
        <v>7.1</v>
      </c>
      <c r="F982" t="str">
        <f t="shared" si="15"/>
        <v>petroleum</v>
      </c>
    </row>
    <row r="983" spans="1:6" x14ac:dyDescent="0.25">
      <c r="A983" t="s">
        <v>128</v>
      </c>
      <c r="B983" t="s">
        <v>92</v>
      </c>
      <c r="C983">
        <v>2024</v>
      </c>
      <c r="D983">
        <v>2</v>
      </c>
      <c r="E983">
        <v>2</v>
      </c>
      <c r="F983" t="str">
        <f t="shared" si="15"/>
        <v>petroleum</v>
      </c>
    </row>
    <row r="984" spans="1:6" x14ac:dyDescent="0.25">
      <c r="A984" t="s">
        <v>128</v>
      </c>
      <c r="B984" t="s">
        <v>249</v>
      </c>
      <c r="C984">
        <v>2016</v>
      </c>
      <c r="D984">
        <v>4.0999999999999996</v>
      </c>
      <c r="E984">
        <v>4.0999999999999996</v>
      </c>
      <c r="F984" t="str">
        <f t="shared" si="15"/>
        <v>solar pv</v>
      </c>
    </row>
    <row r="985" spans="1:6" x14ac:dyDescent="0.25">
      <c r="A985" t="s">
        <v>128</v>
      </c>
      <c r="B985" t="s">
        <v>249</v>
      </c>
      <c r="C985">
        <v>2017</v>
      </c>
      <c r="D985">
        <v>5.29</v>
      </c>
      <c r="E985">
        <v>5.9</v>
      </c>
      <c r="F985" t="str">
        <f t="shared" si="15"/>
        <v>solar pv</v>
      </c>
    </row>
    <row r="986" spans="1:6" x14ac:dyDescent="0.25">
      <c r="A986" t="s">
        <v>128</v>
      </c>
      <c r="B986" t="s">
        <v>249</v>
      </c>
      <c r="C986">
        <v>2019</v>
      </c>
      <c r="D986">
        <v>6.1</v>
      </c>
      <c r="E986">
        <v>6.1</v>
      </c>
      <c r="F986" t="str">
        <f t="shared" si="15"/>
        <v>solar pv</v>
      </c>
    </row>
    <row r="987" spans="1:6" x14ac:dyDescent="0.25">
      <c r="A987" t="s">
        <v>128</v>
      </c>
      <c r="B987" t="s">
        <v>249</v>
      </c>
      <c r="C987">
        <v>2020</v>
      </c>
      <c r="D987">
        <v>4.5999999999999996</v>
      </c>
      <c r="E987">
        <v>4.5999999999999996</v>
      </c>
      <c r="F987" t="str">
        <f t="shared" si="15"/>
        <v>solar pv</v>
      </c>
    </row>
    <row r="988" spans="1:6" x14ac:dyDescent="0.25">
      <c r="A988" t="s">
        <v>128</v>
      </c>
      <c r="B988" t="s">
        <v>249</v>
      </c>
      <c r="C988">
        <v>2021</v>
      </c>
      <c r="D988">
        <v>100</v>
      </c>
      <c r="E988">
        <v>100</v>
      </c>
      <c r="F988" t="str">
        <f t="shared" si="15"/>
        <v>solar pv</v>
      </c>
    </row>
    <row r="989" spans="1:6" x14ac:dyDescent="0.25">
      <c r="A989" t="s">
        <v>128</v>
      </c>
      <c r="B989" t="s">
        <v>249</v>
      </c>
      <c r="C989">
        <v>2022</v>
      </c>
      <c r="D989">
        <v>142.5</v>
      </c>
      <c r="E989">
        <v>143.5</v>
      </c>
      <c r="F989" t="str">
        <f t="shared" si="15"/>
        <v>solar pv</v>
      </c>
    </row>
    <row r="990" spans="1:6" x14ac:dyDescent="0.25">
      <c r="A990" t="s">
        <v>128</v>
      </c>
      <c r="B990" t="s">
        <v>249</v>
      </c>
      <c r="C990">
        <v>2024</v>
      </c>
      <c r="D990">
        <v>416.7</v>
      </c>
      <c r="E990">
        <v>416.7</v>
      </c>
      <c r="F990" t="str">
        <f t="shared" si="15"/>
        <v>solar pv</v>
      </c>
    </row>
    <row r="991" spans="1:6" x14ac:dyDescent="0.25">
      <c r="A991" t="s">
        <v>128</v>
      </c>
      <c r="B991" t="s">
        <v>249</v>
      </c>
      <c r="C991">
        <v>2025</v>
      </c>
      <c r="D991">
        <v>12.7</v>
      </c>
      <c r="E991">
        <v>12.7</v>
      </c>
      <c r="F991" t="str">
        <f t="shared" si="15"/>
        <v>solar pv</v>
      </c>
    </row>
    <row r="992" spans="1:6" x14ac:dyDescent="0.25">
      <c r="A992" t="s">
        <v>130</v>
      </c>
      <c r="B992" t="s">
        <v>90</v>
      </c>
      <c r="C992">
        <v>1991</v>
      </c>
      <c r="D992">
        <v>24</v>
      </c>
      <c r="E992">
        <v>65</v>
      </c>
      <c r="F992" t="str">
        <f t="shared" si="15"/>
        <v>biomass</v>
      </c>
    </row>
    <row r="993" spans="1:6" x14ac:dyDescent="0.25">
      <c r="A993" t="s">
        <v>130</v>
      </c>
      <c r="B993" t="s">
        <v>90</v>
      </c>
      <c r="C993">
        <v>2007</v>
      </c>
      <c r="D993">
        <v>3</v>
      </c>
      <c r="E993">
        <v>3.2</v>
      </c>
      <c r="F993" t="str">
        <f t="shared" si="15"/>
        <v>biomass</v>
      </c>
    </row>
    <row r="994" spans="1:6" x14ac:dyDescent="0.25">
      <c r="A994" t="s">
        <v>130</v>
      </c>
      <c r="B994" t="s">
        <v>90</v>
      </c>
      <c r="C994">
        <v>2009</v>
      </c>
      <c r="D994">
        <v>3.6</v>
      </c>
      <c r="E994">
        <v>3.8</v>
      </c>
      <c r="F994" t="str">
        <f t="shared" si="15"/>
        <v>biomass</v>
      </c>
    </row>
    <row r="995" spans="1:6" x14ac:dyDescent="0.25">
      <c r="A995" t="s">
        <v>130</v>
      </c>
      <c r="B995" t="s">
        <v>90</v>
      </c>
      <c r="C995">
        <v>2011</v>
      </c>
      <c r="D995">
        <v>1.8</v>
      </c>
      <c r="E995">
        <v>1.8</v>
      </c>
      <c r="F995" t="str">
        <f t="shared" si="15"/>
        <v>biomass</v>
      </c>
    </row>
    <row r="996" spans="1:6" x14ac:dyDescent="0.25">
      <c r="A996" t="s">
        <v>130</v>
      </c>
      <c r="B996" t="s">
        <v>90</v>
      </c>
      <c r="C996">
        <v>2012</v>
      </c>
      <c r="D996">
        <v>3.2</v>
      </c>
      <c r="E996">
        <v>3.2</v>
      </c>
      <c r="F996" t="str">
        <f t="shared" si="15"/>
        <v>biomass</v>
      </c>
    </row>
    <row r="997" spans="1:6" x14ac:dyDescent="0.25">
      <c r="A997" t="s">
        <v>130</v>
      </c>
      <c r="B997" t="s">
        <v>90</v>
      </c>
      <c r="C997">
        <v>2014</v>
      </c>
      <c r="D997">
        <v>1.4</v>
      </c>
      <c r="E997">
        <v>1.6</v>
      </c>
      <c r="F997" t="str">
        <f t="shared" si="15"/>
        <v>biomass</v>
      </c>
    </row>
    <row r="998" spans="1:6" x14ac:dyDescent="0.25">
      <c r="A998" t="s">
        <v>130</v>
      </c>
      <c r="B998" t="s">
        <v>90</v>
      </c>
      <c r="C998">
        <v>2018</v>
      </c>
      <c r="D998">
        <v>2.6</v>
      </c>
      <c r="E998">
        <v>2.6</v>
      </c>
      <c r="F998" t="str">
        <f t="shared" si="15"/>
        <v>biomass</v>
      </c>
    </row>
    <row r="999" spans="1:6" x14ac:dyDescent="0.25">
      <c r="A999" t="s">
        <v>130</v>
      </c>
      <c r="B999" t="s">
        <v>90</v>
      </c>
      <c r="C999">
        <v>2019</v>
      </c>
      <c r="D999">
        <v>1.4</v>
      </c>
      <c r="E999">
        <v>1.6</v>
      </c>
      <c r="F999" t="str">
        <f t="shared" si="15"/>
        <v>biomass</v>
      </c>
    </row>
    <row r="1000" spans="1:6" x14ac:dyDescent="0.25">
      <c r="A1000" t="s">
        <v>130</v>
      </c>
      <c r="B1000" t="s">
        <v>90</v>
      </c>
      <c r="C1000">
        <v>2023</v>
      </c>
      <c r="D1000">
        <v>1.3</v>
      </c>
      <c r="E1000">
        <v>1.3</v>
      </c>
      <c r="F1000" t="str">
        <f t="shared" si="15"/>
        <v>biomass</v>
      </c>
    </row>
    <row r="1001" spans="1:6" x14ac:dyDescent="0.25">
      <c r="A1001" t="s">
        <v>130</v>
      </c>
      <c r="B1001" t="s">
        <v>90</v>
      </c>
      <c r="C1001">
        <v>2024</v>
      </c>
      <c r="D1001">
        <v>3.2</v>
      </c>
      <c r="E1001">
        <v>3.2</v>
      </c>
      <c r="F1001" t="str">
        <f t="shared" si="15"/>
        <v>biomass</v>
      </c>
    </row>
    <row r="1002" spans="1:6" x14ac:dyDescent="0.25">
      <c r="A1002" t="s">
        <v>130</v>
      </c>
      <c r="B1002" t="s">
        <v>91</v>
      </c>
      <c r="C1002">
        <v>2008</v>
      </c>
      <c r="D1002">
        <v>10</v>
      </c>
      <c r="E1002">
        <v>18</v>
      </c>
      <c r="F1002" t="str">
        <f t="shared" si="15"/>
        <v>geothermal</v>
      </c>
    </row>
    <row r="1003" spans="1:6" x14ac:dyDescent="0.25">
      <c r="A1003" t="s">
        <v>130</v>
      </c>
      <c r="B1003" t="s">
        <v>91</v>
      </c>
      <c r="C1003">
        <v>2025</v>
      </c>
      <c r="D1003">
        <v>10.7</v>
      </c>
      <c r="E1003">
        <v>16</v>
      </c>
      <c r="F1003" t="str">
        <f t="shared" si="15"/>
        <v>geothermal</v>
      </c>
    </row>
    <row r="1004" spans="1:6" x14ac:dyDescent="0.25">
      <c r="A1004" t="s">
        <v>130</v>
      </c>
      <c r="B1004" t="s">
        <v>86</v>
      </c>
      <c r="C1004">
        <v>1990</v>
      </c>
      <c r="D1004">
        <v>40</v>
      </c>
      <c r="E1004">
        <v>58.3</v>
      </c>
      <c r="F1004" t="str">
        <f t="shared" si="15"/>
        <v>hydro</v>
      </c>
    </row>
    <row r="1005" spans="1:6" x14ac:dyDescent="0.25">
      <c r="A1005" t="s">
        <v>130</v>
      </c>
      <c r="B1005" t="s">
        <v>86</v>
      </c>
      <c r="C1005">
        <v>1992</v>
      </c>
      <c r="D1005">
        <v>46.68</v>
      </c>
      <c r="E1005">
        <v>60.8</v>
      </c>
      <c r="F1005" t="str">
        <f t="shared" si="15"/>
        <v>hydro</v>
      </c>
    </row>
    <row r="1006" spans="1:6" x14ac:dyDescent="0.25">
      <c r="A1006" t="s">
        <v>130</v>
      </c>
      <c r="B1006" t="s">
        <v>86</v>
      </c>
      <c r="C1006">
        <v>1993</v>
      </c>
      <c r="D1006">
        <v>26.5</v>
      </c>
      <c r="E1006">
        <v>26.6</v>
      </c>
      <c r="F1006" t="str">
        <f t="shared" si="15"/>
        <v>hydro</v>
      </c>
    </row>
    <row r="1007" spans="1:6" x14ac:dyDescent="0.25">
      <c r="A1007" t="s">
        <v>130</v>
      </c>
      <c r="B1007" t="s">
        <v>86</v>
      </c>
      <c r="C1007">
        <v>1994</v>
      </c>
      <c r="D1007">
        <v>34.81</v>
      </c>
      <c r="E1007">
        <v>33.4</v>
      </c>
      <c r="F1007" t="str">
        <f t="shared" si="15"/>
        <v>hydro</v>
      </c>
    </row>
    <row r="1008" spans="1:6" x14ac:dyDescent="0.25">
      <c r="A1008" t="s">
        <v>130</v>
      </c>
      <c r="B1008" t="s">
        <v>86</v>
      </c>
      <c r="C1008">
        <v>1995</v>
      </c>
      <c r="D1008">
        <v>51.58</v>
      </c>
      <c r="E1008">
        <v>53.7</v>
      </c>
      <c r="F1008" t="str">
        <f t="shared" si="15"/>
        <v>hydro</v>
      </c>
    </row>
    <row r="1009" spans="1:6" x14ac:dyDescent="0.25">
      <c r="A1009" t="s">
        <v>130</v>
      </c>
      <c r="B1009" t="s">
        <v>86</v>
      </c>
      <c r="C1009">
        <v>1997</v>
      </c>
      <c r="D1009">
        <v>20</v>
      </c>
      <c r="E1009">
        <v>20</v>
      </c>
      <c r="F1009" t="str">
        <f t="shared" si="15"/>
        <v>hydro</v>
      </c>
    </row>
    <row r="1010" spans="1:6" x14ac:dyDescent="0.25">
      <c r="A1010" t="s">
        <v>130</v>
      </c>
      <c r="B1010" t="s">
        <v>86</v>
      </c>
      <c r="C1010">
        <v>2004</v>
      </c>
      <c r="D1010">
        <v>3.3</v>
      </c>
      <c r="E1010">
        <v>3.3</v>
      </c>
      <c r="F1010" t="str">
        <f t="shared" si="15"/>
        <v>hydro</v>
      </c>
    </row>
    <row r="1011" spans="1:6" x14ac:dyDescent="0.25">
      <c r="A1011" t="s">
        <v>130</v>
      </c>
      <c r="B1011" t="s">
        <v>86</v>
      </c>
      <c r="C1011">
        <v>2006</v>
      </c>
      <c r="D1011">
        <v>0.8</v>
      </c>
      <c r="E1011">
        <v>1.7</v>
      </c>
      <c r="F1011" t="str">
        <f t="shared" si="15"/>
        <v>hydro</v>
      </c>
    </row>
    <row r="1012" spans="1:6" x14ac:dyDescent="0.25">
      <c r="A1012" t="s">
        <v>130</v>
      </c>
      <c r="B1012" t="s">
        <v>86</v>
      </c>
      <c r="C1012">
        <v>2010</v>
      </c>
      <c r="D1012">
        <v>16</v>
      </c>
      <c r="E1012">
        <v>15</v>
      </c>
      <c r="F1012" t="str">
        <f t="shared" si="15"/>
        <v>hydro</v>
      </c>
    </row>
    <row r="1013" spans="1:6" x14ac:dyDescent="0.25">
      <c r="A1013" t="s">
        <v>130</v>
      </c>
      <c r="B1013" t="s">
        <v>86</v>
      </c>
      <c r="C1013">
        <v>2013</v>
      </c>
      <c r="D1013">
        <v>1.1000000000000001</v>
      </c>
      <c r="E1013">
        <v>1.1000000000000001</v>
      </c>
      <c r="F1013" t="str">
        <f t="shared" si="15"/>
        <v>hydro</v>
      </c>
    </row>
    <row r="1014" spans="1:6" x14ac:dyDescent="0.25">
      <c r="A1014" t="s">
        <v>130</v>
      </c>
      <c r="B1014" t="s">
        <v>86</v>
      </c>
      <c r="C1014">
        <v>2014</v>
      </c>
      <c r="D1014">
        <v>3.6</v>
      </c>
      <c r="E1014">
        <v>3.6</v>
      </c>
      <c r="F1014" t="str">
        <f t="shared" si="15"/>
        <v>hydro</v>
      </c>
    </row>
    <row r="1015" spans="1:6" x14ac:dyDescent="0.25">
      <c r="A1015" t="s">
        <v>130</v>
      </c>
      <c r="B1015" t="s">
        <v>86</v>
      </c>
      <c r="C1015">
        <v>2015</v>
      </c>
      <c r="D1015">
        <v>2.4</v>
      </c>
      <c r="E1015">
        <v>2.4</v>
      </c>
      <c r="F1015" t="str">
        <f t="shared" si="15"/>
        <v>hydro</v>
      </c>
    </row>
    <row r="1016" spans="1:6" x14ac:dyDescent="0.25">
      <c r="A1016" t="s">
        <v>130</v>
      </c>
      <c r="B1016" t="s">
        <v>86</v>
      </c>
      <c r="C1016">
        <v>2016</v>
      </c>
      <c r="D1016">
        <v>1.3</v>
      </c>
      <c r="E1016">
        <v>1.3</v>
      </c>
      <c r="F1016" t="str">
        <f t="shared" si="15"/>
        <v>hydro</v>
      </c>
    </row>
    <row r="1017" spans="1:6" x14ac:dyDescent="0.25">
      <c r="A1017" t="s">
        <v>130</v>
      </c>
      <c r="B1017" t="s">
        <v>86</v>
      </c>
      <c r="C1017">
        <v>2020</v>
      </c>
      <c r="D1017">
        <v>3.25</v>
      </c>
      <c r="E1017">
        <v>3.2</v>
      </c>
      <c r="F1017" t="str">
        <f t="shared" si="15"/>
        <v>hydro</v>
      </c>
    </row>
    <row r="1018" spans="1:6" x14ac:dyDescent="0.25">
      <c r="A1018" t="s">
        <v>130</v>
      </c>
      <c r="B1018" t="s">
        <v>86</v>
      </c>
      <c r="C1018">
        <v>2021</v>
      </c>
      <c r="D1018">
        <v>2.2999999999999998</v>
      </c>
      <c r="E1018">
        <v>2.2999999999999998</v>
      </c>
      <c r="F1018" t="str">
        <f t="shared" si="15"/>
        <v>hydro</v>
      </c>
    </row>
    <row r="1019" spans="1:6" x14ac:dyDescent="0.25">
      <c r="A1019" t="s">
        <v>130</v>
      </c>
      <c r="B1019" t="s">
        <v>84</v>
      </c>
      <c r="C1019">
        <v>2001</v>
      </c>
      <c r="D1019">
        <v>210</v>
      </c>
      <c r="E1019">
        <v>301.5</v>
      </c>
      <c r="F1019" t="str">
        <f t="shared" si="15"/>
        <v>natural gas combined cycle</v>
      </c>
    </row>
    <row r="1020" spans="1:6" x14ac:dyDescent="0.25">
      <c r="A1020" t="s">
        <v>130</v>
      </c>
      <c r="B1020" t="s">
        <v>84</v>
      </c>
      <c r="C1020">
        <v>2012</v>
      </c>
      <c r="D1020">
        <v>303.32</v>
      </c>
      <c r="E1020">
        <v>318.5</v>
      </c>
      <c r="F1020" t="str">
        <f t="shared" si="15"/>
        <v>natural gas combined cycle</v>
      </c>
    </row>
    <row r="1021" spans="1:6" x14ac:dyDescent="0.25">
      <c r="A1021" t="s">
        <v>130</v>
      </c>
      <c r="B1021" t="s">
        <v>93</v>
      </c>
      <c r="C1021">
        <v>1994</v>
      </c>
      <c r="D1021">
        <v>132</v>
      </c>
      <c r="E1021">
        <v>166.4</v>
      </c>
      <c r="F1021" t="str">
        <f t="shared" si="15"/>
        <v>natural gas peaker</v>
      </c>
    </row>
    <row r="1022" spans="1:6" x14ac:dyDescent="0.25">
      <c r="A1022" t="s">
        <v>130</v>
      </c>
      <c r="B1022" t="s">
        <v>93</v>
      </c>
      <c r="C1022">
        <v>2001</v>
      </c>
      <c r="D1022">
        <v>87.09</v>
      </c>
      <c r="E1022">
        <v>91.8</v>
      </c>
      <c r="F1022" t="str">
        <f t="shared" si="15"/>
        <v>natural gas peaker</v>
      </c>
    </row>
    <row r="1023" spans="1:6" x14ac:dyDescent="0.25">
      <c r="A1023" t="s">
        <v>130</v>
      </c>
      <c r="B1023" t="s">
        <v>93</v>
      </c>
      <c r="C1023">
        <v>2005</v>
      </c>
      <c r="D1023">
        <v>185.12</v>
      </c>
      <c r="E1023">
        <v>172.8</v>
      </c>
      <c r="F1023" t="str">
        <f t="shared" si="15"/>
        <v>natural gas peaker</v>
      </c>
    </row>
    <row r="1024" spans="1:6" x14ac:dyDescent="0.25">
      <c r="A1024" t="s">
        <v>130</v>
      </c>
      <c r="B1024" t="s">
        <v>93</v>
      </c>
      <c r="C1024">
        <v>2008</v>
      </c>
      <c r="D1024">
        <v>184.87</v>
      </c>
      <c r="E1024">
        <v>179.1</v>
      </c>
      <c r="F1024" t="str">
        <f t="shared" si="15"/>
        <v>natural gas peaker</v>
      </c>
    </row>
    <row r="1025" spans="1:6" x14ac:dyDescent="0.25">
      <c r="A1025" t="s">
        <v>130</v>
      </c>
      <c r="B1025" t="s">
        <v>93</v>
      </c>
      <c r="C1025">
        <v>2015</v>
      </c>
      <c r="D1025">
        <v>4.5999999999999996</v>
      </c>
      <c r="E1025">
        <v>5.6</v>
      </c>
      <c r="F1025" t="str">
        <f t="shared" si="15"/>
        <v>natural gas peaker</v>
      </c>
    </row>
    <row r="1026" spans="1:6" x14ac:dyDescent="0.25">
      <c r="A1026" t="s">
        <v>130</v>
      </c>
      <c r="B1026" t="s">
        <v>83</v>
      </c>
      <c r="C1026">
        <v>1994</v>
      </c>
      <c r="D1026">
        <v>5</v>
      </c>
      <c r="E1026">
        <v>6.2</v>
      </c>
      <c r="F1026" t="str">
        <f t="shared" ref="F1026:F1089" si="16">LOWER($B1026)</f>
        <v>natural gas steam turbine</v>
      </c>
    </row>
    <row r="1027" spans="1:6" x14ac:dyDescent="0.25">
      <c r="A1027" t="s">
        <v>130</v>
      </c>
      <c r="B1027" t="s">
        <v>83</v>
      </c>
      <c r="C1027">
        <v>2025</v>
      </c>
      <c r="D1027">
        <v>2</v>
      </c>
      <c r="E1027">
        <v>2.5</v>
      </c>
      <c r="F1027" t="str">
        <f t="shared" si="16"/>
        <v>natural gas steam turbine</v>
      </c>
    </row>
    <row r="1028" spans="1:6" x14ac:dyDescent="0.25">
      <c r="A1028" t="s">
        <v>130</v>
      </c>
      <c r="B1028" t="s">
        <v>87</v>
      </c>
      <c r="C1028">
        <v>2005</v>
      </c>
      <c r="D1028">
        <v>10.5</v>
      </c>
      <c r="E1028">
        <v>10.5</v>
      </c>
      <c r="F1028" t="str">
        <f t="shared" si="16"/>
        <v>onshore wind</v>
      </c>
    </row>
    <row r="1029" spans="1:6" x14ac:dyDescent="0.25">
      <c r="A1029" t="s">
        <v>130</v>
      </c>
      <c r="B1029" t="s">
        <v>87</v>
      </c>
      <c r="C1029">
        <v>2006</v>
      </c>
      <c r="D1029">
        <v>64.5</v>
      </c>
      <c r="E1029">
        <v>64.5</v>
      </c>
      <c r="F1029" t="str">
        <f t="shared" si="16"/>
        <v>onshore wind</v>
      </c>
    </row>
    <row r="1030" spans="1:6" x14ac:dyDescent="0.25">
      <c r="A1030" t="s">
        <v>130</v>
      </c>
      <c r="B1030" t="s">
        <v>87</v>
      </c>
      <c r="C1030">
        <v>2008</v>
      </c>
      <c r="D1030">
        <v>42</v>
      </c>
      <c r="E1030">
        <v>42</v>
      </c>
      <c r="F1030" t="str">
        <f t="shared" si="16"/>
        <v>onshore wind</v>
      </c>
    </row>
    <row r="1031" spans="1:6" x14ac:dyDescent="0.25">
      <c r="A1031" t="s">
        <v>130</v>
      </c>
      <c r="B1031" t="s">
        <v>87</v>
      </c>
      <c r="C1031">
        <v>2009</v>
      </c>
      <c r="D1031">
        <v>27.3</v>
      </c>
      <c r="E1031">
        <v>27.3</v>
      </c>
      <c r="F1031" t="str">
        <f t="shared" si="16"/>
        <v>onshore wind</v>
      </c>
    </row>
    <row r="1032" spans="1:6" x14ac:dyDescent="0.25">
      <c r="A1032" t="s">
        <v>130</v>
      </c>
      <c r="B1032" t="s">
        <v>87</v>
      </c>
      <c r="C1032">
        <v>2010</v>
      </c>
      <c r="D1032">
        <v>205.8</v>
      </c>
      <c r="E1032">
        <v>205.8</v>
      </c>
      <c r="F1032" t="str">
        <f t="shared" si="16"/>
        <v>onshore wind</v>
      </c>
    </row>
    <row r="1033" spans="1:6" x14ac:dyDescent="0.25">
      <c r="A1033" t="s">
        <v>130</v>
      </c>
      <c r="B1033" t="s">
        <v>87</v>
      </c>
      <c r="C1033">
        <v>2011</v>
      </c>
      <c r="D1033">
        <v>266.89999999999998</v>
      </c>
      <c r="E1033">
        <v>266.89999999999998</v>
      </c>
      <c r="F1033" t="str">
        <f t="shared" si="16"/>
        <v>onshore wind</v>
      </c>
    </row>
    <row r="1034" spans="1:6" x14ac:dyDescent="0.25">
      <c r="A1034" t="s">
        <v>130</v>
      </c>
      <c r="B1034" t="s">
        <v>87</v>
      </c>
      <c r="C1034">
        <v>2012</v>
      </c>
      <c r="D1034">
        <v>351.3</v>
      </c>
      <c r="E1034">
        <v>355.3</v>
      </c>
      <c r="F1034" t="str">
        <f t="shared" si="16"/>
        <v>onshore wind</v>
      </c>
    </row>
    <row r="1035" spans="1:6" x14ac:dyDescent="0.25">
      <c r="A1035" t="s">
        <v>130</v>
      </c>
      <c r="B1035" t="s">
        <v>87</v>
      </c>
      <c r="C1035">
        <v>2024</v>
      </c>
      <c r="D1035">
        <v>160</v>
      </c>
      <c r="E1035">
        <v>160</v>
      </c>
      <c r="F1035" t="str">
        <f t="shared" si="16"/>
        <v>onshore wind</v>
      </c>
    </row>
    <row r="1036" spans="1:6" x14ac:dyDescent="0.25">
      <c r="A1036" t="s">
        <v>130</v>
      </c>
      <c r="B1036" t="s">
        <v>249</v>
      </c>
      <c r="C1036">
        <v>2016</v>
      </c>
      <c r="D1036">
        <v>120</v>
      </c>
      <c r="E1036">
        <v>120</v>
      </c>
      <c r="F1036" t="str">
        <f t="shared" si="16"/>
        <v>solar pv</v>
      </c>
    </row>
    <row r="1037" spans="1:6" x14ac:dyDescent="0.25">
      <c r="A1037" t="s">
        <v>130</v>
      </c>
      <c r="B1037" t="s">
        <v>249</v>
      </c>
      <c r="C1037">
        <v>2017</v>
      </c>
      <c r="D1037">
        <v>120</v>
      </c>
      <c r="E1037">
        <v>120</v>
      </c>
      <c r="F1037" t="str">
        <f t="shared" si="16"/>
        <v>solar pv</v>
      </c>
    </row>
    <row r="1038" spans="1:6" x14ac:dyDescent="0.25">
      <c r="A1038" t="s">
        <v>130</v>
      </c>
      <c r="B1038" t="s">
        <v>249</v>
      </c>
      <c r="C1038">
        <v>2019</v>
      </c>
      <c r="D1038">
        <v>1.6</v>
      </c>
      <c r="E1038">
        <v>1.6</v>
      </c>
      <c r="F1038" t="str">
        <f t="shared" si="16"/>
        <v>solar pv</v>
      </c>
    </row>
    <row r="1039" spans="1:6" x14ac:dyDescent="0.25">
      <c r="A1039" t="s">
        <v>130</v>
      </c>
      <c r="B1039" t="s">
        <v>249</v>
      </c>
      <c r="C1039">
        <v>2022</v>
      </c>
      <c r="D1039">
        <v>120</v>
      </c>
      <c r="E1039">
        <v>120</v>
      </c>
      <c r="F1039" t="str">
        <f t="shared" si="16"/>
        <v>solar pv</v>
      </c>
    </row>
    <row r="1040" spans="1:6" x14ac:dyDescent="0.25">
      <c r="A1040" t="s">
        <v>130</v>
      </c>
      <c r="B1040" t="s">
        <v>249</v>
      </c>
      <c r="C1040">
        <v>2023</v>
      </c>
      <c r="D1040">
        <v>40</v>
      </c>
      <c r="E1040">
        <v>40</v>
      </c>
      <c r="F1040" t="str">
        <f t="shared" si="16"/>
        <v>solar pv</v>
      </c>
    </row>
    <row r="1041" spans="1:6" x14ac:dyDescent="0.25">
      <c r="A1041" t="s">
        <v>130</v>
      </c>
      <c r="B1041" t="s">
        <v>249</v>
      </c>
      <c r="C1041">
        <v>2024</v>
      </c>
      <c r="D1041">
        <v>100</v>
      </c>
      <c r="E1041">
        <v>100</v>
      </c>
      <c r="F1041" t="str">
        <f t="shared" si="16"/>
        <v>solar pv</v>
      </c>
    </row>
    <row r="1042" spans="1:6" x14ac:dyDescent="0.25">
      <c r="A1042" t="s">
        <v>130</v>
      </c>
      <c r="B1042" t="s">
        <v>249</v>
      </c>
      <c r="C1042">
        <v>2025</v>
      </c>
      <c r="D1042">
        <v>200</v>
      </c>
      <c r="E1042">
        <v>200</v>
      </c>
      <c r="F1042" t="str">
        <f t="shared" si="16"/>
        <v>solar pv</v>
      </c>
    </row>
    <row r="1043" spans="1:6" x14ac:dyDescent="0.25">
      <c r="A1043" t="s">
        <v>132</v>
      </c>
      <c r="B1043" t="s">
        <v>90</v>
      </c>
      <c r="C1043">
        <v>1992</v>
      </c>
      <c r="D1043">
        <v>3.2</v>
      </c>
      <c r="E1043">
        <v>3.2</v>
      </c>
      <c r="F1043" t="str">
        <f t="shared" si="16"/>
        <v>biomass</v>
      </c>
    </row>
    <row r="1044" spans="1:6" x14ac:dyDescent="0.25">
      <c r="A1044" t="s">
        <v>132</v>
      </c>
      <c r="B1044" t="s">
        <v>90</v>
      </c>
      <c r="C1044">
        <v>1993</v>
      </c>
      <c r="D1044">
        <v>5.8</v>
      </c>
      <c r="E1044">
        <v>6</v>
      </c>
      <c r="F1044" t="str">
        <f t="shared" si="16"/>
        <v>biomass</v>
      </c>
    </row>
    <row r="1045" spans="1:6" x14ac:dyDescent="0.25">
      <c r="A1045" t="s">
        <v>132</v>
      </c>
      <c r="B1045" t="s">
        <v>90</v>
      </c>
      <c r="C1045">
        <v>1996</v>
      </c>
      <c r="D1045">
        <v>5.8</v>
      </c>
      <c r="E1045">
        <v>6.6</v>
      </c>
      <c r="F1045" t="str">
        <f t="shared" si="16"/>
        <v>biomass</v>
      </c>
    </row>
    <row r="1046" spans="1:6" x14ac:dyDescent="0.25">
      <c r="A1046" t="s">
        <v>132</v>
      </c>
      <c r="B1046" t="s">
        <v>90</v>
      </c>
      <c r="C1046">
        <v>1998</v>
      </c>
      <c r="D1046">
        <v>5.8</v>
      </c>
      <c r="E1046">
        <v>6.3</v>
      </c>
      <c r="F1046" t="str">
        <f t="shared" si="16"/>
        <v>biomass</v>
      </c>
    </row>
    <row r="1047" spans="1:6" x14ac:dyDescent="0.25">
      <c r="A1047" t="s">
        <v>132</v>
      </c>
      <c r="B1047" t="s">
        <v>90</v>
      </c>
      <c r="C1047">
        <v>1999</v>
      </c>
      <c r="D1047">
        <v>7.6</v>
      </c>
      <c r="E1047">
        <v>10.8</v>
      </c>
      <c r="F1047" t="str">
        <f t="shared" si="16"/>
        <v>biomass</v>
      </c>
    </row>
    <row r="1048" spans="1:6" x14ac:dyDescent="0.25">
      <c r="A1048" t="s">
        <v>132</v>
      </c>
      <c r="B1048" t="s">
        <v>90</v>
      </c>
      <c r="C1048">
        <v>2000</v>
      </c>
      <c r="D1048">
        <v>3.4</v>
      </c>
      <c r="E1048">
        <v>5</v>
      </c>
      <c r="F1048" t="str">
        <f t="shared" si="16"/>
        <v>biomass</v>
      </c>
    </row>
    <row r="1049" spans="1:6" x14ac:dyDescent="0.25">
      <c r="A1049" t="s">
        <v>132</v>
      </c>
      <c r="B1049" t="s">
        <v>90</v>
      </c>
      <c r="C1049">
        <v>2002</v>
      </c>
      <c r="D1049">
        <v>5.6</v>
      </c>
      <c r="E1049">
        <v>5.6</v>
      </c>
      <c r="F1049" t="str">
        <f t="shared" si="16"/>
        <v>biomass</v>
      </c>
    </row>
    <row r="1050" spans="1:6" x14ac:dyDescent="0.25">
      <c r="A1050" t="s">
        <v>132</v>
      </c>
      <c r="B1050" t="s">
        <v>90</v>
      </c>
      <c r="C1050">
        <v>2006</v>
      </c>
      <c r="D1050">
        <v>5.4</v>
      </c>
      <c r="E1050">
        <v>5.4</v>
      </c>
      <c r="F1050" t="str">
        <f t="shared" si="16"/>
        <v>biomass</v>
      </c>
    </row>
    <row r="1051" spans="1:6" x14ac:dyDescent="0.25">
      <c r="A1051" t="s">
        <v>132</v>
      </c>
      <c r="B1051" t="s">
        <v>90</v>
      </c>
      <c r="C1051">
        <v>2007</v>
      </c>
      <c r="D1051">
        <v>1.4</v>
      </c>
      <c r="E1051">
        <v>1.4</v>
      </c>
      <c r="F1051" t="str">
        <f t="shared" si="16"/>
        <v>biomass</v>
      </c>
    </row>
    <row r="1052" spans="1:6" x14ac:dyDescent="0.25">
      <c r="A1052" t="s">
        <v>132</v>
      </c>
      <c r="B1052" t="s">
        <v>90</v>
      </c>
      <c r="C1052">
        <v>2008</v>
      </c>
      <c r="D1052">
        <v>4.3</v>
      </c>
      <c r="E1052">
        <v>4.3</v>
      </c>
      <c r="F1052" t="str">
        <f t="shared" si="16"/>
        <v>biomass</v>
      </c>
    </row>
    <row r="1053" spans="1:6" x14ac:dyDescent="0.25">
      <c r="A1053" t="s">
        <v>132</v>
      </c>
      <c r="B1053" t="s">
        <v>90</v>
      </c>
      <c r="C1053">
        <v>2010</v>
      </c>
      <c r="D1053">
        <v>6.2</v>
      </c>
      <c r="E1053">
        <v>6.2</v>
      </c>
      <c r="F1053" t="str">
        <f t="shared" si="16"/>
        <v>biomass</v>
      </c>
    </row>
    <row r="1054" spans="1:6" x14ac:dyDescent="0.25">
      <c r="A1054" t="s">
        <v>132</v>
      </c>
      <c r="B1054" t="s">
        <v>90</v>
      </c>
      <c r="C1054">
        <v>2011</v>
      </c>
      <c r="D1054">
        <v>9.6</v>
      </c>
      <c r="E1054">
        <v>9.6</v>
      </c>
      <c r="F1054" t="str">
        <f t="shared" si="16"/>
        <v>biomass</v>
      </c>
    </row>
    <row r="1055" spans="1:6" x14ac:dyDescent="0.25">
      <c r="A1055" t="s">
        <v>132</v>
      </c>
      <c r="B1055" t="s">
        <v>90</v>
      </c>
      <c r="C1055">
        <v>2016</v>
      </c>
      <c r="D1055">
        <v>13.2</v>
      </c>
      <c r="E1055">
        <v>16.2</v>
      </c>
      <c r="F1055" t="str">
        <f t="shared" si="16"/>
        <v>biomass</v>
      </c>
    </row>
    <row r="1056" spans="1:6" x14ac:dyDescent="0.25">
      <c r="A1056" t="s">
        <v>132</v>
      </c>
      <c r="B1056" t="s">
        <v>81</v>
      </c>
      <c r="C1056">
        <v>1994</v>
      </c>
      <c r="D1056">
        <v>31</v>
      </c>
      <c r="E1056">
        <v>31</v>
      </c>
      <c r="F1056" t="str">
        <f t="shared" si="16"/>
        <v>hard coal</v>
      </c>
    </row>
    <row r="1057" spans="1:6" x14ac:dyDescent="0.25">
      <c r="A1057" t="s">
        <v>132</v>
      </c>
      <c r="B1057" t="s">
        <v>81</v>
      </c>
      <c r="C1057">
        <v>1997</v>
      </c>
      <c r="D1057">
        <v>75</v>
      </c>
      <c r="E1057">
        <v>75</v>
      </c>
      <c r="F1057" t="str">
        <f t="shared" si="16"/>
        <v>hard coal</v>
      </c>
    </row>
    <row r="1058" spans="1:6" x14ac:dyDescent="0.25">
      <c r="A1058" t="s">
        <v>132</v>
      </c>
      <c r="B1058" t="s">
        <v>81</v>
      </c>
      <c r="C1058">
        <v>1998</v>
      </c>
      <c r="D1058">
        <v>2.8</v>
      </c>
      <c r="E1058">
        <v>3.5</v>
      </c>
      <c r="F1058" t="str">
        <f t="shared" si="16"/>
        <v>hard coal</v>
      </c>
    </row>
    <row r="1059" spans="1:6" x14ac:dyDescent="0.25">
      <c r="A1059" t="s">
        <v>132</v>
      </c>
      <c r="B1059" t="s">
        <v>81</v>
      </c>
      <c r="C1059">
        <v>2005</v>
      </c>
      <c r="D1059">
        <v>105</v>
      </c>
      <c r="E1059">
        <v>105</v>
      </c>
      <c r="F1059" t="str">
        <f t="shared" si="16"/>
        <v>hard coal</v>
      </c>
    </row>
    <row r="1060" spans="1:6" x14ac:dyDescent="0.25">
      <c r="A1060" t="s">
        <v>132</v>
      </c>
      <c r="B1060" t="s">
        <v>81</v>
      </c>
      <c r="C1060">
        <v>2009</v>
      </c>
      <c r="D1060">
        <v>209.3</v>
      </c>
      <c r="E1060">
        <v>230.1</v>
      </c>
      <c r="F1060" t="str">
        <f t="shared" si="16"/>
        <v>hard coal</v>
      </c>
    </row>
    <row r="1061" spans="1:6" x14ac:dyDescent="0.25">
      <c r="A1061" t="s">
        <v>132</v>
      </c>
      <c r="B1061" t="s">
        <v>81</v>
      </c>
      <c r="C1061">
        <v>2012</v>
      </c>
      <c r="D1061">
        <v>1630</v>
      </c>
      <c r="E1061">
        <v>1766</v>
      </c>
      <c r="F1061" t="str">
        <f t="shared" si="16"/>
        <v>hard coal</v>
      </c>
    </row>
    <row r="1062" spans="1:6" x14ac:dyDescent="0.25">
      <c r="A1062" t="s">
        <v>132</v>
      </c>
      <c r="B1062" t="s">
        <v>86</v>
      </c>
      <c r="C1062">
        <v>1991</v>
      </c>
      <c r="D1062">
        <v>1.2</v>
      </c>
      <c r="E1062">
        <v>1.2</v>
      </c>
      <c r="F1062" t="str">
        <f t="shared" si="16"/>
        <v>hydro</v>
      </c>
    </row>
    <row r="1063" spans="1:6" x14ac:dyDescent="0.25">
      <c r="A1063" t="s">
        <v>132</v>
      </c>
      <c r="B1063" t="s">
        <v>86</v>
      </c>
      <c r="C1063">
        <v>1996</v>
      </c>
      <c r="D1063">
        <v>6.8</v>
      </c>
      <c r="E1063">
        <v>7.6</v>
      </c>
      <c r="F1063" t="str">
        <f t="shared" si="16"/>
        <v>hydro</v>
      </c>
    </row>
    <row r="1064" spans="1:6" x14ac:dyDescent="0.25">
      <c r="A1064" t="s">
        <v>132</v>
      </c>
      <c r="B1064" t="s">
        <v>86</v>
      </c>
      <c r="C1064">
        <v>1999</v>
      </c>
      <c r="D1064">
        <v>6</v>
      </c>
      <c r="E1064">
        <v>8</v>
      </c>
      <c r="F1064" t="str">
        <f t="shared" si="16"/>
        <v>hydro</v>
      </c>
    </row>
    <row r="1065" spans="1:6" x14ac:dyDescent="0.25">
      <c r="A1065" t="s">
        <v>132</v>
      </c>
      <c r="B1065" t="s">
        <v>86</v>
      </c>
      <c r="C1065">
        <v>2001</v>
      </c>
      <c r="D1065">
        <v>6</v>
      </c>
      <c r="E1065">
        <v>8</v>
      </c>
      <c r="F1065" t="str">
        <f t="shared" si="16"/>
        <v>hydro</v>
      </c>
    </row>
    <row r="1066" spans="1:6" x14ac:dyDescent="0.25">
      <c r="A1066" t="s">
        <v>132</v>
      </c>
      <c r="B1066" t="s">
        <v>84</v>
      </c>
      <c r="C1066">
        <v>1998</v>
      </c>
      <c r="D1066">
        <v>132</v>
      </c>
      <c r="E1066">
        <v>135.9</v>
      </c>
      <c r="F1066" t="str">
        <f t="shared" si="16"/>
        <v>natural gas combined cycle</v>
      </c>
    </row>
    <row r="1067" spans="1:6" x14ac:dyDescent="0.25">
      <c r="A1067" t="s">
        <v>132</v>
      </c>
      <c r="B1067" t="s">
        <v>84</v>
      </c>
      <c r="C1067">
        <v>2000</v>
      </c>
      <c r="D1067">
        <v>62</v>
      </c>
      <c r="E1067">
        <v>82.9</v>
      </c>
      <c r="F1067" t="str">
        <f t="shared" si="16"/>
        <v>natural gas combined cycle</v>
      </c>
    </row>
    <row r="1068" spans="1:6" x14ac:dyDescent="0.25">
      <c r="A1068" t="s">
        <v>132</v>
      </c>
      <c r="B1068" t="s">
        <v>84</v>
      </c>
      <c r="C1068">
        <v>2001</v>
      </c>
      <c r="D1068">
        <v>521.20000000000005</v>
      </c>
      <c r="E1068">
        <v>611.20000000000005</v>
      </c>
      <c r="F1068" t="str">
        <f t="shared" si="16"/>
        <v>natural gas combined cycle</v>
      </c>
    </row>
    <row r="1069" spans="1:6" x14ac:dyDescent="0.25">
      <c r="A1069" t="s">
        <v>132</v>
      </c>
      <c r="B1069" t="s">
        <v>84</v>
      </c>
      <c r="C1069">
        <v>2002</v>
      </c>
      <c r="D1069">
        <v>1742.2</v>
      </c>
      <c r="E1069">
        <v>1958.1</v>
      </c>
      <c r="F1069" t="str">
        <f t="shared" si="16"/>
        <v>natural gas combined cycle</v>
      </c>
    </row>
    <row r="1070" spans="1:6" x14ac:dyDescent="0.25">
      <c r="A1070" t="s">
        <v>132</v>
      </c>
      <c r="B1070" t="s">
        <v>84</v>
      </c>
      <c r="C1070">
        <v>2015</v>
      </c>
      <c r="D1070">
        <v>586</v>
      </c>
      <c r="E1070">
        <v>627.5</v>
      </c>
      <c r="F1070" t="str">
        <f t="shared" si="16"/>
        <v>natural gas combined cycle</v>
      </c>
    </row>
    <row r="1071" spans="1:6" x14ac:dyDescent="0.25">
      <c r="A1071" t="s">
        <v>132</v>
      </c>
      <c r="B1071" t="s">
        <v>84</v>
      </c>
      <c r="C1071">
        <v>2022</v>
      </c>
      <c r="D1071">
        <v>1185.5</v>
      </c>
      <c r="E1071">
        <v>1288.5999999999999</v>
      </c>
      <c r="F1071" t="str">
        <f t="shared" si="16"/>
        <v>natural gas combined cycle</v>
      </c>
    </row>
    <row r="1072" spans="1:6" x14ac:dyDescent="0.25">
      <c r="A1072" t="s">
        <v>132</v>
      </c>
      <c r="B1072" t="s">
        <v>84</v>
      </c>
      <c r="C1072">
        <v>2023</v>
      </c>
      <c r="D1072">
        <v>1220.9000000000001</v>
      </c>
      <c r="E1072">
        <v>1300</v>
      </c>
      <c r="F1072" t="str">
        <f t="shared" si="16"/>
        <v>natural gas combined cycle</v>
      </c>
    </row>
    <row r="1073" spans="1:6" x14ac:dyDescent="0.25">
      <c r="A1073" t="s">
        <v>132</v>
      </c>
      <c r="B1073" t="s">
        <v>93</v>
      </c>
      <c r="C1073">
        <v>1990</v>
      </c>
      <c r="D1073">
        <v>6.2</v>
      </c>
      <c r="E1073">
        <v>7.9</v>
      </c>
      <c r="F1073" t="str">
        <f t="shared" si="16"/>
        <v>natural gas peaker</v>
      </c>
    </row>
    <row r="1074" spans="1:6" x14ac:dyDescent="0.25">
      <c r="A1074" t="s">
        <v>132</v>
      </c>
      <c r="B1074" t="s">
        <v>93</v>
      </c>
      <c r="C1074">
        <v>1991</v>
      </c>
      <c r="D1074">
        <v>8.6</v>
      </c>
      <c r="E1074">
        <v>9</v>
      </c>
      <c r="F1074" t="str">
        <f t="shared" si="16"/>
        <v>natural gas peaker</v>
      </c>
    </row>
    <row r="1075" spans="1:6" x14ac:dyDescent="0.25">
      <c r="A1075" t="s">
        <v>132</v>
      </c>
      <c r="B1075" t="s">
        <v>93</v>
      </c>
      <c r="C1075">
        <v>1992</v>
      </c>
      <c r="D1075">
        <v>21.3</v>
      </c>
      <c r="E1075">
        <v>21.9</v>
      </c>
      <c r="F1075" t="str">
        <f t="shared" si="16"/>
        <v>natural gas peaker</v>
      </c>
    </row>
    <row r="1076" spans="1:6" x14ac:dyDescent="0.25">
      <c r="A1076" t="s">
        <v>132</v>
      </c>
      <c r="B1076" t="s">
        <v>93</v>
      </c>
      <c r="C1076">
        <v>1993</v>
      </c>
      <c r="D1076">
        <v>19.600000000000001</v>
      </c>
      <c r="E1076">
        <v>20</v>
      </c>
      <c r="F1076" t="str">
        <f t="shared" si="16"/>
        <v>natural gas peaker</v>
      </c>
    </row>
    <row r="1077" spans="1:6" x14ac:dyDescent="0.25">
      <c r="A1077" t="s">
        <v>132</v>
      </c>
      <c r="B1077" t="s">
        <v>93</v>
      </c>
      <c r="C1077">
        <v>1994</v>
      </c>
      <c r="D1077">
        <v>4</v>
      </c>
      <c r="E1077">
        <v>4.5999999999999996</v>
      </c>
      <c r="F1077" t="str">
        <f t="shared" si="16"/>
        <v>natural gas peaker</v>
      </c>
    </row>
    <row r="1078" spans="1:6" x14ac:dyDescent="0.25">
      <c r="A1078" t="s">
        <v>132</v>
      </c>
      <c r="B1078" t="s">
        <v>93</v>
      </c>
      <c r="C1078">
        <v>1995</v>
      </c>
      <c r="D1078">
        <v>9</v>
      </c>
      <c r="E1078">
        <v>8.6999999999999993</v>
      </c>
      <c r="F1078" t="str">
        <f t="shared" si="16"/>
        <v>natural gas peaker</v>
      </c>
    </row>
    <row r="1079" spans="1:6" x14ac:dyDescent="0.25">
      <c r="A1079" t="s">
        <v>132</v>
      </c>
      <c r="B1079" t="s">
        <v>93</v>
      </c>
      <c r="C1079">
        <v>1996</v>
      </c>
      <c r="D1079">
        <v>56.3</v>
      </c>
      <c r="E1079">
        <v>69.400000000000006</v>
      </c>
      <c r="F1079" t="str">
        <f t="shared" si="16"/>
        <v>natural gas peaker</v>
      </c>
    </row>
    <row r="1080" spans="1:6" x14ac:dyDescent="0.25">
      <c r="A1080" t="s">
        <v>132</v>
      </c>
      <c r="B1080" t="s">
        <v>93</v>
      </c>
      <c r="C1080">
        <v>1997</v>
      </c>
      <c r="D1080">
        <v>112.9</v>
      </c>
      <c r="E1080">
        <v>141.9</v>
      </c>
      <c r="F1080" t="str">
        <f t="shared" si="16"/>
        <v>natural gas peaker</v>
      </c>
    </row>
    <row r="1081" spans="1:6" x14ac:dyDescent="0.25">
      <c r="A1081" t="s">
        <v>132</v>
      </c>
      <c r="B1081" t="s">
        <v>93</v>
      </c>
      <c r="C1081">
        <v>1998</v>
      </c>
      <c r="D1081">
        <v>1.6</v>
      </c>
      <c r="E1081">
        <v>1.6</v>
      </c>
      <c r="F1081" t="str">
        <f t="shared" si="16"/>
        <v>natural gas peaker</v>
      </c>
    </row>
    <row r="1082" spans="1:6" x14ac:dyDescent="0.25">
      <c r="A1082" t="s">
        <v>132</v>
      </c>
      <c r="B1082" t="s">
        <v>93</v>
      </c>
      <c r="C1082">
        <v>1999</v>
      </c>
      <c r="D1082">
        <v>1139.4000000000001</v>
      </c>
      <c r="E1082">
        <v>1374.1</v>
      </c>
      <c r="F1082" t="str">
        <f t="shared" si="16"/>
        <v>natural gas peaker</v>
      </c>
    </row>
    <row r="1083" spans="1:6" x14ac:dyDescent="0.25">
      <c r="A1083" t="s">
        <v>132</v>
      </c>
      <c r="B1083" t="s">
        <v>93</v>
      </c>
      <c r="C1083">
        <v>2000</v>
      </c>
      <c r="D1083">
        <v>1762.8</v>
      </c>
      <c r="E1083">
        <v>1956.6</v>
      </c>
      <c r="F1083" t="str">
        <f t="shared" si="16"/>
        <v>natural gas peaker</v>
      </c>
    </row>
    <row r="1084" spans="1:6" x14ac:dyDescent="0.25">
      <c r="A1084" t="s">
        <v>132</v>
      </c>
      <c r="B1084" t="s">
        <v>93</v>
      </c>
      <c r="C1084">
        <v>2001</v>
      </c>
      <c r="D1084">
        <v>2975.4</v>
      </c>
      <c r="E1084">
        <v>3500.8</v>
      </c>
      <c r="F1084" t="str">
        <f t="shared" si="16"/>
        <v>natural gas peaker</v>
      </c>
    </row>
    <row r="1085" spans="1:6" x14ac:dyDescent="0.25">
      <c r="A1085" t="s">
        <v>132</v>
      </c>
      <c r="B1085" t="s">
        <v>93</v>
      </c>
      <c r="C1085">
        <v>2002</v>
      </c>
      <c r="D1085">
        <v>3017.6</v>
      </c>
      <c r="E1085">
        <v>3657.1</v>
      </c>
      <c r="F1085" t="str">
        <f t="shared" si="16"/>
        <v>natural gas peaker</v>
      </c>
    </row>
    <row r="1086" spans="1:6" x14ac:dyDescent="0.25">
      <c r="A1086" t="s">
        <v>132</v>
      </c>
      <c r="B1086" t="s">
        <v>93</v>
      </c>
      <c r="C1086">
        <v>2003</v>
      </c>
      <c r="D1086">
        <v>764.8</v>
      </c>
      <c r="E1086">
        <v>1072.3</v>
      </c>
      <c r="F1086" t="str">
        <f t="shared" si="16"/>
        <v>natural gas peaker</v>
      </c>
    </row>
    <row r="1087" spans="1:6" x14ac:dyDescent="0.25">
      <c r="A1087" t="s">
        <v>132</v>
      </c>
      <c r="B1087" t="s">
        <v>93</v>
      </c>
      <c r="C1087">
        <v>2005</v>
      </c>
      <c r="D1087">
        <v>483.9</v>
      </c>
      <c r="E1087">
        <v>572.29999999999995</v>
      </c>
      <c r="F1087" t="str">
        <f t="shared" si="16"/>
        <v>natural gas peaker</v>
      </c>
    </row>
    <row r="1088" spans="1:6" x14ac:dyDescent="0.25">
      <c r="A1088" t="s">
        <v>132</v>
      </c>
      <c r="B1088" t="s">
        <v>93</v>
      </c>
      <c r="C1088">
        <v>2012</v>
      </c>
      <c r="D1088">
        <v>6.6</v>
      </c>
      <c r="E1088">
        <v>7</v>
      </c>
      <c r="F1088" t="str">
        <f t="shared" si="16"/>
        <v>natural gas peaker</v>
      </c>
    </row>
    <row r="1089" spans="1:6" x14ac:dyDescent="0.25">
      <c r="A1089" t="s">
        <v>132</v>
      </c>
      <c r="B1089" t="s">
        <v>93</v>
      </c>
      <c r="C1089">
        <v>2015</v>
      </c>
      <c r="D1089">
        <v>0.4</v>
      </c>
      <c r="E1089">
        <v>0.4</v>
      </c>
      <c r="F1089" t="str">
        <f t="shared" si="16"/>
        <v>natural gas peaker</v>
      </c>
    </row>
    <row r="1090" spans="1:6" x14ac:dyDescent="0.25">
      <c r="A1090" t="s">
        <v>132</v>
      </c>
      <c r="B1090" t="s">
        <v>93</v>
      </c>
      <c r="C1090">
        <v>2016</v>
      </c>
      <c r="D1090">
        <v>46.7</v>
      </c>
      <c r="E1090">
        <v>54.3</v>
      </c>
      <c r="F1090" t="str">
        <f t="shared" ref="F1090:F1153" si="17">LOWER($B1090)</f>
        <v>natural gas peaker</v>
      </c>
    </row>
    <row r="1091" spans="1:6" x14ac:dyDescent="0.25">
      <c r="A1091" t="s">
        <v>132</v>
      </c>
      <c r="B1091" t="s">
        <v>93</v>
      </c>
      <c r="C1091">
        <v>2017</v>
      </c>
      <c r="D1091">
        <v>1</v>
      </c>
      <c r="E1091">
        <v>1</v>
      </c>
      <c r="F1091" t="str">
        <f t="shared" si="17"/>
        <v>natural gas peaker</v>
      </c>
    </row>
    <row r="1092" spans="1:6" x14ac:dyDescent="0.25">
      <c r="A1092" t="s">
        <v>132</v>
      </c>
      <c r="B1092" t="s">
        <v>93</v>
      </c>
      <c r="C1092">
        <v>2023</v>
      </c>
      <c r="D1092">
        <v>314</v>
      </c>
      <c r="E1092">
        <v>380</v>
      </c>
      <c r="F1092" t="str">
        <f t="shared" si="17"/>
        <v>natural gas peaker</v>
      </c>
    </row>
    <row r="1093" spans="1:6" x14ac:dyDescent="0.25">
      <c r="A1093" t="s">
        <v>132</v>
      </c>
      <c r="B1093" t="s">
        <v>83</v>
      </c>
      <c r="C1093">
        <v>1991</v>
      </c>
      <c r="D1093">
        <v>42.2</v>
      </c>
      <c r="E1093">
        <v>45</v>
      </c>
      <c r="F1093" t="str">
        <f t="shared" si="17"/>
        <v>natural gas steam turbine</v>
      </c>
    </row>
    <row r="1094" spans="1:6" x14ac:dyDescent="0.25">
      <c r="A1094" t="s">
        <v>132</v>
      </c>
      <c r="B1094" t="s">
        <v>83</v>
      </c>
      <c r="C1094">
        <v>2004</v>
      </c>
      <c r="D1094">
        <v>27.3</v>
      </c>
      <c r="E1094">
        <v>27.3</v>
      </c>
      <c r="F1094" t="str">
        <f t="shared" si="17"/>
        <v>natural gas steam turbine</v>
      </c>
    </row>
    <row r="1095" spans="1:6" x14ac:dyDescent="0.25">
      <c r="A1095" t="s">
        <v>132</v>
      </c>
      <c r="B1095" t="s">
        <v>83</v>
      </c>
      <c r="C1095">
        <v>2019</v>
      </c>
      <c r="D1095">
        <v>1.8</v>
      </c>
      <c r="E1095">
        <v>1.8</v>
      </c>
      <c r="F1095" t="str">
        <f t="shared" si="17"/>
        <v>natural gas steam turbine</v>
      </c>
    </row>
    <row r="1096" spans="1:6" x14ac:dyDescent="0.25">
      <c r="A1096" t="s">
        <v>132</v>
      </c>
      <c r="B1096" t="s">
        <v>87</v>
      </c>
      <c r="C1096">
        <v>2003</v>
      </c>
      <c r="D1096">
        <v>76.2</v>
      </c>
      <c r="E1096">
        <v>76.2</v>
      </c>
      <c r="F1096" t="str">
        <f t="shared" si="17"/>
        <v>onshore wind</v>
      </c>
    </row>
    <row r="1097" spans="1:6" x14ac:dyDescent="0.25">
      <c r="A1097" t="s">
        <v>132</v>
      </c>
      <c r="B1097" t="s">
        <v>87</v>
      </c>
      <c r="C1097">
        <v>2005</v>
      </c>
      <c r="D1097">
        <v>54.7</v>
      </c>
      <c r="E1097">
        <v>54.7</v>
      </c>
      <c r="F1097" t="str">
        <f t="shared" si="17"/>
        <v>onshore wind</v>
      </c>
    </row>
    <row r="1098" spans="1:6" x14ac:dyDescent="0.25">
      <c r="A1098" t="s">
        <v>132</v>
      </c>
      <c r="B1098" t="s">
        <v>87</v>
      </c>
      <c r="C1098">
        <v>2007</v>
      </c>
      <c r="D1098">
        <v>668.1</v>
      </c>
      <c r="E1098">
        <v>668.1</v>
      </c>
      <c r="F1098" t="str">
        <f t="shared" si="17"/>
        <v>onshore wind</v>
      </c>
    </row>
    <row r="1099" spans="1:6" x14ac:dyDescent="0.25">
      <c r="A1099" t="s">
        <v>132</v>
      </c>
      <c r="B1099" t="s">
        <v>87</v>
      </c>
      <c r="C1099">
        <v>2008</v>
      </c>
      <c r="D1099">
        <v>171</v>
      </c>
      <c r="E1099">
        <v>171</v>
      </c>
      <c r="F1099" t="str">
        <f t="shared" si="17"/>
        <v>onshore wind</v>
      </c>
    </row>
    <row r="1100" spans="1:6" x14ac:dyDescent="0.25">
      <c r="A1100" t="s">
        <v>132</v>
      </c>
      <c r="B1100" t="s">
        <v>87</v>
      </c>
      <c r="C1100">
        <v>2009</v>
      </c>
      <c r="D1100">
        <v>638.5</v>
      </c>
      <c r="E1100">
        <v>638.5</v>
      </c>
      <c r="F1100" t="str">
        <f t="shared" si="17"/>
        <v>onshore wind</v>
      </c>
    </row>
    <row r="1101" spans="1:6" x14ac:dyDescent="0.25">
      <c r="A1101" t="s">
        <v>132</v>
      </c>
      <c r="B1101" t="s">
        <v>87</v>
      </c>
      <c r="C1101">
        <v>2010</v>
      </c>
      <c r="D1101">
        <v>500</v>
      </c>
      <c r="E1101">
        <v>500</v>
      </c>
      <c r="F1101" t="str">
        <f t="shared" si="17"/>
        <v>onshore wind</v>
      </c>
    </row>
    <row r="1102" spans="1:6" x14ac:dyDescent="0.25">
      <c r="A1102" t="s">
        <v>132</v>
      </c>
      <c r="B1102" t="s">
        <v>87</v>
      </c>
      <c r="C1102">
        <v>2011</v>
      </c>
      <c r="D1102">
        <v>691.7</v>
      </c>
      <c r="E1102">
        <v>691.7</v>
      </c>
      <c r="F1102" t="str">
        <f t="shared" si="17"/>
        <v>onshore wind</v>
      </c>
    </row>
    <row r="1103" spans="1:6" x14ac:dyDescent="0.25">
      <c r="A1103" t="s">
        <v>132</v>
      </c>
      <c r="B1103" t="s">
        <v>87</v>
      </c>
      <c r="C1103">
        <v>2012</v>
      </c>
      <c r="D1103">
        <v>784.5</v>
      </c>
      <c r="E1103">
        <v>809.2</v>
      </c>
      <c r="F1103" t="str">
        <f t="shared" si="17"/>
        <v>onshore wind</v>
      </c>
    </row>
    <row r="1104" spans="1:6" x14ac:dyDescent="0.25">
      <c r="A1104" t="s">
        <v>132</v>
      </c>
      <c r="B1104" t="s">
        <v>87</v>
      </c>
      <c r="C1104">
        <v>2015</v>
      </c>
      <c r="D1104">
        <v>273</v>
      </c>
      <c r="E1104">
        <v>273</v>
      </c>
      <c r="F1104" t="str">
        <f t="shared" si="17"/>
        <v>onshore wind</v>
      </c>
    </row>
    <row r="1105" spans="1:6" x14ac:dyDescent="0.25">
      <c r="A1105" t="s">
        <v>132</v>
      </c>
      <c r="B1105" t="s">
        <v>87</v>
      </c>
      <c r="C1105">
        <v>2016</v>
      </c>
      <c r="D1105">
        <v>184</v>
      </c>
      <c r="E1105">
        <v>184</v>
      </c>
      <c r="F1105" t="str">
        <f t="shared" si="17"/>
        <v>onshore wind</v>
      </c>
    </row>
    <row r="1106" spans="1:6" x14ac:dyDescent="0.25">
      <c r="A1106" t="s">
        <v>132</v>
      </c>
      <c r="B1106" t="s">
        <v>87</v>
      </c>
      <c r="C1106">
        <v>2017</v>
      </c>
      <c r="D1106">
        <v>278.10000000000002</v>
      </c>
      <c r="E1106">
        <v>278.10000000000002</v>
      </c>
      <c r="F1106" t="str">
        <f t="shared" si="17"/>
        <v>onshore wind</v>
      </c>
    </row>
    <row r="1107" spans="1:6" x14ac:dyDescent="0.25">
      <c r="A1107" t="s">
        <v>132</v>
      </c>
      <c r="B1107" t="s">
        <v>87</v>
      </c>
      <c r="C1107">
        <v>2018</v>
      </c>
      <c r="D1107">
        <v>516</v>
      </c>
      <c r="E1107">
        <v>516</v>
      </c>
      <c r="F1107" t="str">
        <f t="shared" si="17"/>
        <v>onshore wind</v>
      </c>
    </row>
    <row r="1108" spans="1:6" x14ac:dyDescent="0.25">
      <c r="A1108" t="s">
        <v>132</v>
      </c>
      <c r="B1108" t="s">
        <v>87</v>
      </c>
      <c r="C1108">
        <v>2019</v>
      </c>
      <c r="D1108">
        <v>399.5</v>
      </c>
      <c r="E1108">
        <v>399.5</v>
      </c>
      <c r="F1108" t="str">
        <f t="shared" si="17"/>
        <v>onshore wind</v>
      </c>
    </row>
    <row r="1109" spans="1:6" x14ac:dyDescent="0.25">
      <c r="A1109" t="s">
        <v>132</v>
      </c>
      <c r="B1109" t="s">
        <v>87</v>
      </c>
      <c r="C1109">
        <v>2020</v>
      </c>
      <c r="D1109">
        <v>1098</v>
      </c>
      <c r="E1109">
        <v>1098</v>
      </c>
      <c r="F1109" t="str">
        <f t="shared" si="17"/>
        <v>onshore wind</v>
      </c>
    </row>
    <row r="1110" spans="1:6" x14ac:dyDescent="0.25">
      <c r="A1110" t="s">
        <v>132</v>
      </c>
      <c r="B1110" t="s">
        <v>87</v>
      </c>
      <c r="C1110">
        <v>2021</v>
      </c>
      <c r="D1110">
        <v>580</v>
      </c>
      <c r="E1110">
        <v>580</v>
      </c>
      <c r="F1110" t="str">
        <f t="shared" si="17"/>
        <v>onshore wind</v>
      </c>
    </row>
    <row r="1111" spans="1:6" x14ac:dyDescent="0.25">
      <c r="A1111" t="s">
        <v>132</v>
      </c>
      <c r="B1111" t="s">
        <v>87</v>
      </c>
      <c r="C1111">
        <v>2022</v>
      </c>
      <c r="D1111">
        <v>121.3</v>
      </c>
      <c r="E1111">
        <v>121.3</v>
      </c>
      <c r="F1111" t="str">
        <f t="shared" si="17"/>
        <v>onshore wind</v>
      </c>
    </row>
    <row r="1112" spans="1:6" x14ac:dyDescent="0.25">
      <c r="A1112" t="s">
        <v>132</v>
      </c>
      <c r="B1112" t="s">
        <v>87</v>
      </c>
      <c r="C1112">
        <v>2023</v>
      </c>
      <c r="D1112">
        <v>839.1</v>
      </c>
      <c r="E1112">
        <v>845.1</v>
      </c>
      <c r="F1112" t="str">
        <f t="shared" si="17"/>
        <v>onshore wind</v>
      </c>
    </row>
    <row r="1113" spans="1:6" x14ac:dyDescent="0.25">
      <c r="A1113" t="s">
        <v>132</v>
      </c>
      <c r="B1113" t="s">
        <v>87</v>
      </c>
      <c r="C1113">
        <v>2025</v>
      </c>
      <c r="D1113">
        <v>558.4</v>
      </c>
      <c r="E1113">
        <v>558.4</v>
      </c>
      <c r="F1113" t="str">
        <f t="shared" si="17"/>
        <v>onshore wind</v>
      </c>
    </row>
    <row r="1114" spans="1:6" x14ac:dyDescent="0.25">
      <c r="A1114" t="s">
        <v>132</v>
      </c>
      <c r="B1114" t="s">
        <v>92</v>
      </c>
      <c r="C1114">
        <v>1992</v>
      </c>
      <c r="D1114">
        <v>2.5</v>
      </c>
      <c r="E1114">
        <v>2.5</v>
      </c>
      <c r="F1114" t="str">
        <f t="shared" si="17"/>
        <v>petroleum</v>
      </c>
    </row>
    <row r="1115" spans="1:6" x14ac:dyDescent="0.25">
      <c r="A1115" t="s">
        <v>132</v>
      </c>
      <c r="B1115" t="s">
        <v>92</v>
      </c>
      <c r="C1115">
        <v>1993</v>
      </c>
      <c r="D1115">
        <v>6.6</v>
      </c>
      <c r="E1115">
        <v>6.6</v>
      </c>
      <c r="F1115" t="str">
        <f t="shared" si="17"/>
        <v>petroleum</v>
      </c>
    </row>
    <row r="1116" spans="1:6" x14ac:dyDescent="0.25">
      <c r="A1116" t="s">
        <v>132</v>
      </c>
      <c r="B1116" t="s">
        <v>92</v>
      </c>
      <c r="C1116">
        <v>1994</v>
      </c>
      <c r="D1116">
        <v>1</v>
      </c>
      <c r="E1116">
        <v>1.1000000000000001</v>
      </c>
      <c r="F1116" t="str">
        <f t="shared" si="17"/>
        <v>petroleum</v>
      </c>
    </row>
    <row r="1117" spans="1:6" x14ac:dyDescent="0.25">
      <c r="A1117" t="s">
        <v>132</v>
      </c>
      <c r="B1117" t="s">
        <v>92</v>
      </c>
      <c r="C1117">
        <v>1995</v>
      </c>
      <c r="D1117">
        <v>1</v>
      </c>
      <c r="E1117">
        <v>1.1000000000000001</v>
      </c>
      <c r="F1117" t="str">
        <f t="shared" si="17"/>
        <v>petroleum</v>
      </c>
    </row>
    <row r="1118" spans="1:6" x14ac:dyDescent="0.25">
      <c r="A1118" t="s">
        <v>132</v>
      </c>
      <c r="B1118" t="s">
        <v>92</v>
      </c>
      <c r="C1118">
        <v>1996</v>
      </c>
      <c r="D1118">
        <v>21.2</v>
      </c>
      <c r="E1118">
        <v>20.8</v>
      </c>
      <c r="F1118" t="str">
        <f t="shared" si="17"/>
        <v>petroleum</v>
      </c>
    </row>
    <row r="1119" spans="1:6" x14ac:dyDescent="0.25">
      <c r="A1119" t="s">
        <v>132</v>
      </c>
      <c r="B1119" t="s">
        <v>92</v>
      </c>
      <c r="C1119">
        <v>1997</v>
      </c>
      <c r="D1119">
        <v>2.5</v>
      </c>
      <c r="E1119">
        <v>2.5</v>
      </c>
      <c r="F1119" t="str">
        <f t="shared" si="17"/>
        <v>petroleum</v>
      </c>
    </row>
    <row r="1120" spans="1:6" x14ac:dyDescent="0.25">
      <c r="A1120" t="s">
        <v>132</v>
      </c>
      <c r="B1120" t="s">
        <v>92</v>
      </c>
      <c r="C1120">
        <v>1998</v>
      </c>
      <c r="D1120">
        <v>7.9</v>
      </c>
      <c r="E1120">
        <v>8.9</v>
      </c>
      <c r="F1120" t="str">
        <f t="shared" si="17"/>
        <v>petroleum</v>
      </c>
    </row>
    <row r="1121" spans="1:6" x14ac:dyDescent="0.25">
      <c r="A1121" t="s">
        <v>132</v>
      </c>
      <c r="B1121" t="s">
        <v>92</v>
      </c>
      <c r="C1121">
        <v>1999</v>
      </c>
      <c r="D1121">
        <v>3.7</v>
      </c>
      <c r="E1121">
        <v>3.7</v>
      </c>
      <c r="F1121" t="str">
        <f t="shared" si="17"/>
        <v>petroleum</v>
      </c>
    </row>
    <row r="1122" spans="1:6" x14ac:dyDescent="0.25">
      <c r="A1122" t="s">
        <v>132</v>
      </c>
      <c r="B1122" t="s">
        <v>92</v>
      </c>
      <c r="C1122">
        <v>2000</v>
      </c>
      <c r="D1122">
        <v>32</v>
      </c>
      <c r="E1122">
        <v>32</v>
      </c>
      <c r="F1122" t="str">
        <f t="shared" si="17"/>
        <v>petroleum</v>
      </c>
    </row>
    <row r="1123" spans="1:6" x14ac:dyDescent="0.25">
      <c r="A1123" t="s">
        <v>132</v>
      </c>
      <c r="B1123" t="s">
        <v>92</v>
      </c>
      <c r="C1123">
        <v>2001</v>
      </c>
      <c r="D1123">
        <v>18</v>
      </c>
      <c r="E1123">
        <v>18</v>
      </c>
      <c r="F1123" t="str">
        <f t="shared" si="17"/>
        <v>petroleum</v>
      </c>
    </row>
    <row r="1124" spans="1:6" x14ac:dyDescent="0.25">
      <c r="A1124" t="s">
        <v>132</v>
      </c>
      <c r="B1124" t="s">
        <v>92</v>
      </c>
      <c r="C1124">
        <v>2002</v>
      </c>
      <c r="D1124">
        <v>44.4</v>
      </c>
      <c r="E1124">
        <v>44.3</v>
      </c>
      <c r="F1124" t="str">
        <f t="shared" si="17"/>
        <v>petroleum</v>
      </c>
    </row>
    <row r="1125" spans="1:6" x14ac:dyDescent="0.25">
      <c r="A1125" t="s">
        <v>132</v>
      </c>
      <c r="B1125" t="s">
        <v>92</v>
      </c>
      <c r="C1125">
        <v>2003</v>
      </c>
      <c r="D1125">
        <v>8.5</v>
      </c>
      <c r="E1125">
        <v>8.5</v>
      </c>
      <c r="F1125" t="str">
        <f t="shared" si="17"/>
        <v>petroleum</v>
      </c>
    </row>
    <row r="1126" spans="1:6" x14ac:dyDescent="0.25">
      <c r="A1126" t="s">
        <v>132</v>
      </c>
      <c r="B1126" t="s">
        <v>92</v>
      </c>
      <c r="C1126">
        <v>2005</v>
      </c>
      <c r="D1126">
        <v>1.4</v>
      </c>
      <c r="E1126">
        <v>2</v>
      </c>
      <c r="F1126" t="str">
        <f t="shared" si="17"/>
        <v>petroleum</v>
      </c>
    </row>
    <row r="1127" spans="1:6" x14ac:dyDescent="0.25">
      <c r="A1127" t="s">
        <v>132</v>
      </c>
      <c r="B1127" t="s">
        <v>92</v>
      </c>
      <c r="C1127">
        <v>2006</v>
      </c>
      <c r="D1127">
        <v>2.6</v>
      </c>
      <c r="E1127">
        <v>2.6</v>
      </c>
      <c r="F1127" t="str">
        <f t="shared" si="17"/>
        <v>petroleum</v>
      </c>
    </row>
    <row r="1128" spans="1:6" x14ac:dyDescent="0.25">
      <c r="A1128" t="s">
        <v>132</v>
      </c>
      <c r="B1128" t="s">
        <v>92</v>
      </c>
      <c r="C1128">
        <v>2007</v>
      </c>
      <c r="D1128">
        <v>9</v>
      </c>
      <c r="E1128">
        <v>9</v>
      </c>
      <c r="F1128" t="str">
        <f t="shared" si="17"/>
        <v>petroleum</v>
      </c>
    </row>
    <row r="1129" spans="1:6" x14ac:dyDescent="0.25">
      <c r="A1129" t="s">
        <v>132</v>
      </c>
      <c r="B1129" t="s">
        <v>92</v>
      </c>
      <c r="C1129">
        <v>2008</v>
      </c>
      <c r="D1129">
        <v>2.5</v>
      </c>
      <c r="E1129">
        <v>2.5</v>
      </c>
      <c r="F1129" t="str">
        <f t="shared" si="17"/>
        <v>petroleum</v>
      </c>
    </row>
    <row r="1130" spans="1:6" x14ac:dyDescent="0.25">
      <c r="A1130" t="s">
        <v>132</v>
      </c>
      <c r="B1130" t="s">
        <v>92</v>
      </c>
      <c r="C1130">
        <v>2010</v>
      </c>
      <c r="D1130">
        <v>6</v>
      </c>
      <c r="E1130">
        <v>6</v>
      </c>
      <c r="F1130" t="str">
        <f t="shared" si="17"/>
        <v>petroleum</v>
      </c>
    </row>
    <row r="1131" spans="1:6" x14ac:dyDescent="0.25">
      <c r="A1131" t="s">
        <v>132</v>
      </c>
      <c r="B1131" t="s">
        <v>92</v>
      </c>
      <c r="C1131">
        <v>2011</v>
      </c>
      <c r="D1131">
        <v>23.3</v>
      </c>
      <c r="E1131">
        <v>23.3</v>
      </c>
      <c r="F1131" t="str">
        <f t="shared" si="17"/>
        <v>petroleum</v>
      </c>
    </row>
    <row r="1132" spans="1:6" x14ac:dyDescent="0.25">
      <c r="A1132" t="s">
        <v>132</v>
      </c>
      <c r="B1132" t="s">
        <v>92</v>
      </c>
      <c r="C1132">
        <v>2012</v>
      </c>
      <c r="D1132">
        <v>10.9</v>
      </c>
      <c r="E1132">
        <v>11.3</v>
      </c>
      <c r="F1132" t="str">
        <f t="shared" si="17"/>
        <v>petroleum</v>
      </c>
    </row>
    <row r="1133" spans="1:6" x14ac:dyDescent="0.25">
      <c r="A1133" t="s">
        <v>132</v>
      </c>
      <c r="B1133" t="s">
        <v>92</v>
      </c>
      <c r="C1133">
        <v>2013</v>
      </c>
      <c r="D1133">
        <v>1.1000000000000001</v>
      </c>
      <c r="E1133">
        <v>1.1000000000000001</v>
      </c>
      <c r="F1133" t="str">
        <f t="shared" si="17"/>
        <v>petroleum</v>
      </c>
    </row>
    <row r="1134" spans="1:6" x14ac:dyDescent="0.25">
      <c r="A1134" t="s">
        <v>132</v>
      </c>
      <c r="B1134" t="s">
        <v>92</v>
      </c>
      <c r="C1134">
        <v>2014</v>
      </c>
      <c r="D1134">
        <v>7.9</v>
      </c>
      <c r="E1134">
        <v>7.9</v>
      </c>
      <c r="F1134" t="str">
        <f t="shared" si="17"/>
        <v>petroleum</v>
      </c>
    </row>
    <row r="1135" spans="1:6" x14ac:dyDescent="0.25">
      <c r="A1135" t="s">
        <v>132</v>
      </c>
      <c r="B1135" t="s">
        <v>92</v>
      </c>
      <c r="C1135">
        <v>2016</v>
      </c>
      <c r="D1135">
        <v>5.4</v>
      </c>
      <c r="E1135">
        <v>5.4</v>
      </c>
      <c r="F1135" t="str">
        <f t="shared" si="17"/>
        <v>petroleum</v>
      </c>
    </row>
    <row r="1136" spans="1:6" x14ac:dyDescent="0.25">
      <c r="A1136" t="s">
        <v>132</v>
      </c>
      <c r="B1136" t="s">
        <v>92</v>
      </c>
      <c r="C1136">
        <v>2019</v>
      </c>
      <c r="D1136">
        <v>2.8</v>
      </c>
      <c r="E1136">
        <v>2.8</v>
      </c>
      <c r="F1136" t="str">
        <f t="shared" si="17"/>
        <v>petroleum</v>
      </c>
    </row>
    <row r="1137" spans="1:6" x14ac:dyDescent="0.25">
      <c r="A1137" t="s">
        <v>132</v>
      </c>
      <c r="B1137" t="s">
        <v>92</v>
      </c>
      <c r="C1137">
        <v>2024</v>
      </c>
      <c r="D1137">
        <v>3.89</v>
      </c>
      <c r="E1137">
        <v>4</v>
      </c>
      <c r="F1137" t="str">
        <f t="shared" si="17"/>
        <v>petroleum</v>
      </c>
    </row>
    <row r="1138" spans="1:6" x14ac:dyDescent="0.25">
      <c r="A1138" t="s">
        <v>132</v>
      </c>
      <c r="B1138" t="s">
        <v>249</v>
      </c>
      <c r="C1138">
        <v>2009</v>
      </c>
      <c r="D1138">
        <v>9</v>
      </c>
      <c r="E1138">
        <v>9</v>
      </c>
      <c r="F1138" t="str">
        <f t="shared" si="17"/>
        <v>solar pv</v>
      </c>
    </row>
    <row r="1139" spans="1:6" x14ac:dyDescent="0.25">
      <c r="A1139" t="s">
        <v>132</v>
      </c>
      <c r="B1139" t="s">
        <v>249</v>
      </c>
      <c r="C1139">
        <v>2012</v>
      </c>
      <c r="D1139">
        <v>22.6</v>
      </c>
      <c r="E1139">
        <v>22.6</v>
      </c>
      <c r="F1139" t="str">
        <f t="shared" si="17"/>
        <v>solar pv</v>
      </c>
    </row>
    <row r="1140" spans="1:6" x14ac:dyDescent="0.25">
      <c r="A1140" t="s">
        <v>132</v>
      </c>
      <c r="B1140" t="s">
        <v>249</v>
      </c>
      <c r="C1140">
        <v>2014</v>
      </c>
      <c r="D1140">
        <v>0.3</v>
      </c>
      <c r="E1140">
        <v>0.3</v>
      </c>
      <c r="F1140" t="str">
        <f t="shared" si="17"/>
        <v>solar pv</v>
      </c>
    </row>
    <row r="1141" spans="1:6" x14ac:dyDescent="0.25">
      <c r="A1141" t="s">
        <v>132</v>
      </c>
      <c r="B1141" t="s">
        <v>249</v>
      </c>
      <c r="C1141">
        <v>2015</v>
      </c>
      <c r="D1141">
        <v>5.6</v>
      </c>
      <c r="E1141">
        <v>5.9</v>
      </c>
      <c r="F1141" t="str">
        <f t="shared" si="17"/>
        <v>solar pv</v>
      </c>
    </row>
    <row r="1142" spans="1:6" x14ac:dyDescent="0.25">
      <c r="A1142" t="s">
        <v>132</v>
      </c>
      <c r="B1142" t="s">
        <v>249</v>
      </c>
      <c r="C1142">
        <v>2016</v>
      </c>
      <c r="D1142">
        <v>2</v>
      </c>
      <c r="E1142">
        <v>2</v>
      </c>
      <c r="F1142" t="str">
        <f t="shared" si="17"/>
        <v>solar pv</v>
      </c>
    </row>
    <row r="1143" spans="1:6" x14ac:dyDescent="0.25">
      <c r="A1143" t="s">
        <v>132</v>
      </c>
      <c r="B1143" t="s">
        <v>249</v>
      </c>
      <c r="C1143">
        <v>2017</v>
      </c>
      <c r="D1143">
        <v>2.1</v>
      </c>
      <c r="E1143">
        <v>2.1</v>
      </c>
      <c r="F1143" t="str">
        <f t="shared" si="17"/>
        <v>solar pv</v>
      </c>
    </row>
    <row r="1144" spans="1:6" x14ac:dyDescent="0.25">
      <c r="A1144" t="s">
        <v>132</v>
      </c>
      <c r="B1144" t="s">
        <v>249</v>
      </c>
      <c r="C1144">
        <v>2019</v>
      </c>
      <c r="D1144">
        <v>4.4000000000000004</v>
      </c>
      <c r="E1144">
        <v>4.4000000000000004</v>
      </c>
      <c r="F1144" t="str">
        <f t="shared" si="17"/>
        <v>solar pv</v>
      </c>
    </row>
    <row r="1145" spans="1:6" x14ac:dyDescent="0.25">
      <c r="A1145" t="s">
        <v>132</v>
      </c>
      <c r="B1145" t="s">
        <v>249</v>
      </c>
      <c r="C1145">
        <v>2020</v>
      </c>
      <c r="D1145">
        <v>83.3</v>
      </c>
      <c r="E1145">
        <v>83.3</v>
      </c>
      <c r="F1145" t="str">
        <f t="shared" si="17"/>
        <v>solar pv</v>
      </c>
    </row>
    <row r="1146" spans="1:6" x14ac:dyDescent="0.25">
      <c r="A1146" t="s">
        <v>132</v>
      </c>
      <c r="B1146" t="s">
        <v>249</v>
      </c>
      <c r="C1146">
        <v>2021</v>
      </c>
      <c r="D1146">
        <v>539</v>
      </c>
      <c r="E1146">
        <v>539</v>
      </c>
      <c r="F1146" t="str">
        <f t="shared" si="17"/>
        <v>solar pv</v>
      </c>
    </row>
    <row r="1147" spans="1:6" x14ac:dyDescent="0.25">
      <c r="A1147" t="s">
        <v>132</v>
      </c>
      <c r="B1147" t="s">
        <v>249</v>
      </c>
      <c r="C1147">
        <v>2022</v>
      </c>
      <c r="D1147">
        <v>240.2</v>
      </c>
      <c r="E1147">
        <v>240.2</v>
      </c>
      <c r="F1147" t="str">
        <f t="shared" si="17"/>
        <v>solar pv</v>
      </c>
    </row>
    <row r="1148" spans="1:6" x14ac:dyDescent="0.25">
      <c r="A1148" t="s">
        <v>132</v>
      </c>
      <c r="B1148" t="s">
        <v>249</v>
      </c>
      <c r="C1148">
        <v>2023</v>
      </c>
      <c r="D1148">
        <v>340.2</v>
      </c>
      <c r="E1148">
        <v>334.8</v>
      </c>
      <c r="F1148" t="str">
        <f t="shared" si="17"/>
        <v>solar pv</v>
      </c>
    </row>
    <row r="1149" spans="1:6" x14ac:dyDescent="0.25">
      <c r="A1149" t="s">
        <v>132</v>
      </c>
      <c r="B1149" t="s">
        <v>249</v>
      </c>
      <c r="C1149">
        <v>2024</v>
      </c>
      <c r="D1149">
        <v>1746</v>
      </c>
      <c r="E1149">
        <v>1746</v>
      </c>
      <c r="F1149" t="str">
        <f t="shared" si="17"/>
        <v>solar pv</v>
      </c>
    </row>
    <row r="1150" spans="1:6" x14ac:dyDescent="0.25">
      <c r="A1150" t="s">
        <v>132</v>
      </c>
      <c r="B1150" t="s">
        <v>249</v>
      </c>
      <c r="C1150">
        <v>2025</v>
      </c>
      <c r="D1150">
        <v>1273.92</v>
      </c>
      <c r="E1150">
        <v>1274.8</v>
      </c>
      <c r="F1150" t="str">
        <f t="shared" si="17"/>
        <v>solar pv</v>
      </c>
    </row>
    <row r="1151" spans="1:6" x14ac:dyDescent="0.25">
      <c r="A1151" t="s">
        <v>134</v>
      </c>
      <c r="B1151" t="s">
        <v>90</v>
      </c>
      <c r="C1151">
        <v>2003</v>
      </c>
      <c r="D1151">
        <v>3.2</v>
      </c>
      <c r="E1151">
        <v>3.2</v>
      </c>
      <c r="F1151" t="str">
        <f t="shared" si="17"/>
        <v>biomass</v>
      </c>
    </row>
    <row r="1152" spans="1:6" x14ac:dyDescent="0.25">
      <c r="A1152" t="s">
        <v>134</v>
      </c>
      <c r="B1152" t="s">
        <v>90</v>
      </c>
      <c r="C1152">
        <v>2005</v>
      </c>
      <c r="D1152">
        <v>3.5</v>
      </c>
      <c r="E1152">
        <v>3.6</v>
      </c>
      <c r="F1152" t="str">
        <f t="shared" si="17"/>
        <v>biomass</v>
      </c>
    </row>
    <row r="1153" spans="1:6" x14ac:dyDescent="0.25">
      <c r="A1153" t="s">
        <v>134</v>
      </c>
      <c r="B1153" t="s">
        <v>90</v>
      </c>
      <c r="C1153">
        <v>2007</v>
      </c>
      <c r="D1153">
        <v>5.5</v>
      </c>
      <c r="E1153">
        <v>5.8</v>
      </c>
      <c r="F1153" t="str">
        <f t="shared" si="17"/>
        <v>biomass</v>
      </c>
    </row>
    <row r="1154" spans="1:6" x14ac:dyDescent="0.25">
      <c r="A1154" t="s">
        <v>134</v>
      </c>
      <c r="B1154" t="s">
        <v>90</v>
      </c>
      <c r="C1154">
        <v>2009</v>
      </c>
      <c r="D1154">
        <v>3.6</v>
      </c>
      <c r="E1154">
        <v>4.5999999999999996</v>
      </c>
      <c r="F1154" t="str">
        <f t="shared" ref="F1154:F1217" si="18">LOWER($B1154)</f>
        <v>biomass</v>
      </c>
    </row>
    <row r="1155" spans="1:6" x14ac:dyDescent="0.25">
      <c r="A1155" t="s">
        <v>134</v>
      </c>
      <c r="B1155" t="s">
        <v>90</v>
      </c>
      <c r="C1155">
        <v>2010</v>
      </c>
      <c r="D1155">
        <v>4.8</v>
      </c>
      <c r="E1155">
        <v>4.8</v>
      </c>
      <c r="F1155" t="str">
        <f t="shared" si="18"/>
        <v>biomass</v>
      </c>
    </row>
    <row r="1156" spans="1:6" x14ac:dyDescent="0.25">
      <c r="A1156" t="s">
        <v>134</v>
      </c>
      <c r="B1156" t="s">
        <v>90</v>
      </c>
      <c r="C1156">
        <v>2011</v>
      </c>
      <c r="D1156">
        <v>3</v>
      </c>
      <c r="E1156">
        <v>3</v>
      </c>
      <c r="F1156" t="str">
        <f t="shared" si="18"/>
        <v>biomass</v>
      </c>
    </row>
    <row r="1157" spans="1:6" x14ac:dyDescent="0.25">
      <c r="A1157" t="s">
        <v>134</v>
      </c>
      <c r="B1157" t="s">
        <v>90</v>
      </c>
      <c r="C1157">
        <v>2012</v>
      </c>
      <c r="D1157">
        <v>3.2</v>
      </c>
      <c r="E1157">
        <v>3.2</v>
      </c>
      <c r="F1157" t="str">
        <f t="shared" si="18"/>
        <v>biomass</v>
      </c>
    </row>
    <row r="1158" spans="1:6" x14ac:dyDescent="0.25">
      <c r="A1158" t="s">
        <v>134</v>
      </c>
      <c r="B1158" t="s">
        <v>90</v>
      </c>
      <c r="C1158">
        <v>2013</v>
      </c>
      <c r="D1158">
        <v>0.7</v>
      </c>
      <c r="E1158">
        <v>0.9</v>
      </c>
      <c r="F1158" t="str">
        <f t="shared" si="18"/>
        <v>biomass</v>
      </c>
    </row>
    <row r="1159" spans="1:6" x14ac:dyDescent="0.25">
      <c r="A1159" t="s">
        <v>134</v>
      </c>
      <c r="B1159" t="s">
        <v>90</v>
      </c>
      <c r="C1159">
        <v>2014</v>
      </c>
      <c r="D1159">
        <v>8.6999999999999993</v>
      </c>
      <c r="E1159">
        <v>9</v>
      </c>
      <c r="F1159" t="str">
        <f t="shared" si="18"/>
        <v>biomass</v>
      </c>
    </row>
    <row r="1160" spans="1:6" x14ac:dyDescent="0.25">
      <c r="A1160" t="s">
        <v>134</v>
      </c>
      <c r="B1160" t="s">
        <v>90</v>
      </c>
      <c r="C1160">
        <v>2015</v>
      </c>
      <c r="D1160">
        <v>3</v>
      </c>
      <c r="E1160">
        <v>3</v>
      </c>
      <c r="F1160" t="str">
        <f t="shared" si="18"/>
        <v>biomass</v>
      </c>
    </row>
    <row r="1161" spans="1:6" x14ac:dyDescent="0.25">
      <c r="A1161" t="s">
        <v>134</v>
      </c>
      <c r="B1161" t="s">
        <v>90</v>
      </c>
      <c r="C1161">
        <v>2016</v>
      </c>
      <c r="D1161">
        <v>0.7</v>
      </c>
      <c r="E1161">
        <v>0.8</v>
      </c>
      <c r="F1161" t="str">
        <f t="shared" si="18"/>
        <v>biomass</v>
      </c>
    </row>
    <row r="1162" spans="1:6" x14ac:dyDescent="0.25">
      <c r="A1162" t="s">
        <v>134</v>
      </c>
      <c r="B1162" t="s">
        <v>90</v>
      </c>
      <c r="C1162">
        <v>2017</v>
      </c>
      <c r="D1162">
        <v>6.4</v>
      </c>
      <c r="E1162">
        <v>6.4</v>
      </c>
      <c r="F1162" t="str">
        <f t="shared" si="18"/>
        <v>biomass</v>
      </c>
    </row>
    <row r="1163" spans="1:6" x14ac:dyDescent="0.25">
      <c r="A1163" t="s">
        <v>134</v>
      </c>
      <c r="B1163" t="s">
        <v>90</v>
      </c>
      <c r="C1163">
        <v>2020</v>
      </c>
      <c r="D1163">
        <v>1.4</v>
      </c>
      <c r="E1163">
        <v>1.6</v>
      </c>
      <c r="F1163" t="str">
        <f t="shared" si="18"/>
        <v>biomass</v>
      </c>
    </row>
    <row r="1164" spans="1:6" x14ac:dyDescent="0.25">
      <c r="A1164" t="s">
        <v>134</v>
      </c>
      <c r="B1164" t="s">
        <v>90</v>
      </c>
      <c r="C1164">
        <v>2021</v>
      </c>
      <c r="D1164">
        <v>1.3</v>
      </c>
      <c r="E1164">
        <v>1.3</v>
      </c>
      <c r="F1164" t="str">
        <f t="shared" si="18"/>
        <v>biomass</v>
      </c>
    </row>
    <row r="1165" spans="1:6" x14ac:dyDescent="0.25">
      <c r="A1165" t="s">
        <v>134</v>
      </c>
      <c r="B1165" t="s">
        <v>81</v>
      </c>
      <c r="C1165">
        <v>1996</v>
      </c>
      <c r="D1165">
        <v>3</v>
      </c>
      <c r="E1165">
        <v>5.5</v>
      </c>
      <c r="F1165" t="str">
        <f t="shared" si="18"/>
        <v>hard coal</v>
      </c>
    </row>
    <row r="1166" spans="1:6" x14ac:dyDescent="0.25">
      <c r="A1166" t="s">
        <v>134</v>
      </c>
      <c r="B1166" t="s">
        <v>81</v>
      </c>
      <c r="C1166">
        <v>2013</v>
      </c>
      <c r="D1166">
        <v>555</v>
      </c>
      <c r="E1166">
        <v>331.5</v>
      </c>
      <c r="F1166" t="str">
        <f t="shared" si="18"/>
        <v>hard coal</v>
      </c>
    </row>
    <row r="1167" spans="1:6" x14ac:dyDescent="0.25">
      <c r="A1167" t="s">
        <v>134</v>
      </c>
      <c r="B1167" t="s">
        <v>86</v>
      </c>
      <c r="C1167">
        <v>2022</v>
      </c>
      <c r="D1167">
        <v>2.5</v>
      </c>
      <c r="E1167">
        <v>2.5</v>
      </c>
      <c r="F1167" t="str">
        <f t="shared" si="18"/>
        <v>hydro</v>
      </c>
    </row>
    <row r="1168" spans="1:6" x14ac:dyDescent="0.25">
      <c r="A1168" t="s">
        <v>134</v>
      </c>
      <c r="B1168" t="s">
        <v>84</v>
      </c>
      <c r="C1168">
        <v>2002</v>
      </c>
      <c r="D1168">
        <v>850.2</v>
      </c>
      <c r="E1168">
        <v>1004.8</v>
      </c>
      <c r="F1168" t="str">
        <f t="shared" si="18"/>
        <v>natural gas combined cycle</v>
      </c>
    </row>
    <row r="1169" spans="1:6" x14ac:dyDescent="0.25">
      <c r="A1169" t="s">
        <v>134</v>
      </c>
      <c r="B1169" t="s">
        <v>84</v>
      </c>
      <c r="C1169">
        <v>2003</v>
      </c>
      <c r="D1169">
        <v>416</v>
      </c>
      <c r="E1169">
        <v>420</v>
      </c>
      <c r="F1169" t="str">
        <f t="shared" si="18"/>
        <v>natural gas combined cycle</v>
      </c>
    </row>
    <row r="1170" spans="1:6" x14ac:dyDescent="0.25">
      <c r="A1170" t="s">
        <v>134</v>
      </c>
      <c r="B1170" t="s">
        <v>84</v>
      </c>
      <c r="C1170">
        <v>2004</v>
      </c>
      <c r="D1170">
        <v>1206.7</v>
      </c>
      <c r="E1170">
        <v>1232</v>
      </c>
      <c r="F1170" t="str">
        <f t="shared" si="18"/>
        <v>natural gas combined cycle</v>
      </c>
    </row>
    <row r="1171" spans="1:6" x14ac:dyDescent="0.25">
      <c r="A1171" t="s">
        <v>134</v>
      </c>
      <c r="B1171" t="s">
        <v>84</v>
      </c>
      <c r="C1171">
        <v>2013</v>
      </c>
      <c r="D1171">
        <v>481.2</v>
      </c>
      <c r="E1171">
        <v>481.2</v>
      </c>
      <c r="F1171" t="str">
        <f t="shared" si="18"/>
        <v>natural gas combined cycle</v>
      </c>
    </row>
    <row r="1172" spans="1:6" x14ac:dyDescent="0.25">
      <c r="A1172" t="s">
        <v>134</v>
      </c>
      <c r="B1172" t="s">
        <v>84</v>
      </c>
      <c r="C1172">
        <v>2018</v>
      </c>
      <c r="D1172">
        <v>1388</v>
      </c>
      <c r="E1172">
        <v>1424</v>
      </c>
      <c r="F1172" t="str">
        <f t="shared" si="18"/>
        <v>natural gas combined cycle</v>
      </c>
    </row>
    <row r="1173" spans="1:6" x14ac:dyDescent="0.25">
      <c r="A1173" t="s">
        <v>134</v>
      </c>
      <c r="B1173" t="s">
        <v>93</v>
      </c>
      <c r="C1173">
        <v>1991</v>
      </c>
      <c r="D1173">
        <v>80</v>
      </c>
      <c r="E1173">
        <v>88.2</v>
      </c>
      <c r="F1173" t="str">
        <f t="shared" si="18"/>
        <v>natural gas peaker</v>
      </c>
    </row>
    <row r="1174" spans="1:6" x14ac:dyDescent="0.25">
      <c r="A1174" t="s">
        <v>134</v>
      </c>
      <c r="B1174" t="s">
        <v>93</v>
      </c>
      <c r="C1174">
        <v>1992</v>
      </c>
      <c r="D1174">
        <v>136</v>
      </c>
      <c r="E1174">
        <v>165.6</v>
      </c>
      <c r="F1174" t="str">
        <f t="shared" si="18"/>
        <v>natural gas peaker</v>
      </c>
    </row>
    <row r="1175" spans="1:6" x14ac:dyDescent="0.25">
      <c r="A1175" t="s">
        <v>134</v>
      </c>
      <c r="B1175" t="s">
        <v>93</v>
      </c>
      <c r="C1175">
        <v>1993</v>
      </c>
      <c r="D1175">
        <v>84</v>
      </c>
      <c r="E1175">
        <v>112.5</v>
      </c>
      <c r="F1175" t="str">
        <f t="shared" si="18"/>
        <v>natural gas peaker</v>
      </c>
    </row>
    <row r="1176" spans="1:6" x14ac:dyDescent="0.25">
      <c r="A1176" t="s">
        <v>134</v>
      </c>
      <c r="B1176" t="s">
        <v>93</v>
      </c>
      <c r="C1176">
        <v>1994</v>
      </c>
      <c r="D1176">
        <v>73.400000000000006</v>
      </c>
      <c r="E1176">
        <v>89.4</v>
      </c>
      <c r="F1176" t="str">
        <f t="shared" si="18"/>
        <v>natural gas peaker</v>
      </c>
    </row>
    <row r="1177" spans="1:6" x14ac:dyDescent="0.25">
      <c r="A1177" t="s">
        <v>134</v>
      </c>
      <c r="B1177" t="s">
        <v>93</v>
      </c>
      <c r="C1177">
        <v>1995</v>
      </c>
      <c r="D1177">
        <v>221</v>
      </c>
      <c r="E1177">
        <v>275</v>
      </c>
      <c r="F1177" t="str">
        <f t="shared" si="18"/>
        <v>natural gas peaker</v>
      </c>
    </row>
    <row r="1178" spans="1:6" x14ac:dyDescent="0.25">
      <c r="A1178" t="s">
        <v>134</v>
      </c>
      <c r="B1178" t="s">
        <v>93</v>
      </c>
      <c r="C1178">
        <v>1997</v>
      </c>
      <c r="D1178">
        <v>34</v>
      </c>
      <c r="E1178">
        <v>42</v>
      </c>
      <c r="F1178" t="str">
        <f t="shared" si="18"/>
        <v>natural gas peaker</v>
      </c>
    </row>
    <row r="1179" spans="1:6" x14ac:dyDescent="0.25">
      <c r="A1179" t="s">
        <v>134</v>
      </c>
      <c r="B1179" t="s">
        <v>93</v>
      </c>
      <c r="C1179">
        <v>1999</v>
      </c>
      <c r="D1179">
        <v>3.2</v>
      </c>
      <c r="E1179">
        <v>3.2</v>
      </c>
      <c r="F1179" t="str">
        <f t="shared" si="18"/>
        <v>natural gas peaker</v>
      </c>
    </row>
    <row r="1180" spans="1:6" x14ac:dyDescent="0.25">
      <c r="A1180" t="s">
        <v>134</v>
      </c>
      <c r="B1180" t="s">
        <v>93</v>
      </c>
      <c r="C1180">
        <v>2000</v>
      </c>
      <c r="D1180">
        <v>1424.7</v>
      </c>
      <c r="E1180">
        <v>1689.4</v>
      </c>
      <c r="F1180" t="str">
        <f t="shared" si="18"/>
        <v>natural gas peaker</v>
      </c>
    </row>
    <row r="1181" spans="1:6" x14ac:dyDescent="0.25">
      <c r="A1181" t="s">
        <v>134</v>
      </c>
      <c r="B1181" t="s">
        <v>93</v>
      </c>
      <c r="C1181">
        <v>2001</v>
      </c>
      <c r="D1181">
        <v>438.3</v>
      </c>
      <c r="E1181">
        <v>502.5</v>
      </c>
      <c r="F1181" t="str">
        <f t="shared" si="18"/>
        <v>natural gas peaker</v>
      </c>
    </row>
    <row r="1182" spans="1:6" x14ac:dyDescent="0.25">
      <c r="A1182" t="s">
        <v>134</v>
      </c>
      <c r="B1182" t="s">
        <v>93</v>
      </c>
      <c r="C1182">
        <v>2002</v>
      </c>
      <c r="D1182">
        <v>237.2</v>
      </c>
      <c r="E1182">
        <v>252.4</v>
      </c>
      <c r="F1182" t="str">
        <f t="shared" si="18"/>
        <v>natural gas peaker</v>
      </c>
    </row>
    <row r="1183" spans="1:6" x14ac:dyDescent="0.25">
      <c r="A1183" t="s">
        <v>134</v>
      </c>
      <c r="B1183" t="s">
        <v>93</v>
      </c>
      <c r="C1183">
        <v>2004</v>
      </c>
      <c r="D1183">
        <v>72</v>
      </c>
      <c r="E1183">
        <v>85.9</v>
      </c>
      <c r="F1183" t="str">
        <f t="shared" si="18"/>
        <v>natural gas peaker</v>
      </c>
    </row>
    <row r="1184" spans="1:6" x14ac:dyDescent="0.25">
      <c r="A1184" t="s">
        <v>134</v>
      </c>
      <c r="B1184" t="s">
        <v>93</v>
      </c>
      <c r="C1184">
        <v>2005</v>
      </c>
      <c r="D1184">
        <v>239.7</v>
      </c>
      <c r="E1184">
        <v>405.2</v>
      </c>
      <c r="F1184" t="str">
        <f t="shared" si="18"/>
        <v>natural gas peaker</v>
      </c>
    </row>
    <row r="1185" spans="1:6" x14ac:dyDescent="0.25">
      <c r="A1185" t="s">
        <v>134</v>
      </c>
      <c r="B1185" t="s">
        <v>93</v>
      </c>
      <c r="C1185">
        <v>2007</v>
      </c>
      <c r="D1185">
        <v>3.2</v>
      </c>
      <c r="E1185">
        <v>3.2</v>
      </c>
      <c r="F1185" t="str">
        <f t="shared" si="18"/>
        <v>natural gas peaker</v>
      </c>
    </row>
    <row r="1186" spans="1:6" x14ac:dyDescent="0.25">
      <c r="A1186" t="s">
        <v>134</v>
      </c>
      <c r="B1186" t="s">
        <v>93</v>
      </c>
      <c r="C1186">
        <v>2009</v>
      </c>
      <c r="D1186">
        <v>3.2</v>
      </c>
      <c r="E1186">
        <v>3.2</v>
      </c>
      <c r="F1186" t="str">
        <f t="shared" si="18"/>
        <v>natural gas peaker</v>
      </c>
    </row>
    <row r="1187" spans="1:6" x14ac:dyDescent="0.25">
      <c r="A1187" t="s">
        <v>134</v>
      </c>
      <c r="B1187" t="s">
        <v>93</v>
      </c>
      <c r="C1187">
        <v>2010</v>
      </c>
      <c r="D1187">
        <v>3.2</v>
      </c>
      <c r="E1187">
        <v>3.2</v>
      </c>
      <c r="F1187" t="str">
        <f t="shared" si="18"/>
        <v>natural gas peaker</v>
      </c>
    </row>
    <row r="1188" spans="1:6" x14ac:dyDescent="0.25">
      <c r="A1188" t="s">
        <v>134</v>
      </c>
      <c r="B1188" t="s">
        <v>93</v>
      </c>
      <c r="C1188">
        <v>2011</v>
      </c>
      <c r="D1188">
        <v>4.9000000000000004</v>
      </c>
      <c r="E1188">
        <v>5.0999999999999996</v>
      </c>
      <c r="F1188" t="str">
        <f t="shared" si="18"/>
        <v>natural gas peaker</v>
      </c>
    </row>
    <row r="1189" spans="1:6" x14ac:dyDescent="0.25">
      <c r="A1189" t="s">
        <v>134</v>
      </c>
      <c r="B1189" t="s">
        <v>93</v>
      </c>
      <c r="C1189">
        <v>2013</v>
      </c>
      <c r="D1189">
        <v>2.5</v>
      </c>
      <c r="E1189">
        <v>2.5</v>
      </c>
      <c r="F1189" t="str">
        <f t="shared" si="18"/>
        <v>natural gas peaker</v>
      </c>
    </row>
    <row r="1190" spans="1:6" x14ac:dyDescent="0.25">
      <c r="A1190" t="s">
        <v>134</v>
      </c>
      <c r="B1190" t="s">
        <v>93</v>
      </c>
      <c r="C1190">
        <v>2017</v>
      </c>
      <c r="D1190">
        <v>78.599999999999994</v>
      </c>
      <c r="E1190">
        <v>108</v>
      </c>
      <c r="F1190" t="str">
        <f t="shared" si="18"/>
        <v>natural gas peaker</v>
      </c>
    </row>
    <row r="1191" spans="1:6" x14ac:dyDescent="0.25">
      <c r="A1191" t="s">
        <v>134</v>
      </c>
      <c r="B1191" t="s">
        <v>93</v>
      </c>
      <c r="C1191">
        <v>2019</v>
      </c>
      <c r="D1191">
        <v>11.2</v>
      </c>
      <c r="E1191">
        <v>10.8</v>
      </c>
      <c r="F1191" t="str">
        <f t="shared" si="18"/>
        <v>natural gas peaker</v>
      </c>
    </row>
    <row r="1192" spans="1:6" x14ac:dyDescent="0.25">
      <c r="A1192" t="s">
        <v>134</v>
      </c>
      <c r="B1192" t="s">
        <v>93</v>
      </c>
      <c r="C1192">
        <v>2020</v>
      </c>
      <c r="D1192">
        <v>0.9</v>
      </c>
      <c r="E1192">
        <v>1</v>
      </c>
      <c r="F1192" t="str">
        <f t="shared" si="18"/>
        <v>natural gas peaker</v>
      </c>
    </row>
    <row r="1193" spans="1:6" x14ac:dyDescent="0.25">
      <c r="A1193" t="s">
        <v>134</v>
      </c>
      <c r="B1193" t="s">
        <v>93</v>
      </c>
      <c r="C1193">
        <v>2021</v>
      </c>
      <c r="D1193">
        <v>57.2</v>
      </c>
      <c r="E1193">
        <v>61.8</v>
      </c>
      <c r="F1193" t="str">
        <f t="shared" si="18"/>
        <v>natural gas peaker</v>
      </c>
    </row>
    <row r="1194" spans="1:6" x14ac:dyDescent="0.25">
      <c r="A1194" t="s">
        <v>134</v>
      </c>
      <c r="B1194" t="s">
        <v>93</v>
      </c>
      <c r="C1194">
        <v>2022</v>
      </c>
      <c r="D1194">
        <v>18.2</v>
      </c>
      <c r="E1194">
        <v>18.8</v>
      </c>
      <c r="F1194" t="str">
        <f t="shared" si="18"/>
        <v>natural gas peaker</v>
      </c>
    </row>
    <row r="1195" spans="1:6" x14ac:dyDescent="0.25">
      <c r="A1195" t="s">
        <v>134</v>
      </c>
      <c r="B1195" t="s">
        <v>93</v>
      </c>
      <c r="C1195">
        <v>2023</v>
      </c>
      <c r="D1195">
        <v>0.8</v>
      </c>
      <c r="E1195">
        <v>1.5</v>
      </c>
      <c r="F1195" t="str">
        <f t="shared" si="18"/>
        <v>natural gas peaker</v>
      </c>
    </row>
    <row r="1196" spans="1:6" x14ac:dyDescent="0.25">
      <c r="A1196" t="s">
        <v>134</v>
      </c>
      <c r="B1196" t="s">
        <v>93</v>
      </c>
      <c r="C1196">
        <v>2024</v>
      </c>
      <c r="D1196">
        <v>2.5</v>
      </c>
      <c r="E1196">
        <v>1.8</v>
      </c>
      <c r="F1196" t="str">
        <f t="shared" si="18"/>
        <v>natural gas peaker</v>
      </c>
    </row>
    <row r="1197" spans="1:6" x14ac:dyDescent="0.25">
      <c r="A1197" t="s">
        <v>134</v>
      </c>
      <c r="B1197" t="s">
        <v>93</v>
      </c>
      <c r="C1197">
        <v>2025</v>
      </c>
      <c r="D1197">
        <v>437.92</v>
      </c>
      <c r="E1197">
        <v>471</v>
      </c>
      <c r="F1197" t="str">
        <f t="shared" si="18"/>
        <v>natural gas peaker</v>
      </c>
    </row>
    <row r="1198" spans="1:6" x14ac:dyDescent="0.25">
      <c r="A1198" t="s">
        <v>134</v>
      </c>
      <c r="B1198" t="s">
        <v>83</v>
      </c>
      <c r="C1198">
        <v>1995</v>
      </c>
      <c r="D1198">
        <v>30.8</v>
      </c>
      <c r="E1198">
        <v>30.8</v>
      </c>
      <c r="F1198" t="str">
        <f t="shared" si="18"/>
        <v>natural gas steam turbine</v>
      </c>
    </row>
    <row r="1199" spans="1:6" x14ac:dyDescent="0.25">
      <c r="A1199" t="s">
        <v>134</v>
      </c>
      <c r="B1199" t="s">
        <v>83</v>
      </c>
      <c r="C1199">
        <v>1997</v>
      </c>
      <c r="D1199">
        <v>19</v>
      </c>
      <c r="E1199">
        <v>19</v>
      </c>
      <c r="F1199" t="str">
        <f t="shared" si="18"/>
        <v>natural gas steam turbine</v>
      </c>
    </row>
    <row r="1200" spans="1:6" x14ac:dyDescent="0.25">
      <c r="A1200" t="s">
        <v>134</v>
      </c>
      <c r="B1200" t="s">
        <v>83</v>
      </c>
      <c r="C1200">
        <v>2000</v>
      </c>
      <c r="D1200">
        <v>9.4</v>
      </c>
      <c r="E1200">
        <v>9.4</v>
      </c>
      <c r="F1200" t="str">
        <f t="shared" si="18"/>
        <v>natural gas steam turbine</v>
      </c>
    </row>
    <row r="1201" spans="1:6" x14ac:dyDescent="0.25">
      <c r="A1201" t="s">
        <v>134</v>
      </c>
      <c r="B1201" t="s">
        <v>83</v>
      </c>
      <c r="C1201">
        <v>2002</v>
      </c>
      <c r="D1201">
        <v>28</v>
      </c>
      <c r="E1201">
        <v>55</v>
      </c>
      <c r="F1201" t="str">
        <f t="shared" si="18"/>
        <v>natural gas steam turbine</v>
      </c>
    </row>
    <row r="1202" spans="1:6" x14ac:dyDescent="0.25">
      <c r="A1202" t="s">
        <v>134</v>
      </c>
      <c r="B1202" t="s">
        <v>83</v>
      </c>
      <c r="C1202">
        <v>2008</v>
      </c>
      <c r="D1202">
        <v>3.6</v>
      </c>
      <c r="E1202">
        <v>3.6</v>
      </c>
      <c r="F1202" t="str">
        <f t="shared" si="18"/>
        <v>natural gas steam turbine</v>
      </c>
    </row>
    <row r="1203" spans="1:6" x14ac:dyDescent="0.25">
      <c r="A1203" t="s">
        <v>134</v>
      </c>
      <c r="B1203" t="s">
        <v>83</v>
      </c>
      <c r="C1203">
        <v>2009</v>
      </c>
      <c r="D1203">
        <v>3.4</v>
      </c>
      <c r="E1203">
        <v>3.4</v>
      </c>
      <c r="F1203" t="str">
        <f t="shared" si="18"/>
        <v>natural gas steam turbine</v>
      </c>
    </row>
    <row r="1204" spans="1:6" x14ac:dyDescent="0.25">
      <c r="A1204" t="s">
        <v>134</v>
      </c>
      <c r="B1204" t="s">
        <v>83</v>
      </c>
      <c r="C1204">
        <v>2017</v>
      </c>
      <c r="D1204">
        <v>7.4</v>
      </c>
      <c r="E1204">
        <v>7.4</v>
      </c>
      <c r="F1204" t="str">
        <f t="shared" si="18"/>
        <v>natural gas steam turbine</v>
      </c>
    </row>
    <row r="1205" spans="1:6" x14ac:dyDescent="0.25">
      <c r="A1205" t="s">
        <v>134</v>
      </c>
      <c r="B1205" t="s">
        <v>83</v>
      </c>
      <c r="C1205">
        <v>2020</v>
      </c>
      <c r="D1205">
        <v>5.5</v>
      </c>
      <c r="E1205">
        <v>6.1</v>
      </c>
      <c r="F1205" t="str">
        <f t="shared" si="18"/>
        <v>natural gas steam turbine</v>
      </c>
    </row>
    <row r="1206" spans="1:6" x14ac:dyDescent="0.25">
      <c r="A1206" t="s">
        <v>134</v>
      </c>
      <c r="B1206" t="s">
        <v>87</v>
      </c>
      <c r="C1206">
        <v>2008</v>
      </c>
      <c r="D1206">
        <v>130.5</v>
      </c>
      <c r="E1206">
        <v>130.5</v>
      </c>
      <c r="F1206" t="str">
        <f t="shared" si="18"/>
        <v>onshore wind</v>
      </c>
    </row>
    <row r="1207" spans="1:6" x14ac:dyDescent="0.25">
      <c r="A1207" t="s">
        <v>134</v>
      </c>
      <c r="B1207" t="s">
        <v>87</v>
      </c>
      <c r="C1207">
        <v>2009</v>
      </c>
      <c r="D1207">
        <v>806</v>
      </c>
      <c r="E1207">
        <v>806</v>
      </c>
      <c r="F1207" t="str">
        <f t="shared" si="18"/>
        <v>onshore wind</v>
      </c>
    </row>
    <row r="1208" spans="1:6" x14ac:dyDescent="0.25">
      <c r="A1208" t="s">
        <v>134</v>
      </c>
      <c r="B1208" t="s">
        <v>87</v>
      </c>
      <c r="C1208">
        <v>2010</v>
      </c>
      <c r="D1208">
        <v>311.5</v>
      </c>
      <c r="E1208">
        <v>311.5</v>
      </c>
      <c r="F1208" t="str">
        <f t="shared" si="18"/>
        <v>onshore wind</v>
      </c>
    </row>
    <row r="1209" spans="1:6" x14ac:dyDescent="0.25">
      <c r="A1209" t="s">
        <v>134</v>
      </c>
      <c r="B1209" t="s">
        <v>87</v>
      </c>
      <c r="C1209">
        <v>2012</v>
      </c>
      <c r="D1209">
        <v>200</v>
      </c>
      <c r="E1209">
        <v>200</v>
      </c>
      <c r="F1209" t="str">
        <f t="shared" si="18"/>
        <v>onshore wind</v>
      </c>
    </row>
    <row r="1210" spans="1:6" x14ac:dyDescent="0.25">
      <c r="A1210" t="s">
        <v>134</v>
      </c>
      <c r="B1210" t="s">
        <v>87</v>
      </c>
      <c r="C1210">
        <v>2014</v>
      </c>
      <c r="D1210">
        <v>200</v>
      </c>
      <c r="E1210">
        <v>200</v>
      </c>
      <c r="F1210" t="str">
        <f t="shared" si="18"/>
        <v>onshore wind</v>
      </c>
    </row>
    <row r="1211" spans="1:6" x14ac:dyDescent="0.25">
      <c r="A1211" t="s">
        <v>134</v>
      </c>
      <c r="B1211" t="s">
        <v>87</v>
      </c>
      <c r="C1211">
        <v>2016</v>
      </c>
      <c r="D1211">
        <v>150</v>
      </c>
      <c r="E1211">
        <v>150</v>
      </c>
      <c r="F1211" t="str">
        <f t="shared" si="18"/>
        <v>onshore wind</v>
      </c>
    </row>
    <row r="1212" spans="1:6" x14ac:dyDescent="0.25">
      <c r="A1212" t="s">
        <v>134</v>
      </c>
      <c r="B1212" t="s">
        <v>87</v>
      </c>
      <c r="C1212">
        <v>2017</v>
      </c>
      <c r="D1212">
        <v>219.7</v>
      </c>
      <c r="E1212">
        <v>219.7</v>
      </c>
      <c r="F1212" t="str">
        <f t="shared" si="18"/>
        <v>onshore wind</v>
      </c>
    </row>
    <row r="1213" spans="1:6" x14ac:dyDescent="0.25">
      <c r="A1213" t="s">
        <v>134</v>
      </c>
      <c r="B1213" t="s">
        <v>87</v>
      </c>
      <c r="C1213">
        <v>2018</v>
      </c>
      <c r="D1213">
        <v>200.4</v>
      </c>
      <c r="E1213">
        <v>200.4</v>
      </c>
      <c r="F1213" t="str">
        <f t="shared" si="18"/>
        <v>onshore wind</v>
      </c>
    </row>
    <row r="1214" spans="1:6" x14ac:dyDescent="0.25">
      <c r="A1214" t="s">
        <v>134</v>
      </c>
      <c r="B1214" t="s">
        <v>87</v>
      </c>
      <c r="C1214">
        <v>2020</v>
      </c>
      <c r="D1214">
        <v>643.20000000000005</v>
      </c>
      <c r="E1214">
        <v>647.20000000000005</v>
      </c>
      <c r="F1214" t="str">
        <f t="shared" si="18"/>
        <v>onshore wind</v>
      </c>
    </row>
    <row r="1215" spans="1:6" x14ac:dyDescent="0.25">
      <c r="A1215" t="s">
        <v>134</v>
      </c>
      <c r="B1215" t="s">
        <v>87</v>
      </c>
      <c r="C1215">
        <v>2021</v>
      </c>
      <c r="D1215">
        <v>502.4</v>
      </c>
      <c r="E1215">
        <v>502.4</v>
      </c>
      <c r="F1215" t="str">
        <f t="shared" si="18"/>
        <v>onshore wind</v>
      </c>
    </row>
    <row r="1216" spans="1:6" x14ac:dyDescent="0.25">
      <c r="A1216" t="s">
        <v>134</v>
      </c>
      <c r="B1216" t="s">
        <v>87</v>
      </c>
      <c r="C1216">
        <v>2023</v>
      </c>
      <c r="D1216">
        <v>88</v>
      </c>
      <c r="E1216">
        <v>88</v>
      </c>
      <c r="F1216" t="str">
        <f t="shared" si="18"/>
        <v>onshore wind</v>
      </c>
    </row>
    <row r="1217" spans="1:6" x14ac:dyDescent="0.25">
      <c r="A1217" t="s">
        <v>134</v>
      </c>
      <c r="B1217" t="s">
        <v>87</v>
      </c>
      <c r="C1217">
        <v>2024</v>
      </c>
      <c r="D1217">
        <v>200</v>
      </c>
      <c r="E1217">
        <v>201.6</v>
      </c>
      <c r="F1217" t="str">
        <f t="shared" si="18"/>
        <v>onshore wind</v>
      </c>
    </row>
    <row r="1218" spans="1:6" x14ac:dyDescent="0.25">
      <c r="A1218" t="s">
        <v>134</v>
      </c>
      <c r="B1218" t="s">
        <v>87</v>
      </c>
      <c r="C1218">
        <v>2025</v>
      </c>
      <c r="D1218">
        <v>200.1</v>
      </c>
      <c r="E1218">
        <v>200.1</v>
      </c>
      <c r="F1218" t="str">
        <f t="shared" ref="F1218:F1281" si="19">LOWER($B1218)</f>
        <v>onshore wind</v>
      </c>
    </row>
    <row r="1219" spans="1:6" x14ac:dyDescent="0.25">
      <c r="A1219" t="s">
        <v>134</v>
      </c>
      <c r="B1219" t="s">
        <v>92</v>
      </c>
      <c r="C1219">
        <v>1992</v>
      </c>
      <c r="D1219">
        <v>2.5</v>
      </c>
      <c r="E1219">
        <v>2.5</v>
      </c>
      <c r="F1219" t="str">
        <f t="shared" si="19"/>
        <v>petroleum</v>
      </c>
    </row>
    <row r="1220" spans="1:6" x14ac:dyDescent="0.25">
      <c r="A1220" t="s">
        <v>134</v>
      </c>
      <c r="B1220" t="s">
        <v>92</v>
      </c>
      <c r="C1220">
        <v>1994</v>
      </c>
      <c r="D1220">
        <v>0.9</v>
      </c>
      <c r="E1220">
        <v>0.8</v>
      </c>
      <c r="F1220" t="str">
        <f t="shared" si="19"/>
        <v>petroleum</v>
      </c>
    </row>
    <row r="1221" spans="1:6" x14ac:dyDescent="0.25">
      <c r="A1221" t="s">
        <v>134</v>
      </c>
      <c r="B1221" t="s">
        <v>92</v>
      </c>
      <c r="C1221">
        <v>1996</v>
      </c>
      <c r="D1221">
        <v>1.8</v>
      </c>
      <c r="E1221">
        <v>1.8</v>
      </c>
      <c r="F1221" t="str">
        <f t="shared" si="19"/>
        <v>petroleum</v>
      </c>
    </row>
    <row r="1222" spans="1:6" x14ac:dyDescent="0.25">
      <c r="A1222" t="s">
        <v>134</v>
      </c>
      <c r="B1222" t="s">
        <v>92</v>
      </c>
      <c r="C1222">
        <v>1997</v>
      </c>
      <c r="D1222">
        <v>1.5</v>
      </c>
      <c r="E1222">
        <v>1.5</v>
      </c>
      <c r="F1222" t="str">
        <f t="shared" si="19"/>
        <v>petroleum</v>
      </c>
    </row>
    <row r="1223" spans="1:6" x14ac:dyDescent="0.25">
      <c r="A1223" t="s">
        <v>134</v>
      </c>
      <c r="B1223" t="s">
        <v>92</v>
      </c>
      <c r="C1223">
        <v>1998</v>
      </c>
      <c r="D1223">
        <v>1</v>
      </c>
      <c r="E1223">
        <v>1</v>
      </c>
      <c r="F1223" t="str">
        <f t="shared" si="19"/>
        <v>petroleum</v>
      </c>
    </row>
    <row r="1224" spans="1:6" x14ac:dyDescent="0.25">
      <c r="A1224" t="s">
        <v>134</v>
      </c>
      <c r="B1224" t="s">
        <v>92</v>
      </c>
      <c r="C1224">
        <v>2000</v>
      </c>
      <c r="D1224">
        <v>1.8</v>
      </c>
      <c r="E1224">
        <v>1.8</v>
      </c>
      <c r="F1224" t="str">
        <f t="shared" si="19"/>
        <v>petroleum</v>
      </c>
    </row>
    <row r="1225" spans="1:6" x14ac:dyDescent="0.25">
      <c r="A1225" t="s">
        <v>134</v>
      </c>
      <c r="B1225" t="s">
        <v>92</v>
      </c>
      <c r="C1225">
        <v>2001</v>
      </c>
      <c r="D1225">
        <v>15.7</v>
      </c>
      <c r="E1225">
        <v>17.399999999999999</v>
      </c>
      <c r="F1225" t="str">
        <f t="shared" si="19"/>
        <v>petroleum</v>
      </c>
    </row>
    <row r="1226" spans="1:6" x14ac:dyDescent="0.25">
      <c r="A1226" t="s">
        <v>134</v>
      </c>
      <c r="B1226" t="s">
        <v>92</v>
      </c>
      <c r="C1226">
        <v>2002</v>
      </c>
      <c r="D1226">
        <v>1.8</v>
      </c>
      <c r="E1226">
        <v>1.8</v>
      </c>
      <c r="F1226" t="str">
        <f t="shared" si="19"/>
        <v>petroleum</v>
      </c>
    </row>
    <row r="1227" spans="1:6" x14ac:dyDescent="0.25">
      <c r="A1227" t="s">
        <v>134</v>
      </c>
      <c r="B1227" t="s">
        <v>92</v>
      </c>
      <c r="C1227">
        <v>2004</v>
      </c>
      <c r="D1227">
        <v>4</v>
      </c>
      <c r="E1227">
        <v>4</v>
      </c>
      <c r="F1227" t="str">
        <f t="shared" si="19"/>
        <v>petroleum</v>
      </c>
    </row>
    <row r="1228" spans="1:6" x14ac:dyDescent="0.25">
      <c r="A1228" t="s">
        <v>134</v>
      </c>
      <c r="B1228" t="s">
        <v>92</v>
      </c>
      <c r="C1228">
        <v>2005</v>
      </c>
      <c r="D1228">
        <v>2</v>
      </c>
      <c r="E1228">
        <v>2</v>
      </c>
      <c r="F1228" t="str">
        <f t="shared" si="19"/>
        <v>petroleum</v>
      </c>
    </row>
    <row r="1229" spans="1:6" x14ac:dyDescent="0.25">
      <c r="A1229" t="s">
        <v>134</v>
      </c>
      <c r="B1229" t="s">
        <v>92</v>
      </c>
      <c r="C1229">
        <v>2006</v>
      </c>
      <c r="D1229">
        <v>5.0999999999999996</v>
      </c>
      <c r="E1229">
        <v>5.7</v>
      </c>
      <c r="F1229" t="str">
        <f t="shared" si="19"/>
        <v>petroleum</v>
      </c>
    </row>
    <row r="1230" spans="1:6" x14ac:dyDescent="0.25">
      <c r="A1230" t="s">
        <v>134</v>
      </c>
      <c r="B1230" t="s">
        <v>92</v>
      </c>
      <c r="C1230">
        <v>2010</v>
      </c>
      <c r="D1230">
        <v>3</v>
      </c>
      <c r="E1230">
        <v>3</v>
      </c>
      <c r="F1230" t="str">
        <f t="shared" si="19"/>
        <v>petroleum</v>
      </c>
    </row>
    <row r="1231" spans="1:6" x14ac:dyDescent="0.25">
      <c r="A1231" t="s">
        <v>134</v>
      </c>
      <c r="B1231" t="s">
        <v>92</v>
      </c>
      <c r="C1231">
        <v>2015</v>
      </c>
      <c r="D1231">
        <v>1</v>
      </c>
      <c r="E1231">
        <v>1</v>
      </c>
      <c r="F1231" t="str">
        <f t="shared" si="19"/>
        <v>petroleum</v>
      </c>
    </row>
    <row r="1232" spans="1:6" x14ac:dyDescent="0.25">
      <c r="A1232" t="s">
        <v>134</v>
      </c>
      <c r="B1232" t="s">
        <v>249</v>
      </c>
      <c r="C1232">
        <v>2011</v>
      </c>
      <c r="D1232">
        <v>1.5</v>
      </c>
      <c r="E1232">
        <v>1.9</v>
      </c>
      <c r="F1232" t="str">
        <f t="shared" si="19"/>
        <v>solar pv</v>
      </c>
    </row>
    <row r="1233" spans="1:6" x14ac:dyDescent="0.25">
      <c r="A1233" t="s">
        <v>134</v>
      </c>
      <c r="B1233" t="s">
        <v>249</v>
      </c>
      <c r="C1233">
        <v>2012</v>
      </c>
      <c r="D1233">
        <v>7.5</v>
      </c>
      <c r="E1233">
        <v>7.5</v>
      </c>
      <c r="F1233" t="str">
        <f t="shared" si="19"/>
        <v>solar pv</v>
      </c>
    </row>
    <row r="1234" spans="1:6" x14ac:dyDescent="0.25">
      <c r="A1234" t="s">
        <v>134</v>
      </c>
      <c r="B1234" t="s">
        <v>249</v>
      </c>
      <c r="C1234">
        <v>2013</v>
      </c>
      <c r="D1234">
        <v>42.6</v>
      </c>
      <c r="E1234">
        <v>42.7</v>
      </c>
      <c r="F1234" t="str">
        <f t="shared" si="19"/>
        <v>solar pv</v>
      </c>
    </row>
    <row r="1235" spans="1:6" x14ac:dyDescent="0.25">
      <c r="A1235" t="s">
        <v>134</v>
      </c>
      <c r="B1235" t="s">
        <v>249</v>
      </c>
      <c r="C1235">
        <v>2014</v>
      </c>
      <c r="D1235">
        <v>41.8</v>
      </c>
      <c r="E1235">
        <v>41.8</v>
      </c>
      <c r="F1235" t="str">
        <f t="shared" si="19"/>
        <v>solar pv</v>
      </c>
    </row>
    <row r="1236" spans="1:6" x14ac:dyDescent="0.25">
      <c r="A1236" t="s">
        <v>134</v>
      </c>
      <c r="B1236" t="s">
        <v>249</v>
      </c>
      <c r="C1236">
        <v>2015</v>
      </c>
      <c r="D1236">
        <v>34.5</v>
      </c>
      <c r="E1236">
        <v>34.5</v>
      </c>
      <c r="F1236" t="str">
        <f t="shared" si="19"/>
        <v>solar pv</v>
      </c>
    </row>
    <row r="1237" spans="1:6" x14ac:dyDescent="0.25">
      <c r="A1237" t="s">
        <v>134</v>
      </c>
      <c r="B1237" t="s">
        <v>249</v>
      </c>
      <c r="C1237">
        <v>2016</v>
      </c>
      <c r="D1237">
        <v>33</v>
      </c>
      <c r="E1237">
        <v>33.700000000000003</v>
      </c>
      <c r="F1237" t="str">
        <f t="shared" si="19"/>
        <v>solar pv</v>
      </c>
    </row>
    <row r="1238" spans="1:6" x14ac:dyDescent="0.25">
      <c r="A1238" t="s">
        <v>134</v>
      </c>
      <c r="B1238" t="s">
        <v>249</v>
      </c>
      <c r="C1238">
        <v>2017</v>
      </c>
      <c r="D1238">
        <v>36.200000000000003</v>
      </c>
      <c r="E1238">
        <v>36.200000000000003</v>
      </c>
      <c r="F1238" t="str">
        <f t="shared" si="19"/>
        <v>solar pv</v>
      </c>
    </row>
    <row r="1239" spans="1:6" x14ac:dyDescent="0.25">
      <c r="A1239" t="s">
        <v>134</v>
      </c>
      <c r="B1239" t="s">
        <v>249</v>
      </c>
      <c r="C1239">
        <v>2018</v>
      </c>
      <c r="D1239">
        <v>19.2</v>
      </c>
      <c r="E1239">
        <v>19.2</v>
      </c>
      <c r="F1239" t="str">
        <f t="shared" si="19"/>
        <v>solar pv</v>
      </c>
    </row>
    <row r="1240" spans="1:6" x14ac:dyDescent="0.25">
      <c r="A1240" t="s">
        <v>134</v>
      </c>
      <c r="B1240" t="s">
        <v>249</v>
      </c>
      <c r="C1240">
        <v>2019</v>
      </c>
      <c r="D1240">
        <v>28.1</v>
      </c>
      <c r="E1240">
        <v>28.1</v>
      </c>
      <c r="F1240" t="str">
        <f t="shared" si="19"/>
        <v>solar pv</v>
      </c>
    </row>
    <row r="1241" spans="1:6" x14ac:dyDescent="0.25">
      <c r="A1241" t="s">
        <v>134</v>
      </c>
      <c r="B1241" t="s">
        <v>249</v>
      </c>
      <c r="C1241">
        <v>2020</v>
      </c>
      <c r="D1241">
        <v>33.1</v>
      </c>
      <c r="E1241">
        <v>33.1</v>
      </c>
      <c r="F1241" t="str">
        <f t="shared" si="19"/>
        <v>solar pv</v>
      </c>
    </row>
    <row r="1242" spans="1:6" x14ac:dyDescent="0.25">
      <c r="A1242" t="s">
        <v>134</v>
      </c>
      <c r="B1242" t="s">
        <v>249</v>
      </c>
      <c r="C1242">
        <v>2021</v>
      </c>
      <c r="D1242">
        <v>328.7</v>
      </c>
      <c r="E1242">
        <v>328.7</v>
      </c>
      <c r="F1242" t="str">
        <f t="shared" si="19"/>
        <v>solar pv</v>
      </c>
    </row>
    <row r="1243" spans="1:6" x14ac:dyDescent="0.25">
      <c r="A1243" t="s">
        <v>134</v>
      </c>
      <c r="B1243" t="s">
        <v>249</v>
      </c>
      <c r="C1243">
        <v>2022</v>
      </c>
      <c r="D1243">
        <v>34</v>
      </c>
      <c r="E1243">
        <v>34</v>
      </c>
      <c r="F1243" t="str">
        <f t="shared" si="19"/>
        <v>solar pv</v>
      </c>
    </row>
    <row r="1244" spans="1:6" x14ac:dyDescent="0.25">
      <c r="A1244" t="s">
        <v>134</v>
      </c>
      <c r="B1244" t="s">
        <v>249</v>
      </c>
      <c r="C1244">
        <v>2023</v>
      </c>
      <c r="D1244">
        <v>648.70000000000005</v>
      </c>
      <c r="E1244">
        <v>648.70000000000005</v>
      </c>
      <c r="F1244" t="str">
        <f t="shared" si="19"/>
        <v>solar pv</v>
      </c>
    </row>
    <row r="1245" spans="1:6" x14ac:dyDescent="0.25">
      <c r="A1245" t="s">
        <v>134</v>
      </c>
      <c r="B1245" t="s">
        <v>249</v>
      </c>
      <c r="C1245">
        <v>2024</v>
      </c>
      <c r="D1245">
        <v>1201.0999999999999</v>
      </c>
      <c r="E1245">
        <v>1201.0999999999999</v>
      </c>
      <c r="F1245" t="str">
        <f t="shared" si="19"/>
        <v>solar pv</v>
      </c>
    </row>
    <row r="1246" spans="1:6" x14ac:dyDescent="0.25">
      <c r="A1246" t="s">
        <v>134</v>
      </c>
      <c r="B1246" t="s">
        <v>249</v>
      </c>
      <c r="C1246">
        <v>2025</v>
      </c>
      <c r="D1246">
        <v>2102.1999999999998</v>
      </c>
      <c r="E1246">
        <v>2102.1999999999998</v>
      </c>
      <c r="F1246" t="str">
        <f t="shared" si="19"/>
        <v>solar pv</v>
      </c>
    </row>
    <row r="1247" spans="1:6" x14ac:dyDescent="0.25">
      <c r="A1247" t="s">
        <v>136</v>
      </c>
      <c r="B1247" t="s">
        <v>90</v>
      </c>
      <c r="C1247">
        <v>2010</v>
      </c>
      <c r="D1247">
        <v>7.1</v>
      </c>
      <c r="E1247">
        <v>7.2</v>
      </c>
      <c r="F1247" t="str">
        <f t="shared" si="19"/>
        <v>biomass</v>
      </c>
    </row>
    <row r="1248" spans="1:6" x14ac:dyDescent="0.25">
      <c r="A1248" t="s">
        <v>136</v>
      </c>
      <c r="B1248" t="s">
        <v>90</v>
      </c>
      <c r="C1248">
        <v>2013</v>
      </c>
      <c r="D1248">
        <v>1.9</v>
      </c>
      <c r="E1248">
        <v>2</v>
      </c>
      <c r="F1248" t="str">
        <f t="shared" si="19"/>
        <v>biomass</v>
      </c>
    </row>
    <row r="1249" spans="1:6" x14ac:dyDescent="0.25">
      <c r="A1249" t="s">
        <v>136</v>
      </c>
      <c r="B1249" t="s">
        <v>86</v>
      </c>
      <c r="C1249">
        <v>2012</v>
      </c>
      <c r="D1249">
        <v>4.5999999999999996</v>
      </c>
      <c r="E1249">
        <v>4.5999999999999996</v>
      </c>
      <c r="F1249" t="str">
        <f t="shared" si="19"/>
        <v>hydro</v>
      </c>
    </row>
    <row r="1250" spans="1:6" x14ac:dyDescent="0.25">
      <c r="A1250" t="s">
        <v>136</v>
      </c>
      <c r="B1250" t="s">
        <v>84</v>
      </c>
      <c r="C1250">
        <v>2007</v>
      </c>
      <c r="D1250">
        <v>144.1</v>
      </c>
      <c r="E1250">
        <v>148.80000000000001</v>
      </c>
      <c r="F1250" t="str">
        <f t="shared" si="19"/>
        <v>natural gas combined cycle</v>
      </c>
    </row>
    <row r="1251" spans="1:6" x14ac:dyDescent="0.25">
      <c r="A1251" t="s">
        <v>136</v>
      </c>
      <c r="B1251" t="s">
        <v>84</v>
      </c>
      <c r="C1251">
        <v>2016</v>
      </c>
      <c r="D1251">
        <v>108.1</v>
      </c>
      <c r="E1251">
        <v>118.8</v>
      </c>
      <c r="F1251" t="str">
        <f t="shared" si="19"/>
        <v>natural gas combined cycle</v>
      </c>
    </row>
    <row r="1252" spans="1:6" x14ac:dyDescent="0.25">
      <c r="A1252" t="s">
        <v>136</v>
      </c>
      <c r="B1252" t="s">
        <v>93</v>
      </c>
      <c r="C1252">
        <v>1990</v>
      </c>
      <c r="D1252">
        <v>32</v>
      </c>
      <c r="E1252">
        <v>39.200000000000003</v>
      </c>
      <c r="F1252" t="str">
        <f t="shared" si="19"/>
        <v>natural gas peaker</v>
      </c>
    </row>
    <row r="1253" spans="1:6" x14ac:dyDescent="0.25">
      <c r="A1253" t="s">
        <v>136</v>
      </c>
      <c r="B1253" t="s">
        <v>93</v>
      </c>
      <c r="C1253">
        <v>1992</v>
      </c>
      <c r="D1253">
        <v>0.8</v>
      </c>
      <c r="E1253">
        <v>1</v>
      </c>
      <c r="F1253" t="str">
        <f t="shared" si="19"/>
        <v>natural gas peaker</v>
      </c>
    </row>
    <row r="1254" spans="1:6" x14ac:dyDescent="0.25">
      <c r="A1254" t="s">
        <v>136</v>
      </c>
      <c r="B1254" t="s">
        <v>93</v>
      </c>
      <c r="C1254">
        <v>1993</v>
      </c>
      <c r="D1254">
        <v>7.4</v>
      </c>
      <c r="E1254">
        <v>7.5</v>
      </c>
      <c r="F1254" t="str">
        <f t="shared" si="19"/>
        <v>natural gas peaker</v>
      </c>
    </row>
    <row r="1255" spans="1:6" x14ac:dyDescent="0.25">
      <c r="A1255" t="s">
        <v>136</v>
      </c>
      <c r="B1255" t="s">
        <v>93</v>
      </c>
      <c r="C1255">
        <v>1994</v>
      </c>
      <c r="D1255">
        <v>14.6</v>
      </c>
      <c r="E1255">
        <v>15.9</v>
      </c>
      <c r="F1255" t="str">
        <f t="shared" si="19"/>
        <v>natural gas peaker</v>
      </c>
    </row>
    <row r="1256" spans="1:6" x14ac:dyDescent="0.25">
      <c r="A1256" t="s">
        <v>136</v>
      </c>
      <c r="B1256" t="s">
        <v>93</v>
      </c>
      <c r="C1256">
        <v>1995</v>
      </c>
      <c r="D1256">
        <v>0.8</v>
      </c>
      <c r="E1256">
        <v>1</v>
      </c>
      <c r="F1256" t="str">
        <f t="shared" si="19"/>
        <v>natural gas peaker</v>
      </c>
    </row>
    <row r="1257" spans="1:6" x14ac:dyDescent="0.25">
      <c r="A1257" t="s">
        <v>136</v>
      </c>
      <c r="B1257" t="s">
        <v>93</v>
      </c>
      <c r="C1257">
        <v>1996</v>
      </c>
      <c r="D1257">
        <v>35.9</v>
      </c>
      <c r="E1257">
        <v>42.8</v>
      </c>
      <c r="F1257" t="str">
        <f t="shared" si="19"/>
        <v>natural gas peaker</v>
      </c>
    </row>
    <row r="1258" spans="1:6" x14ac:dyDescent="0.25">
      <c r="A1258" t="s">
        <v>136</v>
      </c>
      <c r="B1258" t="s">
        <v>93</v>
      </c>
      <c r="C1258">
        <v>1998</v>
      </c>
      <c r="D1258">
        <v>85.7</v>
      </c>
      <c r="E1258">
        <v>121.4</v>
      </c>
      <c r="F1258" t="str">
        <f t="shared" si="19"/>
        <v>natural gas peaker</v>
      </c>
    </row>
    <row r="1259" spans="1:6" x14ac:dyDescent="0.25">
      <c r="A1259" t="s">
        <v>136</v>
      </c>
      <c r="B1259" t="s">
        <v>93</v>
      </c>
      <c r="C1259">
        <v>1999</v>
      </c>
      <c r="D1259">
        <v>1.1000000000000001</v>
      </c>
      <c r="E1259">
        <v>1.3</v>
      </c>
      <c r="F1259" t="str">
        <f t="shared" si="19"/>
        <v>natural gas peaker</v>
      </c>
    </row>
    <row r="1260" spans="1:6" x14ac:dyDescent="0.25">
      <c r="A1260" t="s">
        <v>136</v>
      </c>
      <c r="B1260" t="s">
        <v>93</v>
      </c>
      <c r="C1260">
        <v>2000</v>
      </c>
      <c r="D1260">
        <v>164.2</v>
      </c>
      <c r="E1260">
        <v>201.6</v>
      </c>
      <c r="F1260" t="str">
        <f t="shared" si="19"/>
        <v>natural gas peaker</v>
      </c>
    </row>
    <row r="1261" spans="1:6" x14ac:dyDescent="0.25">
      <c r="A1261" t="s">
        <v>136</v>
      </c>
      <c r="B1261" t="s">
        <v>93</v>
      </c>
      <c r="C1261">
        <v>2001</v>
      </c>
      <c r="D1261">
        <v>174.3</v>
      </c>
      <c r="E1261">
        <v>189.1</v>
      </c>
      <c r="F1261" t="str">
        <f t="shared" si="19"/>
        <v>natural gas peaker</v>
      </c>
    </row>
    <row r="1262" spans="1:6" x14ac:dyDescent="0.25">
      <c r="A1262" t="s">
        <v>136</v>
      </c>
      <c r="B1262" t="s">
        <v>93</v>
      </c>
      <c r="C1262">
        <v>2002</v>
      </c>
      <c r="D1262">
        <v>57.6</v>
      </c>
      <c r="E1262">
        <v>79.2</v>
      </c>
      <c r="F1262" t="str">
        <f t="shared" si="19"/>
        <v>natural gas peaker</v>
      </c>
    </row>
    <row r="1263" spans="1:6" x14ac:dyDescent="0.25">
      <c r="A1263" t="s">
        <v>136</v>
      </c>
      <c r="B1263" t="s">
        <v>93</v>
      </c>
      <c r="C1263">
        <v>2003</v>
      </c>
      <c r="D1263">
        <v>419.2</v>
      </c>
      <c r="E1263">
        <v>510</v>
      </c>
      <c r="F1263" t="str">
        <f t="shared" si="19"/>
        <v>natural gas peaker</v>
      </c>
    </row>
    <row r="1264" spans="1:6" x14ac:dyDescent="0.25">
      <c r="A1264" t="s">
        <v>136</v>
      </c>
      <c r="B1264" t="s">
        <v>93</v>
      </c>
      <c r="C1264">
        <v>2004</v>
      </c>
      <c r="D1264">
        <v>13.6</v>
      </c>
      <c r="E1264">
        <v>14.4</v>
      </c>
      <c r="F1264" t="str">
        <f t="shared" si="19"/>
        <v>natural gas peaker</v>
      </c>
    </row>
    <row r="1265" spans="1:6" x14ac:dyDescent="0.25">
      <c r="A1265" t="s">
        <v>136</v>
      </c>
      <c r="B1265" t="s">
        <v>93</v>
      </c>
      <c r="C1265">
        <v>2005</v>
      </c>
      <c r="D1265">
        <v>6.1</v>
      </c>
      <c r="E1265">
        <v>6.7</v>
      </c>
      <c r="F1265" t="str">
        <f t="shared" si="19"/>
        <v>natural gas peaker</v>
      </c>
    </row>
    <row r="1266" spans="1:6" x14ac:dyDescent="0.25">
      <c r="A1266" t="s">
        <v>136</v>
      </c>
      <c r="B1266" t="s">
        <v>93</v>
      </c>
      <c r="C1266">
        <v>2006</v>
      </c>
      <c r="D1266">
        <v>72</v>
      </c>
      <c r="E1266">
        <v>104</v>
      </c>
      <c r="F1266" t="str">
        <f t="shared" si="19"/>
        <v>natural gas peaker</v>
      </c>
    </row>
    <row r="1267" spans="1:6" x14ac:dyDescent="0.25">
      <c r="A1267" t="s">
        <v>136</v>
      </c>
      <c r="B1267" t="s">
        <v>93</v>
      </c>
      <c r="C1267">
        <v>2008</v>
      </c>
      <c r="D1267">
        <v>415.2</v>
      </c>
      <c r="E1267">
        <v>463</v>
      </c>
      <c r="F1267" t="str">
        <f t="shared" si="19"/>
        <v>natural gas peaker</v>
      </c>
    </row>
    <row r="1268" spans="1:6" x14ac:dyDescent="0.25">
      <c r="A1268" t="s">
        <v>136</v>
      </c>
      <c r="B1268" t="s">
        <v>93</v>
      </c>
      <c r="C1268">
        <v>2009</v>
      </c>
      <c r="D1268">
        <v>327.39999999999998</v>
      </c>
      <c r="E1268">
        <v>342.8</v>
      </c>
      <c r="F1268" t="str">
        <f t="shared" si="19"/>
        <v>natural gas peaker</v>
      </c>
    </row>
    <row r="1269" spans="1:6" x14ac:dyDescent="0.25">
      <c r="A1269" t="s">
        <v>136</v>
      </c>
      <c r="B1269" t="s">
        <v>93</v>
      </c>
      <c r="C1269">
        <v>2011</v>
      </c>
      <c r="D1269">
        <v>1.9</v>
      </c>
      <c r="E1269">
        <v>2</v>
      </c>
      <c r="F1269" t="str">
        <f t="shared" si="19"/>
        <v>natural gas peaker</v>
      </c>
    </row>
    <row r="1270" spans="1:6" x14ac:dyDescent="0.25">
      <c r="A1270" t="s">
        <v>136</v>
      </c>
      <c r="B1270" t="s">
        <v>93</v>
      </c>
      <c r="C1270">
        <v>2014</v>
      </c>
      <c r="D1270">
        <v>133.4</v>
      </c>
      <c r="E1270">
        <v>147.6</v>
      </c>
      <c r="F1270" t="str">
        <f t="shared" si="19"/>
        <v>natural gas peaker</v>
      </c>
    </row>
    <row r="1271" spans="1:6" x14ac:dyDescent="0.25">
      <c r="A1271" t="s">
        <v>136</v>
      </c>
      <c r="B1271" t="s">
        <v>93</v>
      </c>
      <c r="C1271">
        <v>2016</v>
      </c>
      <c r="D1271">
        <v>30.8</v>
      </c>
      <c r="E1271">
        <v>31.1</v>
      </c>
      <c r="F1271" t="str">
        <f t="shared" si="19"/>
        <v>natural gas peaker</v>
      </c>
    </row>
    <row r="1272" spans="1:6" x14ac:dyDescent="0.25">
      <c r="A1272" t="s">
        <v>136</v>
      </c>
      <c r="B1272" t="s">
        <v>93</v>
      </c>
      <c r="C1272">
        <v>2017</v>
      </c>
      <c r="D1272">
        <v>56.1</v>
      </c>
      <c r="E1272">
        <v>56.1</v>
      </c>
      <c r="F1272" t="str">
        <f t="shared" si="19"/>
        <v>natural gas peaker</v>
      </c>
    </row>
    <row r="1273" spans="1:6" x14ac:dyDescent="0.25">
      <c r="A1273" t="s">
        <v>136</v>
      </c>
      <c r="B1273" t="s">
        <v>93</v>
      </c>
      <c r="C1273">
        <v>2020</v>
      </c>
      <c r="D1273">
        <v>11.9</v>
      </c>
      <c r="E1273">
        <v>13.5</v>
      </c>
      <c r="F1273" t="str">
        <f t="shared" si="19"/>
        <v>natural gas peaker</v>
      </c>
    </row>
    <row r="1274" spans="1:6" x14ac:dyDescent="0.25">
      <c r="A1274" t="s">
        <v>136</v>
      </c>
      <c r="B1274" t="s">
        <v>93</v>
      </c>
      <c r="C1274">
        <v>2024</v>
      </c>
      <c r="D1274">
        <v>4</v>
      </c>
      <c r="E1274">
        <v>4.2</v>
      </c>
      <c r="F1274" t="str">
        <f t="shared" si="19"/>
        <v>natural gas peaker</v>
      </c>
    </row>
    <row r="1275" spans="1:6" x14ac:dyDescent="0.25">
      <c r="A1275" t="s">
        <v>136</v>
      </c>
      <c r="B1275" t="s">
        <v>83</v>
      </c>
      <c r="C1275">
        <v>2006</v>
      </c>
      <c r="D1275">
        <v>0.7</v>
      </c>
      <c r="E1275">
        <v>1.7</v>
      </c>
      <c r="F1275" t="str">
        <f t="shared" si="19"/>
        <v>natural gas steam turbine</v>
      </c>
    </row>
    <row r="1276" spans="1:6" x14ac:dyDescent="0.25">
      <c r="A1276" t="s">
        <v>136</v>
      </c>
      <c r="B1276" t="s">
        <v>83</v>
      </c>
      <c r="C1276">
        <v>2008</v>
      </c>
      <c r="D1276">
        <v>5.9</v>
      </c>
      <c r="E1276">
        <v>6.8</v>
      </c>
      <c r="F1276" t="str">
        <f t="shared" si="19"/>
        <v>natural gas steam turbine</v>
      </c>
    </row>
    <row r="1277" spans="1:6" x14ac:dyDescent="0.25">
      <c r="A1277" t="s">
        <v>136</v>
      </c>
      <c r="B1277" t="s">
        <v>87</v>
      </c>
      <c r="C1277">
        <v>1999</v>
      </c>
      <c r="D1277">
        <v>1.4</v>
      </c>
      <c r="E1277">
        <v>1.4</v>
      </c>
      <c r="F1277" t="str">
        <f t="shared" si="19"/>
        <v>onshore wind</v>
      </c>
    </row>
    <row r="1278" spans="1:6" x14ac:dyDescent="0.25">
      <c r="A1278" t="s">
        <v>136</v>
      </c>
      <c r="B1278" t="s">
        <v>87</v>
      </c>
      <c r="C1278">
        <v>2001</v>
      </c>
      <c r="D1278">
        <v>112.2</v>
      </c>
      <c r="E1278">
        <v>112.2</v>
      </c>
      <c r="F1278" t="str">
        <f t="shared" si="19"/>
        <v>onshore wind</v>
      </c>
    </row>
    <row r="1279" spans="1:6" x14ac:dyDescent="0.25">
      <c r="A1279" t="s">
        <v>136</v>
      </c>
      <c r="B1279" t="s">
        <v>87</v>
      </c>
      <c r="C1279">
        <v>2005</v>
      </c>
      <c r="D1279">
        <v>150</v>
      </c>
      <c r="E1279">
        <v>150</v>
      </c>
      <c r="F1279" t="str">
        <f t="shared" si="19"/>
        <v>onshore wind</v>
      </c>
    </row>
    <row r="1280" spans="1:6" x14ac:dyDescent="0.25">
      <c r="A1280" t="s">
        <v>136</v>
      </c>
      <c r="B1280" t="s">
        <v>87</v>
      </c>
      <c r="C1280">
        <v>2006</v>
      </c>
      <c r="D1280">
        <v>100.5</v>
      </c>
      <c r="E1280">
        <v>100.5</v>
      </c>
      <c r="F1280" t="str">
        <f t="shared" si="19"/>
        <v>onshore wind</v>
      </c>
    </row>
    <row r="1281" spans="1:6" x14ac:dyDescent="0.25">
      <c r="A1281" t="s">
        <v>136</v>
      </c>
      <c r="B1281" t="s">
        <v>87</v>
      </c>
      <c r="C1281">
        <v>2008</v>
      </c>
      <c r="D1281">
        <v>301.8</v>
      </c>
      <c r="E1281">
        <v>301.8</v>
      </c>
      <c r="F1281" t="str">
        <f t="shared" si="19"/>
        <v>onshore wind</v>
      </c>
    </row>
    <row r="1282" spans="1:6" x14ac:dyDescent="0.25">
      <c r="A1282" t="s">
        <v>136</v>
      </c>
      <c r="B1282" t="s">
        <v>87</v>
      </c>
      <c r="C1282">
        <v>2009</v>
      </c>
      <c r="D1282">
        <v>341.5</v>
      </c>
      <c r="E1282">
        <v>341.5</v>
      </c>
      <c r="F1282" t="str">
        <f t="shared" ref="F1282:F1345" si="20">LOWER($B1282)</f>
        <v>onshore wind</v>
      </c>
    </row>
    <row r="1283" spans="1:6" x14ac:dyDescent="0.25">
      <c r="A1283" t="s">
        <v>136</v>
      </c>
      <c r="B1283" t="s">
        <v>87</v>
      </c>
      <c r="C1283">
        <v>2010</v>
      </c>
      <c r="D1283">
        <v>60.5</v>
      </c>
      <c r="E1283">
        <v>60.5</v>
      </c>
      <c r="F1283" t="str">
        <f t="shared" si="20"/>
        <v>onshore wind</v>
      </c>
    </row>
    <row r="1284" spans="1:6" x14ac:dyDescent="0.25">
      <c r="A1284" t="s">
        <v>136</v>
      </c>
      <c r="B1284" t="s">
        <v>87</v>
      </c>
      <c r="C1284">
        <v>2012</v>
      </c>
      <c r="D1284">
        <v>1646.8</v>
      </c>
      <c r="E1284">
        <v>1646.8</v>
      </c>
      <c r="F1284" t="str">
        <f t="shared" si="20"/>
        <v>onshore wind</v>
      </c>
    </row>
    <row r="1285" spans="1:6" x14ac:dyDescent="0.25">
      <c r="A1285" t="s">
        <v>136</v>
      </c>
      <c r="B1285" t="s">
        <v>87</v>
      </c>
      <c r="C1285">
        <v>2013</v>
      </c>
      <c r="D1285">
        <v>253.8</v>
      </c>
      <c r="E1285">
        <v>253.8</v>
      </c>
      <c r="F1285" t="str">
        <f t="shared" si="20"/>
        <v>onshore wind</v>
      </c>
    </row>
    <row r="1286" spans="1:6" x14ac:dyDescent="0.25">
      <c r="A1286" t="s">
        <v>136</v>
      </c>
      <c r="B1286" t="s">
        <v>87</v>
      </c>
      <c r="C1286">
        <v>2015</v>
      </c>
      <c r="D1286">
        <v>614</v>
      </c>
      <c r="E1286">
        <v>614</v>
      </c>
      <c r="F1286" t="str">
        <f t="shared" si="20"/>
        <v>onshore wind</v>
      </c>
    </row>
    <row r="1287" spans="1:6" x14ac:dyDescent="0.25">
      <c r="A1287" t="s">
        <v>136</v>
      </c>
      <c r="B1287" t="s">
        <v>87</v>
      </c>
      <c r="C1287">
        <v>2016</v>
      </c>
      <c r="D1287">
        <v>879.3</v>
      </c>
      <c r="E1287">
        <v>895.9</v>
      </c>
      <c r="F1287" t="str">
        <f t="shared" si="20"/>
        <v>onshore wind</v>
      </c>
    </row>
    <row r="1288" spans="1:6" x14ac:dyDescent="0.25">
      <c r="A1288" t="s">
        <v>136</v>
      </c>
      <c r="B1288" t="s">
        <v>87</v>
      </c>
      <c r="C1288">
        <v>2017</v>
      </c>
      <c r="D1288">
        <v>658.8</v>
      </c>
      <c r="E1288">
        <v>658.8</v>
      </c>
      <c r="F1288" t="str">
        <f t="shared" si="20"/>
        <v>onshore wind</v>
      </c>
    </row>
    <row r="1289" spans="1:6" x14ac:dyDescent="0.25">
      <c r="A1289" t="s">
        <v>136</v>
      </c>
      <c r="B1289" t="s">
        <v>87</v>
      </c>
      <c r="C1289">
        <v>2018</v>
      </c>
      <c r="D1289">
        <v>542.79999999999995</v>
      </c>
      <c r="E1289">
        <v>542.79999999999995</v>
      </c>
      <c r="F1289" t="str">
        <f t="shared" si="20"/>
        <v>onshore wind</v>
      </c>
    </row>
    <row r="1290" spans="1:6" x14ac:dyDescent="0.25">
      <c r="A1290" t="s">
        <v>136</v>
      </c>
      <c r="B1290" t="s">
        <v>87</v>
      </c>
      <c r="C1290">
        <v>2019</v>
      </c>
      <c r="D1290">
        <v>474.9</v>
      </c>
      <c r="E1290">
        <v>474.9</v>
      </c>
      <c r="F1290" t="str">
        <f t="shared" si="20"/>
        <v>onshore wind</v>
      </c>
    </row>
    <row r="1291" spans="1:6" x14ac:dyDescent="0.25">
      <c r="A1291" t="s">
        <v>136</v>
      </c>
      <c r="B1291" t="s">
        <v>87</v>
      </c>
      <c r="C1291">
        <v>2020</v>
      </c>
      <c r="D1291">
        <v>894.7</v>
      </c>
      <c r="E1291">
        <v>894.7</v>
      </c>
      <c r="F1291" t="str">
        <f t="shared" si="20"/>
        <v>onshore wind</v>
      </c>
    </row>
    <row r="1292" spans="1:6" x14ac:dyDescent="0.25">
      <c r="A1292" t="s">
        <v>136</v>
      </c>
      <c r="B1292" t="s">
        <v>87</v>
      </c>
      <c r="C1292">
        <v>2021</v>
      </c>
      <c r="D1292">
        <v>1023.3</v>
      </c>
      <c r="E1292">
        <v>1029.9000000000001</v>
      </c>
      <c r="F1292" t="str">
        <f t="shared" si="20"/>
        <v>onshore wind</v>
      </c>
    </row>
    <row r="1293" spans="1:6" x14ac:dyDescent="0.25">
      <c r="A1293" t="s">
        <v>136</v>
      </c>
      <c r="B1293" t="s">
        <v>87</v>
      </c>
      <c r="C1293">
        <v>2022</v>
      </c>
      <c r="D1293">
        <v>197.4</v>
      </c>
      <c r="E1293">
        <v>197.4</v>
      </c>
      <c r="F1293" t="str">
        <f t="shared" si="20"/>
        <v>onshore wind</v>
      </c>
    </row>
    <row r="1294" spans="1:6" x14ac:dyDescent="0.25">
      <c r="A1294" t="s">
        <v>136</v>
      </c>
      <c r="B1294" t="s">
        <v>87</v>
      </c>
      <c r="C1294">
        <v>2023</v>
      </c>
      <c r="D1294">
        <v>804.6</v>
      </c>
      <c r="E1294">
        <v>844</v>
      </c>
      <c r="F1294" t="str">
        <f t="shared" si="20"/>
        <v>onshore wind</v>
      </c>
    </row>
    <row r="1295" spans="1:6" x14ac:dyDescent="0.25">
      <c r="A1295" t="s">
        <v>136</v>
      </c>
      <c r="B1295" t="s">
        <v>87</v>
      </c>
      <c r="C1295">
        <v>2025</v>
      </c>
      <c r="D1295">
        <v>594.20000000000005</v>
      </c>
      <c r="E1295">
        <v>594.20000000000005</v>
      </c>
      <c r="F1295" t="str">
        <f t="shared" si="20"/>
        <v>onshore wind</v>
      </c>
    </row>
    <row r="1296" spans="1:6" x14ac:dyDescent="0.25">
      <c r="A1296" t="s">
        <v>136</v>
      </c>
      <c r="B1296" t="s">
        <v>92</v>
      </c>
      <c r="C1296">
        <v>1990</v>
      </c>
      <c r="D1296">
        <v>2.5</v>
      </c>
      <c r="E1296">
        <v>2.9</v>
      </c>
      <c r="F1296" t="str">
        <f t="shared" si="20"/>
        <v>petroleum</v>
      </c>
    </row>
    <row r="1297" spans="1:6" x14ac:dyDescent="0.25">
      <c r="A1297" t="s">
        <v>136</v>
      </c>
      <c r="B1297" t="s">
        <v>92</v>
      </c>
      <c r="C1297">
        <v>1991</v>
      </c>
      <c r="D1297">
        <v>11.4</v>
      </c>
      <c r="E1297">
        <v>12</v>
      </c>
      <c r="F1297" t="str">
        <f t="shared" si="20"/>
        <v>petroleum</v>
      </c>
    </row>
    <row r="1298" spans="1:6" x14ac:dyDescent="0.25">
      <c r="A1298" t="s">
        <v>136</v>
      </c>
      <c r="B1298" t="s">
        <v>92</v>
      </c>
      <c r="C1298">
        <v>1992</v>
      </c>
      <c r="D1298">
        <v>4.0999999999999996</v>
      </c>
      <c r="E1298">
        <v>4.5</v>
      </c>
      <c r="F1298" t="str">
        <f t="shared" si="20"/>
        <v>petroleum</v>
      </c>
    </row>
    <row r="1299" spans="1:6" x14ac:dyDescent="0.25">
      <c r="A1299" t="s">
        <v>136</v>
      </c>
      <c r="B1299" t="s">
        <v>92</v>
      </c>
      <c r="C1299">
        <v>1993</v>
      </c>
      <c r="D1299">
        <v>1.6</v>
      </c>
      <c r="E1299">
        <v>1.6</v>
      </c>
      <c r="F1299" t="str">
        <f t="shared" si="20"/>
        <v>petroleum</v>
      </c>
    </row>
    <row r="1300" spans="1:6" x14ac:dyDescent="0.25">
      <c r="A1300" t="s">
        <v>136</v>
      </c>
      <c r="B1300" t="s">
        <v>92</v>
      </c>
      <c r="C1300">
        <v>1994</v>
      </c>
      <c r="D1300">
        <v>6.2</v>
      </c>
      <c r="E1300">
        <v>6.7</v>
      </c>
      <c r="F1300" t="str">
        <f t="shared" si="20"/>
        <v>petroleum</v>
      </c>
    </row>
    <row r="1301" spans="1:6" x14ac:dyDescent="0.25">
      <c r="A1301" t="s">
        <v>136</v>
      </c>
      <c r="B1301" t="s">
        <v>92</v>
      </c>
      <c r="C1301">
        <v>1996</v>
      </c>
      <c r="D1301">
        <v>8.1</v>
      </c>
      <c r="E1301">
        <v>8</v>
      </c>
      <c r="F1301" t="str">
        <f t="shared" si="20"/>
        <v>petroleum</v>
      </c>
    </row>
    <row r="1302" spans="1:6" x14ac:dyDescent="0.25">
      <c r="A1302" t="s">
        <v>136</v>
      </c>
      <c r="B1302" t="s">
        <v>92</v>
      </c>
      <c r="C1302">
        <v>1997</v>
      </c>
      <c r="D1302">
        <v>11.6</v>
      </c>
      <c r="E1302">
        <v>12.7</v>
      </c>
      <c r="F1302" t="str">
        <f t="shared" si="20"/>
        <v>petroleum</v>
      </c>
    </row>
    <row r="1303" spans="1:6" x14ac:dyDescent="0.25">
      <c r="A1303" t="s">
        <v>136</v>
      </c>
      <c r="B1303" t="s">
        <v>92</v>
      </c>
      <c r="C1303">
        <v>1999</v>
      </c>
      <c r="D1303">
        <v>23.2</v>
      </c>
      <c r="E1303">
        <v>23.4</v>
      </c>
      <c r="F1303" t="str">
        <f t="shared" si="20"/>
        <v>petroleum</v>
      </c>
    </row>
    <row r="1304" spans="1:6" x14ac:dyDescent="0.25">
      <c r="A1304" t="s">
        <v>136</v>
      </c>
      <c r="B1304" t="s">
        <v>92</v>
      </c>
      <c r="C1304">
        <v>2000</v>
      </c>
      <c r="D1304">
        <v>2.2000000000000002</v>
      </c>
      <c r="E1304">
        <v>2.5</v>
      </c>
      <c r="F1304" t="str">
        <f t="shared" si="20"/>
        <v>petroleum</v>
      </c>
    </row>
    <row r="1305" spans="1:6" x14ac:dyDescent="0.25">
      <c r="A1305" t="s">
        <v>136</v>
      </c>
      <c r="B1305" t="s">
        <v>92</v>
      </c>
      <c r="C1305">
        <v>2001</v>
      </c>
      <c r="D1305">
        <v>3.6</v>
      </c>
      <c r="E1305">
        <v>4</v>
      </c>
      <c r="F1305" t="str">
        <f t="shared" si="20"/>
        <v>petroleum</v>
      </c>
    </row>
    <row r="1306" spans="1:6" x14ac:dyDescent="0.25">
      <c r="A1306" t="s">
        <v>136</v>
      </c>
      <c r="B1306" t="s">
        <v>92</v>
      </c>
      <c r="C1306">
        <v>2002</v>
      </c>
      <c r="D1306">
        <v>22.9</v>
      </c>
      <c r="E1306">
        <v>22.9</v>
      </c>
      <c r="F1306" t="str">
        <f t="shared" si="20"/>
        <v>petroleum</v>
      </c>
    </row>
    <row r="1307" spans="1:6" x14ac:dyDescent="0.25">
      <c r="A1307" t="s">
        <v>136</v>
      </c>
      <c r="B1307" t="s">
        <v>92</v>
      </c>
      <c r="C1307">
        <v>2003</v>
      </c>
      <c r="D1307">
        <v>10.6</v>
      </c>
      <c r="E1307">
        <v>11.2</v>
      </c>
      <c r="F1307" t="str">
        <f t="shared" si="20"/>
        <v>petroleum</v>
      </c>
    </row>
    <row r="1308" spans="1:6" x14ac:dyDescent="0.25">
      <c r="A1308" t="s">
        <v>136</v>
      </c>
      <c r="B1308" t="s">
        <v>92</v>
      </c>
      <c r="C1308">
        <v>2004</v>
      </c>
      <c r="D1308">
        <v>15.1</v>
      </c>
      <c r="E1308">
        <v>15.2</v>
      </c>
      <c r="F1308" t="str">
        <f t="shared" si="20"/>
        <v>petroleum</v>
      </c>
    </row>
    <row r="1309" spans="1:6" x14ac:dyDescent="0.25">
      <c r="A1309" t="s">
        <v>136</v>
      </c>
      <c r="B1309" t="s">
        <v>92</v>
      </c>
      <c r="C1309">
        <v>2005</v>
      </c>
      <c r="D1309">
        <v>15.1</v>
      </c>
      <c r="E1309">
        <v>15.4</v>
      </c>
      <c r="F1309" t="str">
        <f t="shared" si="20"/>
        <v>petroleum</v>
      </c>
    </row>
    <row r="1310" spans="1:6" x14ac:dyDescent="0.25">
      <c r="A1310" t="s">
        <v>136</v>
      </c>
      <c r="B1310" t="s">
        <v>92</v>
      </c>
      <c r="C1310">
        <v>2007</v>
      </c>
      <c r="D1310">
        <v>5.6</v>
      </c>
      <c r="E1310">
        <v>5.7</v>
      </c>
      <c r="F1310" t="str">
        <f t="shared" si="20"/>
        <v>petroleum</v>
      </c>
    </row>
    <row r="1311" spans="1:6" x14ac:dyDescent="0.25">
      <c r="A1311" t="s">
        <v>136</v>
      </c>
      <c r="B1311" t="s">
        <v>92</v>
      </c>
      <c r="C1311">
        <v>2014</v>
      </c>
      <c r="D1311">
        <v>2.8</v>
      </c>
      <c r="E1311">
        <v>3</v>
      </c>
      <c r="F1311" t="str">
        <f t="shared" si="20"/>
        <v>petroleum</v>
      </c>
    </row>
    <row r="1312" spans="1:6" x14ac:dyDescent="0.25">
      <c r="A1312" t="s">
        <v>136</v>
      </c>
      <c r="B1312" t="s">
        <v>92</v>
      </c>
      <c r="C1312">
        <v>2015</v>
      </c>
      <c r="D1312">
        <v>4.9000000000000004</v>
      </c>
      <c r="E1312">
        <v>4.9000000000000004</v>
      </c>
      <c r="F1312" t="str">
        <f t="shared" si="20"/>
        <v>petroleum</v>
      </c>
    </row>
    <row r="1313" spans="1:6" x14ac:dyDescent="0.25">
      <c r="A1313" t="s">
        <v>136</v>
      </c>
      <c r="B1313" t="s">
        <v>92</v>
      </c>
      <c r="C1313">
        <v>2016</v>
      </c>
      <c r="D1313">
        <v>2</v>
      </c>
      <c r="E1313">
        <v>2</v>
      </c>
      <c r="F1313" t="str">
        <f t="shared" si="20"/>
        <v>petroleum</v>
      </c>
    </row>
    <row r="1314" spans="1:6" x14ac:dyDescent="0.25">
      <c r="A1314" t="s">
        <v>136</v>
      </c>
      <c r="B1314" t="s">
        <v>92</v>
      </c>
      <c r="C1314">
        <v>2017</v>
      </c>
      <c r="D1314">
        <v>13.8</v>
      </c>
      <c r="E1314">
        <v>14</v>
      </c>
      <c r="F1314" t="str">
        <f t="shared" si="20"/>
        <v>petroleum</v>
      </c>
    </row>
    <row r="1315" spans="1:6" x14ac:dyDescent="0.25">
      <c r="A1315" t="s">
        <v>136</v>
      </c>
      <c r="B1315" t="s">
        <v>92</v>
      </c>
      <c r="C1315">
        <v>2018</v>
      </c>
      <c r="D1315">
        <v>6</v>
      </c>
      <c r="E1315">
        <v>6</v>
      </c>
      <c r="F1315" t="str">
        <f t="shared" si="20"/>
        <v>petroleum</v>
      </c>
    </row>
    <row r="1316" spans="1:6" x14ac:dyDescent="0.25">
      <c r="A1316" t="s">
        <v>136</v>
      </c>
      <c r="B1316" t="s">
        <v>92</v>
      </c>
      <c r="C1316">
        <v>2019</v>
      </c>
      <c r="D1316">
        <v>4</v>
      </c>
      <c r="E1316">
        <v>4</v>
      </c>
      <c r="F1316" t="str">
        <f t="shared" si="20"/>
        <v>petroleum</v>
      </c>
    </row>
    <row r="1317" spans="1:6" x14ac:dyDescent="0.25">
      <c r="A1317" t="s">
        <v>136</v>
      </c>
      <c r="B1317" t="s">
        <v>92</v>
      </c>
      <c r="C1317">
        <v>2020</v>
      </c>
      <c r="D1317">
        <v>4</v>
      </c>
      <c r="E1317">
        <v>4</v>
      </c>
      <c r="F1317" t="str">
        <f t="shared" si="20"/>
        <v>petroleum</v>
      </c>
    </row>
    <row r="1318" spans="1:6" x14ac:dyDescent="0.25">
      <c r="A1318" t="s">
        <v>136</v>
      </c>
      <c r="B1318" t="s">
        <v>92</v>
      </c>
      <c r="C1318">
        <v>2021</v>
      </c>
      <c r="D1318">
        <v>1.8</v>
      </c>
      <c r="E1318">
        <v>1.8</v>
      </c>
      <c r="F1318" t="str">
        <f t="shared" si="20"/>
        <v>petroleum</v>
      </c>
    </row>
    <row r="1319" spans="1:6" x14ac:dyDescent="0.25">
      <c r="A1319" t="s">
        <v>136</v>
      </c>
      <c r="B1319" t="s">
        <v>92</v>
      </c>
      <c r="C1319">
        <v>2022</v>
      </c>
      <c r="D1319">
        <v>2.8</v>
      </c>
      <c r="E1319">
        <v>3.1</v>
      </c>
      <c r="F1319" t="str">
        <f t="shared" si="20"/>
        <v>petroleum</v>
      </c>
    </row>
    <row r="1320" spans="1:6" x14ac:dyDescent="0.25">
      <c r="A1320" t="s">
        <v>136</v>
      </c>
      <c r="B1320" t="s">
        <v>92</v>
      </c>
      <c r="C1320">
        <v>2023</v>
      </c>
      <c r="D1320">
        <v>8.6999999999999993</v>
      </c>
      <c r="E1320">
        <v>8.6999999999999993</v>
      </c>
      <c r="F1320" t="str">
        <f t="shared" si="20"/>
        <v>petroleum</v>
      </c>
    </row>
    <row r="1321" spans="1:6" x14ac:dyDescent="0.25">
      <c r="A1321" t="s">
        <v>136</v>
      </c>
      <c r="B1321" t="s">
        <v>92</v>
      </c>
      <c r="C1321">
        <v>2024</v>
      </c>
      <c r="D1321">
        <v>11</v>
      </c>
      <c r="E1321">
        <v>11</v>
      </c>
      <c r="F1321" t="str">
        <f t="shared" si="20"/>
        <v>petroleum</v>
      </c>
    </row>
    <row r="1322" spans="1:6" x14ac:dyDescent="0.25">
      <c r="A1322" t="s">
        <v>136</v>
      </c>
      <c r="B1322" t="s">
        <v>92</v>
      </c>
      <c r="C1322">
        <v>2025</v>
      </c>
      <c r="D1322">
        <v>4</v>
      </c>
      <c r="E1322">
        <v>4.4000000000000004</v>
      </c>
      <c r="F1322" t="str">
        <f t="shared" si="20"/>
        <v>petroleum</v>
      </c>
    </row>
    <row r="1323" spans="1:6" x14ac:dyDescent="0.25">
      <c r="A1323" t="s">
        <v>136</v>
      </c>
      <c r="B1323" t="s">
        <v>249</v>
      </c>
      <c r="C1323">
        <v>2015</v>
      </c>
      <c r="D1323">
        <v>0.9</v>
      </c>
      <c r="E1323">
        <v>1</v>
      </c>
      <c r="F1323" t="str">
        <f t="shared" si="20"/>
        <v>solar pv</v>
      </c>
    </row>
    <row r="1324" spans="1:6" x14ac:dyDescent="0.25">
      <c r="A1324" t="s">
        <v>136</v>
      </c>
      <c r="B1324" t="s">
        <v>249</v>
      </c>
      <c r="C1324">
        <v>2017</v>
      </c>
      <c r="D1324">
        <v>3</v>
      </c>
      <c r="E1324">
        <v>3</v>
      </c>
      <c r="F1324" t="str">
        <f t="shared" si="20"/>
        <v>solar pv</v>
      </c>
    </row>
    <row r="1325" spans="1:6" x14ac:dyDescent="0.25">
      <c r="A1325" t="s">
        <v>136</v>
      </c>
      <c r="B1325" t="s">
        <v>249</v>
      </c>
      <c r="C1325">
        <v>2019</v>
      </c>
      <c r="D1325">
        <v>6</v>
      </c>
      <c r="E1325">
        <v>6</v>
      </c>
      <c r="F1325" t="str">
        <f t="shared" si="20"/>
        <v>solar pv</v>
      </c>
    </row>
    <row r="1326" spans="1:6" x14ac:dyDescent="0.25">
      <c r="A1326" t="s">
        <v>136</v>
      </c>
      <c r="B1326" t="s">
        <v>249</v>
      </c>
      <c r="C1326">
        <v>2020</v>
      </c>
      <c r="D1326">
        <v>20</v>
      </c>
      <c r="E1326">
        <v>20</v>
      </c>
      <c r="F1326" t="str">
        <f t="shared" si="20"/>
        <v>solar pv</v>
      </c>
    </row>
    <row r="1327" spans="1:6" x14ac:dyDescent="0.25">
      <c r="A1327" t="s">
        <v>136</v>
      </c>
      <c r="B1327" t="s">
        <v>249</v>
      </c>
      <c r="C1327">
        <v>2021</v>
      </c>
      <c r="D1327">
        <v>15</v>
      </c>
      <c r="E1327">
        <v>15</v>
      </c>
      <c r="F1327" t="str">
        <f t="shared" si="20"/>
        <v>solar pv</v>
      </c>
    </row>
    <row r="1328" spans="1:6" x14ac:dyDescent="0.25">
      <c r="A1328" t="s">
        <v>136</v>
      </c>
      <c r="B1328" t="s">
        <v>249</v>
      </c>
      <c r="C1328">
        <v>2022</v>
      </c>
      <c r="D1328">
        <v>6.3</v>
      </c>
      <c r="E1328">
        <v>6.3</v>
      </c>
      <c r="F1328" t="str">
        <f t="shared" si="20"/>
        <v>solar pv</v>
      </c>
    </row>
    <row r="1329" spans="1:6" x14ac:dyDescent="0.25">
      <c r="A1329" t="s">
        <v>136</v>
      </c>
      <c r="B1329" t="s">
        <v>249</v>
      </c>
      <c r="C1329">
        <v>2023</v>
      </c>
      <c r="D1329">
        <v>5.9</v>
      </c>
      <c r="E1329">
        <v>5.9</v>
      </c>
      <c r="F1329" t="str">
        <f t="shared" si="20"/>
        <v>solar pv</v>
      </c>
    </row>
    <row r="1330" spans="1:6" x14ac:dyDescent="0.25">
      <c r="A1330" t="s">
        <v>136</v>
      </c>
      <c r="B1330" t="s">
        <v>249</v>
      </c>
      <c r="C1330">
        <v>2024</v>
      </c>
      <c r="D1330">
        <v>8.6999999999999993</v>
      </c>
      <c r="E1330">
        <v>8.6999999999999993</v>
      </c>
      <c r="F1330" t="str">
        <f t="shared" si="20"/>
        <v>solar pv</v>
      </c>
    </row>
    <row r="1331" spans="1:6" x14ac:dyDescent="0.25">
      <c r="A1331" t="s">
        <v>136</v>
      </c>
      <c r="B1331" t="s">
        <v>249</v>
      </c>
      <c r="C1331">
        <v>2025</v>
      </c>
      <c r="D1331">
        <v>212.1</v>
      </c>
      <c r="E1331">
        <v>212.5</v>
      </c>
      <c r="F1331" t="str">
        <f t="shared" si="20"/>
        <v>solar pv</v>
      </c>
    </row>
    <row r="1332" spans="1:6" x14ac:dyDescent="0.25">
      <c r="A1332" t="s">
        <v>138</v>
      </c>
      <c r="B1332" t="s">
        <v>90</v>
      </c>
      <c r="C1332">
        <v>1995</v>
      </c>
      <c r="D1332">
        <v>3</v>
      </c>
      <c r="E1332">
        <v>4</v>
      </c>
      <c r="F1332" t="str">
        <f t="shared" si="20"/>
        <v>biomass</v>
      </c>
    </row>
    <row r="1333" spans="1:6" x14ac:dyDescent="0.25">
      <c r="A1333" t="s">
        <v>138</v>
      </c>
      <c r="B1333" t="s">
        <v>90</v>
      </c>
      <c r="C1333">
        <v>2001</v>
      </c>
      <c r="D1333">
        <v>49</v>
      </c>
      <c r="E1333">
        <v>88</v>
      </c>
      <c r="F1333" t="str">
        <f t="shared" si="20"/>
        <v>biomass</v>
      </c>
    </row>
    <row r="1334" spans="1:6" x14ac:dyDescent="0.25">
      <c r="A1334" t="s">
        <v>138</v>
      </c>
      <c r="B1334" t="s">
        <v>90</v>
      </c>
      <c r="C1334">
        <v>2002</v>
      </c>
      <c r="D1334">
        <v>0.3</v>
      </c>
      <c r="E1334">
        <v>1</v>
      </c>
      <c r="F1334" t="str">
        <f t="shared" si="20"/>
        <v>biomass</v>
      </c>
    </row>
    <row r="1335" spans="1:6" x14ac:dyDescent="0.25">
      <c r="A1335" t="s">
        <v>138</v>
      </c>
      <c r="B1335" t="s">
        <v>90</v>
      </c>
      <c r="C1335">
        <v>2003</v>
      </c>
      <c r="D1335">
        <v>8.8000000000000007</v>
      </c>
      <c r="E1335">
        <v>8.8000000000000007</v>
      </c>
      <c r="F1335" t="str">
        <f t="shared" si="20"/>
        <v>biomass</v>
      </c>
    </row>
    <row r="1336" spans="1:6" x14ac:dyDescent="0.25">
      <c r="A1336" t="s">
        <v>138</v>
      </c>
      <c r="B1336" t="s">
        <v>90</v>
      </c>
      <c r="C1336">
        <v>2006</v>
      </c>
      <c r="D1336">
        <v>3.2</v>
      </c>
      <c r="E1336">
        <v>3.2</v>
      </c>
      <c r="F1336" t="str">
        <f t="shared" si="20"/>
        <v>biomass</v>
      </c>
    </row>
    <row r="1337" spans="1:6" x14ac:dyDescent="0.25">
      <c r="A1337" t="s">
        <v>138</v>
      </c>
      <c r="B1337" t="s">
        <v>90</v>
      </c>
      <c r="C1337">
        <v>2007</v>
      </c>
      <c r="D1337">
        <v>3.2</v>
      </c>
      <c r="E1337">
        <v>3.2</v>
      </c>
      <c r="F1337" t="str">
        <f t="shared" si="20"/>
        <v>biomass</v>
      </c>
    </row>
    <row r="1338" spans="1:6" x14ac:dyDescent="0.25">
      <c r="A1338" t="s">
        <v>138</v>
      </c>
      <c r="B1338" t="s">
        <v>90</v>
      </c>
      <c r="C1338">
        <v>2009</v>
      </c>
      <c r="D1338">
        <v>1.6</v>
      </c>
      <c r="E1338">
        <v>2</v>
      </c>
      <c r="F1338" t="str">
        <f t="shared" si="20"/>
        <v>biomass</v>
      </c>
    </row>
    <row r="1339" spans="1:6" x14ac:dyDescent="0.25">
      <c r="A1339" t="s">
        <v>138</v>
      </c>
      <c r="B1339" t="s">
        <v>90</v>
      </c>
      <c r="C1339">
        <v>2013</v>
      </c>
      <c r="D1339">
        <v>1.2</v>
      </c>
      <c r="E1339">
        <v>1.6</v>
      </c>
      <c r="F1339" t="str">
        <f t="shared" si="20"/>
        <v>biomass</v>
      </c>
    </row>
    <row r="1340" spans="1:6" x14ac:dyDescent="0.25">
      <c r="A1340" t="s">
        <v>138</v>
      </c>
      <c r="B1340" t="s">
        <v>90</v>
      </c>
      <c r="C1340">
        <v>2015</v>
      </c>
      <c r="D1340">
        <v>0.9</v>
      </c>
      <c r="E1340">
        <v>1</v>
      </c>
      <c r="F1340" t="str">
        <f t="shared" si="20"/>
        <v>biomass</v>
      </c>
    </row>
    <row r="1341" spans="1:6" x14ac:dyDescent="0.25">
      <c r="A1341" t="s">
        <v>138</v>
      </c>
      <c r="B1341" t="s">
        <v>90</v>
      </c>
      <c r="C1341">
        <v>2016</v>
      </c>
      <c r="D1341">
        <v>2.5</v>
      </c>
      <c r="E1341">
        <v>2.6</v>
      </c>
      <c r="F1341" t="str">
        <f t="shared" si="20"/>
        <v>biomass</v>
      </c>
    </row>
    <row r="1342" spans="1:6" x14ac:dyDescent="0.25">
      <c r="A1342" t="s">
        <v>138</v>
      </c>
      <c r="B1342" t="s">
        <v>90</v>
      </c>
      <c r="C1342">
        <v>2019</v>
      </c>
      <c r="D1342">
        <v>2.4</v>
      </c>
      <c r="E1342">
        <v>2.4</v>
      </c>
      <c r="F1342" t="str">
        <f t="shared" si="20"/>
        <v>biomass</v>
      </c>
    </row>
    <row r="1343" spans="1:6" x14ac:dyDescent="0.25">
      <c r="A1343" t="s">
        <v>138</v>
      </c>
      <c r="B1343" t="s">
        <v>81</v>
      </c>
      <c r="C1343">
        <v>1990</v>
      </c>
      <c r="D1343">
        <v>493</v>
      </c>
      <c r="E1343">
        <v>566.1</v>
      </c>
      <c r="F1343" t="str">
        <f t="shared" si="20"/>
        <v>hard coal</v>
      </c>
    </row>
    <row r="1344" spans="1:6" x14ac:dyDescent="0.25">
      <c r="A1344" t="s">
        <v>138</v>
      </c>
      <c r="B1344" t="s">
        <v>81</v>
      </c>
      <c r="C1344">
        <v>2005</v>
      </c>
      <c r="D1344">
        <v>268</v>
      </c>
      <c r="E1344">
        <v>329.4</v>
      </c>
      <c r="F1344" t="str">
        <f t="shared" si="20"/>
        <v>hard coal</v>
      </c>
    </row>
    <row r="1345" spans="1:6" x14ac:dyDescent="0.25">
      <c r="A1345" t="s">
        <v>138</v>
      </c>
      <c r="B1345" t="s">
        <v>81</v>
      </c>
      <c r="C1345">
        <v>2009</v>
      </c>
      <c r="D1345">
        <v>268</v>
      </c>
      <c r="E1345">
        <v>329.4</v>
      </c>
      <c r="F1345" t="str">
        <f t="shared" si="20"/>
        <v>hard coal</v>
      </c>
    </row>
    <row r="1346" spans="1:6" x14ac:dyDescent="0.25">
      <c r="A1346" t="s">
        <v>138</v>
      </c>
      <c r="B1346" t="s">
        <v>81</v>
      </c>
      <c r="C1346">
        <v>2011</v>
      </c>
      <c r="D1346">
        <v>732</v>
      </c>
      <c r="E1346">
        <v>834</v>
      </c>
      <c r="F1346" t="str">
        <f t="shared" ref="F1346:F1409" si="21">LOWER($B1346)</f>
        <v>hard coal</v>
      </c>
    </row>
    <row r="1347" spans="1:6" x14ac:dyDescent="0.25">
      <c r="A1347" t="s">
        <v>138</v>
      </c>
      <c r="B1347" t="s">
        <v>86</v>
      </c>
      <c r="C1347">
        <v>2007</v>
      </c>
      <c r="D1347">
        <v>1.6</v>
      </c>
      <c r="E1347">
        <v>1.4</v>
      </c>
      <c r="F1347" t="str">
        <f t="shared" si="21"/>
        <v>hydro</v>
      </c>
    </row>
    <row r="1348" spans="1:6" x14ac:dyDescent="0.25">
      <c r="A1348" t="s">
        <v>138</v>
      </c>
      <c r="B1348" t="s">
        <v>86</v>
      </c>
      <c r="C1348">
        <v>2008</v>
      </c>
      <c r="D1348">
        <v>0.7</v>
      </c>
      <c r="E1348">
        <v>0.7</v>
      </c>
      <c r="F1348" t="str">
        <f t="shared" si="21"/>
        <v>hydro</v>
      </c>
    </row>
    <row r="1349" spans="1:6" x14ac:dyDescent="0.25">
      <c r="A1349" t="s">
        <v>138</v>
      </c>
      <c r="B1349" t="s">
        <v>86</v>
      </c>
      <c r="C1349">
        <v>2016</v>
      </c>
      <c r="D1349">
        <v>192.9</v>
      </c>
      <c r="E1349">
        <v>192.9</v>
      </c>
      <c r="F1349" t="str">
        <f t="shared" si="21"/>
        <v>hydro</v>
      </c>
    </row>
    <row r="1350" spans="1:6" x14ac:dyDescent="0.25">
      <c r="A1350" t="s">
        <v>138</v>
      </c>
      <c r="B1350" t="s">
        <v>86</v>
      </c>
      <c r="C1350">
        <v>2017</v>
      </c>
      <c r="D1350">
        <v>75.900000000000006</v>
      </c>
      <c r="E1350">
        <v>75.900000000000006</v>
      </c>
      <c r="F1350" t="str">
        <f t="shared" si="21"/>
        <v>hydro</v>
      </c>
    </row>
    <row r="1351" spans="1:6" x14ac:dyDescent="0.25">
      <c r="A1351" t="s">
        <v>138</v>
      </c>
      <c r="B1351" t="s">
        <v>86</v>
      </c>
      <c r="C1351">
        <v>2021</v>
      </c>
      <c r="D1351">
        <v>2.5</v>
      </c>
      <c r="E1351">
        <v>2.5</v>
      </c>
      <c r="F1351" t="str">
        <f t="shared" si="21"/>
        <v>hydro</v>
      </c>
    </row>
    <row r="1352" spans="1:6" x14ac:dyDescent="0.25">
      <c r="A1352" t="s">
        <v>138</v>
      </c>
      <c r="B1352" t="s">
        <v>84</v>
      </c>
      <c r="C1352">
        <v>2015</v>
      </c>
      <c r="D1352">
        <v>691</v>
      </c>
      <c r="E1352">
        <v>807</v>
      </c>
      <c r="F1352" t="str">
        <f t="shared" si="21"/>
        <v>natural gas combined cycle</v>
      </c>
    </row>
    <row r="1353" spans="1:6" x14ac:dyDescent="0.25">
      <c r="A1353" t="s">
        <v>138</v>
      </c>
      <c r="B1353" t="s">
        <v>84</v>
      </c>
      <c r="C1353">
        <v>2017</v>
      </c>
      <c r="D1353">
        <v>1100</v>
      </c>
      <c r="E1353">
        <v>1160</v>
      </c>
      <c r="F1353" t="str">
        <f t="shared" si="21"/>
        <v>natural gas combined cycle</v>
      </c>
    </row>
    <row r="1354" spans="1:6" x14ac:dyDescent="0.25">
      <c r="A1354" t="s">
        <v>138</v>
      </c>
      <c r="B1354" t="s">
        <v>93</v>
      </c>
      <c r="C1354">
        <v>1994</v>
      </c>
      <c r="D1354">
        <v>121</v>
      </c>
      <c r="E1354">
        <v>126</v>
      </c>
      <c r="F1354" t="str">
        <f t="shared" si="21"/>
        <v>natural gas peaker</v>
      </c>
    </row>
    <row r="1355" spans="1:6" x14ac:dyDescent="0.25">
      <c r="A1355" t="s">
        <v>138</v>
      </c>
      <c r="B1355" t="s">
        <v>93</v>
      </c>
      <c r="C1355">
        <v>1995</v>
      </c>
      <c r="D1355">
        <v>242</v>
      </c>
      <c r="E1355">
        <v>252</v>
      </c>
      <c r="F1355" t="str">
        <f t="shared" si="21"/>
        <v>natural gas peaker</v>
      </c>
    </row>
    <row r="1356" spans="1:6" x14ac:dyDescent="0.25">
      <c r="A1356" t="s">
        <v>138</v>
      </c>
      <c r="B1356" t="s">
        <v>93</v>
      </c>
      <c r="C1356">
        <v>1996</v>
      </c>
      <c r="D1356">
        <v>121</v>
      </c>
      <c r="E1356">
        <v>126</v>
      </c>
      <c r="F1356" t="str">
        <f t="shared" si="21"/>
        <v>natural gas peaker</v>
      </c>
    </row>
    <row r="1357" spans="1:6" x14ac:dyDescent="0.25">
      <c r="A1357" t="s">
        <v>138</v>
      </c>
      <c r="B1357" t="s">
        <v>93</v>
      </c>
      <c r="C1357">
        <v>1999</v>
      </c>
      <c r="D1357">
        <v>613</v>
      </c>
      <c r="E1357">
        <v>710.6</v>
      </c>
      <c r="F1357" t="str">
        <f t="shared" si="21"/>
        <v>natural gas peaker</v>
      </c>
    </row>
    <row r="1358" spans="1:6" x14ac:dyDescent="0.25">
      <c r="A1358" t="s">
        <v>138</v>
      </c>
      <c r="B1358" t="s">
        <v>93</v>
      </c>
      <c r="C1358">
        <v>2000</v>
      </c>
      <c r="D1358">
        <v>23</v>
      </c>
      <c r="E1358">
        <v>26.7</v>
      </c>
      <c r="F1358" t="str">
        <f t="shared" si="21"/>
        <v>natural gas peaker</v>
      </c>
    </row>
    <row r="1359" spans="1:6" x14ac:dyDescent="0.25">
      <c r="A1359" t="s">
        <v>138</v>
      </c>
      <c r="B1359" t="s">
        <v>93</v>
      </c>
      <c r="C1359">
        <v>2001</v>
      </c>
      <c r="D1359">
        <v>916.6</v>
      </c>
      <c r="E1359">
        <v>1166.2</v>
      </c>
      <c r="F1359" t="str">
        <f t="shared" si="21"/>
        <v>natural gas peaker</v>
      </c>
    </row>
    <row r="1360" spans="1:6" x14ac:dyDescent="0.25">
      <c r="A1360" t="s">
        <v>138</v>
      </c>
      <c r="B1360" t="s">
        <v>93</v>
      </c>
      <c r="C1360">
        <v>2002</v>
      </c>
      <c r="D1360">
        <v>1724.6</v>
      </c>
      <c r="E1360">
        <v>2127.4</v>
      </c>
      <c r="F1360" t="str">
        <f t="shared" si="21"/>
        <v>natural gas peaker</v>
      </c>
    </row>
    <row r="1361" spans="1:6" x14ac:dyDescent="0.25">
      <c r="A1361" t="s">
        <v>138</v>
      </c>
      <c r="B1361" t="s">
        <v>93</v>
      </c>
      <c r="C1361">
        <v>2004</v>
      </c>
      <c r="D1361">
        <v>636</v>
      </c>
      <c r="E1361">
        <v>796</v>
      </c>
      <c r="F1361" t="str">
        <f t="shared" si="21"/>
        <v>natural gas peaker</v>
      </c>
    </row>
    <row r="1362" spans="1:6" x14ac:dyDescent="0.25">
      <c r="A1362" t="s">
        <v>138</v>
      </c>
      <c r="B1362" t="s">
        <v>93</v>
      </c>
      <c r="C1362">
        <v>2005</v>
      </c>
      <c r="D1362">
        <v>138</v>
      </c>
      <c r="E1362">
        <v>189.8</v>
      </c>
      <c r="F1362" t="str">
        <f t="shared" si="21"/>
        <v>natural gas peaker</v>
      </c>
    </row>
    <row r="1363" spans="1:6" x14ac:dyDescent="0.25">
      <c r="A1363" t="s">
        <v>138</v>
      </c>
      <c r="B1363" t="s">
        <v>93</v>
      </c>
      <c r="C1363">
        <v>2010</v>
      </c>
      <c r="D1363">
        <v>262</v>
      </c>
      <c r="E1363">
        <v>336.4</v>
      </c>
      <c r="F1363" t="str">
        <f t="shared" si="21"/>
        <v>natural gas peaker</v>
      </c>
    </row>
    <row r="1364" spans="1:6" x14ac:dyDescent="0.25">
      <c r="A1364" t="s">
        <v>138</v>
      </c>
      <c r="B1364" t="s">
        <v>93</v>
      </c>
      <c r="C1364">
        <v>2023</v>
      </c>
      <c r="D1364">
        <v>663</v>
      </c>
      <c r="E1364">
        <v>693.6</v>
      </c>
      <c r="F1364" t="str">
        <f t="shared" si="21"/>
        <v>natural gas peaker</v>
      </c>
    </row>
    <row r="1365" spans="1:6" x14ac:dyDescent="0.25">
      <c r="A1365" t="s">
        <v>138</v>
      </c>
      <c r="B1365" t="s">
        <v>249</v>
      </c>
      <c r="C1365">
        <v>2016</v>
      </c>
      <c r="D1365">
        <v>10</v>
      </c>
      <c r="E1365">
        <v>13</v>
      </c>
      <c r="F1365" t="str">
        <f t="shared" si="21"/>
        <v>solar pv</v>
      </c>
    </row>
    <row r="1366" spans="1:6" x14ac:dyDescent="0.25">
      <c r="A1366" t="s">
        <v>138</v>
      </c>
      <c r="B1366" t="s">
        <v>249</v>
      </c>
      <c r="C1366">
        <v>2017</v>
      </c>
      <c r="D1366">
        <v>16.100000000000001</v>
      </c>
      <c r="E1366">
        <v>16.3</v>
      </c>
      <c r="F1366" t="str">
        <f t="shared" si="21"/>
        <v>solar pv</v>
      </c>
    </row>
    <row r="1367" spans="1:6" x14ac:dyDescent="0.25">
      <c r="A1367" t="s">
        <v>138</v>
      </c>
      <c r="B1367" t="s">
        <v>249</v>
      </c>
      <c r="C1367">
        <v>2019</v>
      </c>
      <c r="D1367">
        <v>1.7</v>
      </c>
      <c r="E1367">
        <v>2.1</v>
      </c>
      <c r="F1367" t="str">
        <f t="shared" si="21"/>
        <v>solar pv</v>
      </c>
    </row>
    <row r="1368" spans="1:6" x14ac:dyDescent="0.25">
      <c r="A1368" t="s">
        <v>138</v>
      </c>
      <c r="B1368" t="s">
        <v>249</v>
      </c>
      <c r="C1368">
        <v>2022</v>
      </c>
      <c r="D1368">
        <v>50</v>
      </c>
      <c r="E1368">
        <v>50</v>
      </c>
      <c r="F1368" t="str">
        <f t="shared" si="21"/>
        <v>solar pv</v>
      </c>
    </row>
    <row r="1369" spans="1:6" x14ac:dyDescent="0.25">
      <c r="A1369" t="s">
        <v>138</v>
      </c>
      <c r="B1369" t="s">
        <v>249</v>
      </c>
      <c r="C1369">
        <v>2023</v>
      </c>
      <c r="D1369">
        <v>4.5</v>
      </c>
      <c r="E1369">
        <v>4.5</v>
      </c>
      <c r="F1369" t="str">
        <f t="shared" si="21"/>
        <v>solar pv</v>
      </c>
    </row>
    <row r="1370" spans="1:6" x14ac:dyDescent="0.25">
      <c r="A1370" t="s">
        <v>138</v>
      </c>
      <c r="B1370" t="s">
        <v>249</v>
      </c>
      <c r="C1370">
        <v>2024</v>
      </c>
      <c r="D1370">
        <v>343.8</v>
      </c>
      <c r="E1370">
        <v>343.8</v>
      </c>
      <c r="F1370" t="str">
        <f t="shared" si="21"/>
        <v>solar pv</v>
      </c>
    </row>
    <row r="1371" spans="1:6" x14ac:dyDescent="0.25">
      <c r="A1371" t="s">
        <v>138</v>
      </c>
      <c r="B1371" t="s">
        <v>249</v>
      </c>
      <c r="C1371">
        <v>2025</v>
      </c>
      <c r="D1371">
        <v>710</v>
      </c>
      <c r="E1371">
        <v>710</v>
      </c>
      <c r="F1371" t="str">
        <f t="shared" si="21"/>
        <v>solar pv</v>
      </c>
    </row>
    <row r="1372" spans="1:6" x14ac:dyDescent="0.25">
      <c r="A1372" t="s">
        <v>140</v>
      </c>
      <c r="B1372" t="s">
        <v>90</v>
      </c>
      <c r="C1372">
        <v>1995</v>
      </c>
      <c r="D1372">
        <v>1.3</v>
      </c>
      <c r="E1372">
        <v>1.5</v>
      </c>
      <c r="F1372" t="str">
        <f t="shared" si="21"/>
        <v>biomass</v>
      </c>
    </row>
    <row r="1373" spans="1:6" x14ac:dyDescent="0.25">
      <c r="A1373" t="s">
        <v>140</v>
      </c>
      <c r="B1373" t="s">
        <v>90</v>
      </c>
      <c r="C1373">
        <v>1999</v>
      </c>
      <c r="D1373">
        <v>34.4</v>
      </c>
      <c r="E1373">
        <v>37</v>
      </c>
      <c r="F1373" t="str">
        <f t="shared" si="21"/>
        <v>biomass</v>
      </c>
    </row>
    <row r="1374" spans="1:6" x14ac:dyDescent="0.25">
      <c r="A1374" t="s">
        <v>140</v>
      </c>
      <c r="B1374" t="s">
        <v>90</v>
      </c>
      <c r="C1374">
        <v>2008</v>
      </c>
      <c r="D1374">
        <v>55</v>
      </c>
      <c r="E1374">
        <v>78.8</v>
      </c>
      <c r="F1374" t="str">
        <f t="shared" si="21"/>
        <v>biomass</v>
      </c>
    </row>
    <row r="1375" spans="1:6" x14ac:dyDescent="0.25">
      <c r="A1375" t="s">
        <v>140</v>
      </c>
      <c r="B1375" t="s">
        <v>86</v>
      </c>
      <c r="C1375">
        <v>1990</v>
      </c>
      <c r="D1375">
        <v>192</v>
      </c>
      <c r="E1375">
        <v>192</v>
      </c>
      <c r="F1375" t="str">
        <f t="shared" si="21"/>
        <v>hydro</v>
      </c>
    </row>
    <row r="1376" spans="1:6" x14ac:dyDescent="0.25">
      <c r="A1376" t="s">
        <v>140</v>
      </c>
      <c r="B1376" t="s">
        <v>84</v>
      </c>
      <c r="C1376">
        <v>1996</v>
      </c>
      <c r="D1376">
        <v>100</v>
      </c>
      <c r="E1376">
        <v>125.8</v>
      </c>
      <c r="F1376" t="str">
        <f t="shared" si="21"/>
        <v>natural gas combined cycle</v>
      </c>
    </row>
    <row r="1377" spans="1:6" x14ac:dyDescent="0.25">
      <c r="A1377" t="s">
        <v>140</v>
      </c>
      <c r="B1377" t="s">
        <v>84</v>
      </c>
      <c r="C1377">
        <v>1997</v>
      </c>
      <c r="D1377">
        <v>120</v>
      </c>
      <c r="E1377">
        <v>147.80000000000001</v>
      </c>
      <c r="F1377" t="str">
        <f t="shared" si="21"/>
        <v>natural gas combined cycle</v>
      </c>
    </row>
    <row r="1378" spans="1:6" x14ac:dyDescent="0.25">
      <c r="A1378" t="s">
        <v>140</v>
      </c>
      <c r="B1378" t="s">
        <v>84</v>
      </c>
      <c r="C1378">
        <v>2000</v>
      </c>
      <c r="D1378">
        <v>438.7</v>
      </c>
      <c r="E1378">
        <v>566.1</v>
      </c>
      <c r="F1378" t="str">
        <f t="shared" si="21"/>
        <v>natural gas combined cycle</v>
      </c>
    </row>
    <row r="1379" spans="1:6" x14ac:dyDescent="0.25">
      <c r="A1379" t="s">
        <v>140</v>
      </c>
      <c r="B1379" t="s">
        <v>84</v>
      </c>
      <c r="C1379">
        <v>2002</v>
      </c>
      <c r="D1379">
        <v>4506.8</v>
      </c>
      <c r="E1379">
        <v>4368.2</v>
      </c>
      <c r="F1379" t="str">
        <f t="shared" si="21"/>
        <v>natural gas combined cycle</v>
      </c>
    </row>
    <row r="1380" spans="1:6" x14ac:dyDescent="0.25">
      <c r="A1380" t="s">
        <v>140</v>
      </c>
      <c r="B1380" t="s">
        <v>84</v>
      </c>
      <c r="C1380">
        <v>2003</v>
      </c>
      <c r="D1380">
        <v>521</v>
      </c>
      <c r="E1380">
        <v>555</v>
      </c>
      <c r="F1380" t="str">
        <f t="shared" si="21"/>
        <v>natural gas combined cycle</v>
      </c>
    </row>
    <row r="1381" spans="1:6" x14ac:dyDescent="0.25">
      <c r="A1381" t="s">
        <v>140</v>
      </c>
      <c r="B1381" t="s">
        <v>84</v>
      </c>
      <c r="C1381">
        <v>2004</v>
      </c>
      <c r="D1381">
        <v>793</v>
      </c>
      <c r="E1381">
        <v>987</v>
      </c>
      <c r="F1381" t="str">
        <f t="shared" si="21"/>
        <v>natural gas combined cycle</v>
      </c>
    </row>
    <row r="1382" spans="1:6" x14ac:dyDescent="0.25">
      <c r="A1382" t="s">
        <v>140</v>
      </c>
      <c r="B1382" t="s">
        <v>84</v>
      </c>
      <c r="C1382">
        <v>2010</v>
      </c>
      <c r="D1382">
        <v>511</v>
      </c>
      <c r="E1382">
        <v>624</v>
      </c>
      <c r="F1382" t="str">
        <f t="shared" si="21"/>
        <v>natural gas combined cycle</v>
      </c>
    </row>
    <row r="1383" spans="1:6" x14ac:dyDescent="0.25">
      <c r="A1383" t="s">
        <v>140</v>
      </c>
      <c r="B1383" t="s">
        <v>84</v>
      </c>
      <c r="C1383">
        <v>2014</v>
      </c>
      <c r="D1383">
        <v>896</v>
      </c>
      <c r="E1383">
        <v>649.5</v>
      </c>
      <c r="F1383" t="str">
        <f t="shared" si="21"/>
        <v>natural gas combined cycle</v>
      </c>
    </row>
    <row r="1384" spans="1:6" x14ac:dyDescent="0.25">
      <c r="A1384" t="s">
        <v>140</v>
      </c>
      <c r="B1384" t="s">
        <v>84</v>
      </c>
      <c r="C1384">
        <v>2016</v>
      </c>
      <c r="D1384">
        <v>64</v>
      </c>
      <c r="E1384">
        <v>74.099999999999994</v>
      </c>
      <c r="F1384" t="str">
        <f t="shared" si="21"/>
        <v>natural gas combined cycle</v>
      </c>
    </row>
    <row r="1385" spans="1:6" x14ac:dyDescent="0.25">
      <c r="A1385" t="s">
        <v>140</v>
      </c>
      <c r="B1385" t="s">
        <v>84</v>
      </c>
      <c r="C1385">
        <v>2019</v>
      </c>
      <c r="D1385">
        <v>1000</v>
      </c>
      <c r="E1385">
        <v>1000</v>
      </c>
      <c r="F1385" t="str">
        <f t="shared" si="21"/>
        <v>natural gas combined cycle</v>
      </c>
    </row>
    <row r="1386" spans="1:6" x14ac:dyDescent="0.25">
      <c r="A1386" t="s">
        <v>140</v>
      </c>
      <c r="B1386" t="s">
        <v>84</v>
      </c>
      <c r="C1386">
        <v>2020</v>
      </c>
      <c r="D1386">
        <v>1000</v>
      </c>
      <c r="E1386">
        <v>1000</v>
      </c>
      <c r="F1386" t="str">
        <f t="shared" si="21"/>
        <v>natural gas combined cycle</v>
      </c>
    </row>
    <row r="1387" spans="1:6" x14ac:dyDescent="0.25">
      <c r="A1387" t="s">
        <v>140</v>
      </c>
      <c r="B1387" t="s">
        <v>84</v>
      </c>
      <c r="C1387">
        <v>2024</v>
      </c>
      <c r="D1387">
        <v>97.8</v>
      </c>
      <c r="E1387">
        <v>97.8</v>
      </c>
      <c r="F1387" t="str">
        <f t="shared" si="21"/>
        <v>natural gas combined cycle</v>
      </c>
    </row>
    <row r="1388" spans="1:6" x14ac:dyDescent="0.25">
      <c r="A1388" t="s">
        <v>140</v>
      </c>
      <c r="B1388" t="s">
        <v>84</v>
      </c>
      <c r="C1388">
        <v>2025</v>
      </c>
      <c r="D1388">
        <v>678.7</v>
      </c>
      <c r="E1388">
        <v>722.9</v>
      </c>
      <c r="F1388" t="str">
        <f t="shared" si="21"/>
        <v>natural gas combined cycle</v>
      </c>
    </row>
    <row r="1389" spans="1:6" x14ac:dyDescent="0.25">
      <c r="A1389" t="s">
        <v>140</v>
      </c>
      <c r="B1389" t="s">
        <v>93</v>
      </c>
      <c r="C1389">
        <v>1990</v>
      </c>
      <c r="D1389">
        <v>120.5</v>
      </c>
      <c r="E1389">
        <v>130.9</v>
      </c>
      <c r="F1389" t="str">
        <f t="shared" si="21"/>
        <v>natural gas peaker</v>
      </c>
    </row>
    <row r="1390" spans="1:6" x14ac:dyDescent="0.25">
      <c r="A1390" t="s">
        <v>140</v>
      </c>
      <c r="B1390" t="s">
        <v>93</v>
      </c>
      <c r="C1390">
        <v>1995</v>
      </c>
      <c r="D1390">
        <v>29.5</v>
      </c>
      <c r="E1390">
        <v>25</v>
      </c>
      <c r="F1390" t="str">
        <f t="shared" si="21"/>
        <v>natural gas peaker</v>
      </c>
    </row>
    <row r="1391" spans="1:6" x14ac:dyDescent="0.25">
      <c r="A1391" t="s">
        <v>140</v>
      </c>
      <c r="B1391" t="s">
        <v>93</v>
      </c>
      <c r="C1391">
        <v>1996</v>
      </c>
      <c r="D1391">
        <v>33</v>
      </c>
      <c r="E1391">
        <v>38.799999999999997</v>
      </c>
      <c r="F1391" t="str">
        <f t="shared" si="21"/>
        <v>natural gas peaker</v>
      </c>
    </row>
    <row r="1392" spans="1:6" x14ac:dyDescent="0.25">
      <c r="A1392" t="s">
        <v>140</v>
      </c>
      <c r="B1392" t="s">
        <v>93</v>
      </c>
      <c r="C1392">
        <v>1997</v>
      </c>
      <c r="D1392">
        <v>225.7</v>
      </c>
      <c r="E1392">
        <v>306.7</v>
      </c>
      <c r="F1392" t="str">
        <f t="shared" si="21"/>
        <v>natural gas peaker</v>
      </c>
    </row>
    <row r="1393" spans="1:6" x14ac:dyDescent="0.25">
      <c r="A1393" t="s">
        <v>140</v>
      </c>
      <c r="B1393" t="s">
        <v>93</v>
      </c>
      <c r="C1393">
        <v>1998</v>
      </c>
      <c r="D1393">
        <v>39.200000000000003</v>
      </c>
      <c r="E1393">
        <v>41.2</v>
      </c>
      <c r="F1393" t="str">
        <f t="shared" si="21"/>
        <v>natural gas peaker</v>
      </c>
    </row>
    <row r="1394" spans="1:6" x14ac:dyDescent="0.25">
      <c r="A1394" t="s">
        <v>140</v>
      </c>
      <c r="B1394" t="s">
        <v>93</v>
      </c>
      <c r="C1394">
        <v>1999</v>
      </c>
      <c r="D1394">
        <v>176.6</v>
      </c>
      <c r="E1394">
        <v>196.8</v>
      </c>
      <c r="F1394" t="str">
        <f t="shared" si="21"/>
        <v>natural gas peaker</v>
      </c>
    </row>
    <row r="1395" spans="1:6" x14ac:dyDescent="0.25">
      <c r="A1395" t="s">
        <v>140</v>
      </c>
      <c r="B1395" t="s">
        <v>93</v>
      </c>
      <c r="C1395">
        <v>2000</v>
      </c>
      <c r="D1395">
        <v>215.9</v>
      </c>
      <c r="E1395">
        <v>258.2</v>
      </c>
      <c r="F1395" t="str">
        <f t="shared" si="21"/>
        <v>natural gas peaker</v>
      </c>
    </row>
    <row r="1396" spans="1:6" x14ac:dyDescent="0.25">
      <c r="A1396" t="s">
        <v>140</v>
      </c>
      <c r="B1396" t="s">
        <v>93</v>
      </c>
      <c r="C1396">
        <v>2001</v>
      </c>
      <c r="D1396">
        <v>511.1</v>
      </c>
      <c r="E1396">
        <v>636.79999999999995</v>
      </c>
      <c r="F1396" t="str">
        <f t="shared" si="21"/>
        <v>natural gas peaker</v>
      </c>
    </row>
    <row r="1397" spans="1:6" x14ac:dyDescent="0.25">
      <c r="A1397" t="s">
        <v>140</v>
      </c>
      <c r="B1397" t="s">
        <v>93</v>
      </c>
      <c r="C1397">
        <v>2002</v>
      </c>
      <c r="D1397">
        <v>358.8</v>
      </c>
      <c r="E1397">
        <v>496</v>
      </c>
      <c r="F1397" t="str">
        <f t="shared" si="21"/>
        <v>natural gas peaker</v>
      </c>
    </row>
    <row r="1398" spans="1:6" x14ac:dyDescent="0.25">
      <c r="A1398" t="s">
        <v>140</v>
      </c>
      <c r="B1398" t="s">
        <v>93</v>
      </c>
      <c r="C1398">
        <v>2004</v>
      </c>
      <c r="D1398">
        <v>27</v>
      </c>
      <c r="E1398">
        <v>27.1</v>
      </c>
      <c r="F1398" t="str">
        <f t="shared" si="21"/>
        <v>natural gas peaker</v>
      </c>
    </row>
    <row r="1399" spans="1:6" x14ac:dyDescent="0.25">
      <c r="A1399" t="s">
        <v>140</v>
      </c>
      <c r="B1399" t="s">
        <v>93</v>
      </c>
      <c r="C1399">
        <v>2005</v>
      </c>
      <c r="D1399">
        <v>95.5</v>
      </c>
      <c r="E1399">
        <v>100.8</v>
      </c>
      <c r="F1399" t="str">
        <f t="shared" si="21"/>
        <v>natural gas peaker</v>
      </c>
    </row>
    <row r="1400" spans="1:6" x14ac:dyDescent="0.25">
      <c r="A1400" t="s">
        <v>140</v>
      </c>
      <c r="B1400" t="s">
        <v>93</v>
      </c>
      <c r="C1400">
        <v>2006</v>
      </c>
      <c r="D1400">
        <v>95.1</v>
      </c>
      <c r="E1400">
        <v>100.8</v>
      </c>
      <c r="F1400" t="str">
        <f t="shared" si="21"/>
        <v>natural gas peaker</v>
      </c>
    </row>
    <row r="1401" spans="1:6" x14ac:dyDescent="0.25">
      <c r="A1401" t="s">
        <v>140</v>
      </c>
      <c r="B1401" t="s">
        <v>93</v>
      </c>
      <c r="C1401">
        <v>2011</v>
      </c>
      <c r="D1401">
        <v>64.099999999999994</v>
      </c>
      <c r="E1401">
        <v>73.3</v>
      </c>
      <c r="F1401" t="str">
        <f t="shared" si="21"/>
        <v>natural gas peaker</v>
      </c>
    </row>
    <row r="1402" spans="1:6" x14ac:dyDescent="0.25">
      <c r="A1402" t="s">
        <v>140</v>
      </c>
      <c r="B1402" t="s">
        <v>93</v>
      </c>
      <c r="C1402">
        <v>2016</v>
      </c>
      <c r="D1402">
        <v>92.2</v>
      </c>
      <c r="E1402">
        <v>104.3</v>
      </c>
      <c r="F1402" t="str">
        <f t="shared" si="21"/>
        <v>natural gas peaker</v>
      </c>
    </row>
    <row r="1403" spans="1:6" x14ac:dyDescent="0.25">
      <c r="A1403" t="s">
        <v>140</v>
      </c>
      <c r="B1403" t="s">
        <v>93</v>
      </c>
      <c r="C1403">
        <v>2019</v>
      </c>
      <c r="D1403">
        <v>45</v>
      </c>
      <c r="E1403">
        <v>62</v>
      </c>
      <c r="F1403" t="str">
        <f t="shared" si="21"/>
        <v>natural gas peaker</v>
      </c>
    </row>
    <row r="1404" spans="1:6" x14ac:dyDescent="0.25">
      <c r="A1404" t="s">
        <v>140</v>
      </c>
      <c r="B1404" t="s">
        <v>93</v>
      </c>
      <c r="C1404">
        <v>2020</v>
      </c>
      <c r="D1404">
        <v>501.5</v>
      </c>
      <c r="E1404">
        <v>531.20000000000005</v>
      </c>
      <c r="F1404" t="str">
        <f t="shared" si="21"/>
        <v>natural gas peaker</v>
      </c>
    </row>
    <row r="1405" spans="1:6" x14ac:dyDescent="0.25">
      <c r="A1405" t="s">
        <v>140</v>
      </c>
      <c r="B1405" t="s">
        <v>83</v>
      </c>
      <c r="C1405">
        <v>1990</v>
      </c>
      <c r="D1405">
        <v>8</v>
      </c>
      <c r="E1405">
        <v>12</v>
      </c>
      <c r="F1405" t="str">
        <f t="shared" si="21"/>
        <v>natural gas steam turbine</v>
      </c>
    </row>
    <row r="1406" spans="1:6" x14ac:dyDescent="0.25">
      <c r="A1406" t="s">
        <v>140</v>
      </c>
      <c r="B1406" t="s">
        <v>83</v>
      </c>
      <c r="C1406">
        <v>1995</v>
      </c>
      <c r="D1406">
        <v>4</v>
      </c>
      <c r="E1406">
        <v>7.8</v>
      </c>
      <c r="F1406" t="str">
        <f t="shared" si="21"/>
        <v>natural gas steam turbine</v>
      </c>
    </row>
    <row r="1407" spans="1:6" x14ac:dyDescent="0.25">
      <c r="A1407" t="s">
        <v>140</v>
      </c>
      <c r="B1407" t="s">
        <v>83</v>
      </c>
      <c r="C1407">
        <v>1997</v>
      </c>
      <c r="D1407">
        <v>0.6</v>
      </c>
      <c r="E1407">
        <v>0.6</v>
      </c>
      <c r="F1407" t="str">
        <f t="shared" si="21"/>
        <v>natural gas steam turbine</v>
      </c>
    </row>
    <row r="1408" spans="1:6" x14ac:dyDescent="0.25">
      <c r="A1408" t="s">
        <v>140</v>
      </c>
      <c r="B1408" t="s">
        <v>83</v>
      </c>
      <c r="C1408">
        <v>2003</v>
      </c>
      <c r="D1408">
        <v>2.2999999999999998</v>
      </c>
      <c r="E1408">
        <v>5</v>
      </c>
      <c r="F1408" t="str">
        <f t="shared" si="21"/>
        <v>natural gas steam turbine</v>
      </c>
    </row>
    <row r="1409" spans="1:6" x14ac:dyDescent="0.25">
      <c r="A1409" t="s">
        <v>140</v>
      </c>
      <c r="B1409" t="s">
        <v>83</v>
      </c>
      <c r="C1409">
        <v>2005</v>
      </c>
      <c r="D1409">
        <v>7.2</v>
      </c>
      <c r="E1409">
        <v>7.2</v>
      </c>
      <c r="F1409" t="str">
        <f t="shared" si="21"/>
        <v>natural gas steam turbine</v>
      </c>
    </row>
    <row r="1410" spans="1:6" x14ac:dyDescent="0.25">
      <c r="A1410" t="s">
        <v>140</v>
      </c>
      <c r="B1410" t="s">
        <v>83</v>
      </c>
      <c r="C1410">
        <v>2024</v>
      </c>
      <c r="D1410">
        <v>4.2</v>
      </c>
      <c r="E1410">
        <v>4.7</v>
      </c>
      <c r="F1410" t="str">
        <f t="shared" ref="F1410:F1473" si="22">LOWER($B1410)</f>
        <v>natural gas steam turbine</v>
      </c>
    </row>
    <row r="1411" spans="1:6" x14ac:dyDescent="0.25">
      <c r="A1411" t="s">
        <v>140</v>
      </c>
      <c r="B1411" t="s">
        <v>92</v>
      </c>
      <c r="C1411">
        <v>2009</v>
      </c>
      <c r="D1411">
        <v>32.1</v>
      </c>
      <c r="E1411">
        <v>41</v>
      </c>
      <c r="F1411" t="str">
        <f t="shared" si="22"/>
        <v>petroleum</v>
      </c>
    </row>
    <row r="1412" spans="1:6" x14ac:dyDescent="0.25">
      <c r="A1412" t="s">
        <v>140</v>
      </c>
      <c r="B1412" t="s">
        <v>92</v>
      </c>
      <c r="C1412">
        <v>2010</v>
      </c>
      <c r="D1412">
        <v>636</v>
      </c>
      <c r="E1412">
        <v>705.8</v>
      </c>
      <c r="F1412" t="str">
        <f t="shared" si="22"/>
        <v>petroleum</v>
      </c>
    </row>
    <row r="1413" spans="1:6" x14ac:dyDescent="0.25">
      <c r="A1413" t="s">
        <v>140</v>
      </c>
      <c r="B1413" t="s">
        <v>92</v>
      </c>
      <c r="C1413">
        <v>2014</v>
      </c>
      <c r="D1413">
        <v>1.8</v>
      </c>
      <c r="E1413">
        <v>2</v>
      </c>
      <c r="F1413" t="str">
        <f t="shared" si="22"/>
        <v>petroleum</v>
      </c>
    </row>
    <row r="1414" spans="1:6" x14ac:dyDescent="0.25">
      <c r="A1414" t="s">
        <v>140</v>
      </c>
      <c r="B1414" t="s">
        <v>249</v>
      </c>
      <c r="C1414">
        <v>2016</v>
      </c>
      <c r="D1414">
        <v>1.1000000000000001</v>
      </c>
      <c r="E1414">
        <v>1.1000000000000001</v>
      </c>
      <c r="F1414" t="str">
        <f t="shared" si="22"/>
        <v>solar pv</v>
      </c>
    </row>
    <row r="1415" spans="1:6" x14ac:dyDescent="0.25">
      <c r="A1415" t="s">
        <v>140</v>
      </c>
      <c r="B1415" t="s">
        <v>249</v>
      </c>
      <c r="C1415">
        <v>2019</v>
      </c>
      <c r="D1415">
        <v>23.4</v>
      </c>
      <c r="E1415">
        <v>23.4</v>
      </c>
      <c r="F1415" t="str">
        <f t="shared" si="22"/>
        <v>solar pv</v>
      </c>
    </row>
    <row r="1416" spans="1:6" x14ac:dyDescent="0.25">
      <c r="A1416" t="s">
        <v>140</v>
      </c>
      <c r="B1416" t="s">
        <v>249</v>
      </c>
      <c r="C1416">
        <v>2020</v>
      </c>
      <c r="D1416">
        <v>50</v>
      </c>
      <c r="E1416">
        <v>50</v>
      </c>
      <c r="F1416" t="str">
        <f t="shared" si="22"/>
        <v>solar pv</v>
      </c>
    </row>
    <row r="1417" spans="1:6" x14ac:dyDescent="0.25">
      <c r="A1417" t="s">
        <v>140</v>
      </c>
      <c r="B1417" t="s">
        <v>249</v>
      </c>
      <c r="C1417">
        <v>2022</v>
      </c>
      <c r="D1417">
        <v>50</v>
      </c>
      <c r="E1417">
        <v>50</v>
      </c>
      <c r="F1417" t="str">
        <f t="shared" si="22"/>
        <v>solar pv</v>
      </c>
    </row>
    <row r="1418" spans="1:6" x14ac:dyDescent="0.25">
      <c r="A1418" t="s">
        <v>140</v>
      </c>
      <c r="B1418" t="s">
        <v>249</v>
      </c>
      <c r="C1418">
        <v>2023</v>
      </c>
      <c r="D1418">
        <v>220</v>
      </c>
      <c r="E1418">
        <v>220</v>
      </c>
      <c r="F1418" t="str">
        <f t="shared" si="22"/>
        <v>solar pv</v>
      </c>
    </row>
    <row r="1419" spans="1:6" x14ac:dyDescent="0.25">
      <c r="A1419" t="s">
        <v>140</v>
      </c>
      <c r="B1419" t="s">
        <v>249</v>
      </c>
      <c r="C1419">
        <v>2024</v>
      </c>
      <c r="D1419">
        <v>708.1</v>
      </c>
      <c r="E1419">
        <v>725.9</v>
      </c>
      <c r="F1419" t="str">
        <f t="shared" si="22"/>
        <v>solar pv</v>
      </c>
    </row>
    <row r="1420" spans="1:6" x14ac:dyDescent="0.25">
      <c r="A1420" t="s">
        <v>140</v>
      </c>
      <c r="B1420" t="s">
        <v>249</v>
      </c>
      <c r="C1420">
        <v>2025</v>
      </c>
      <c r="D1420">
        <v>282</v>
      </c>
      <c r="E1420">
        <v>282</v>
      </c>
      <c r="F1420" t="str">
        <f t="shared" si="22"/>
        <v>solar pv</v>
      </c>
    </row>
    <row r="1421" spans="1:6" x14ac:dyDescent="0.25">
      <c r="A1421" t="s">
        <v>142</v>
      </c>
      <c r="B1421" t="s">
        <v>90</v>
      </c>
      <c r="C1421">
        <v>1992</v>
      </c>
      <c r="D1421">
        <v>14.9</v>
      </c>
      <c r="E1421">
        <v>18</v>
      </c>
      <c r="F1421" t="str">
        <f t="shared" si="22"/>
        <v>biomass</v>
      </c>
    </row>
    <row r="1422" spans="1:6" x14ac:dyDescent="0.25">
      <c r="A1422" t="s">
        <v>142</v>
      </c>
      <c r="B1422" t="s">
        <v>90</v>
      </c>
      <c r="C1422">
        <v>1993</v>
      </c>
      <c r="D1422">
        <v>1.8</v>
      </c>
      <c r="E1422">
        <v>2</v>
      </c>
      <c r="F1422" t="str">
        <f t="shared" si="22"/>
        <v>biomass</v>
      </c>
    </row>
    <row r="1423" spans="1:6" x14ac:dyDescent="0.25">
      <c r="A1423" t="s">
        <v>142</v>
      </c>
      <c r="B1423" t="s">
        <v>90</v>
      </c>
      <c r="C1423">
        <v>1997</v>
      </c>
      <c r="D1423">
        <v>10.1</v>
      </c>
      <c r="E1423">
        <v>11</v>
      </c>
      <c r="F1423" t="str">
        <f t="shared" si="22"/>
        <v>biomass</v>
      </c>
    </row>
    <row r="1424" spans="1:6" x14ac:dyDescent="0.25">
      <c r="A1424" t="s">
        <v>142</v>
      </c>
      <c r="B1424" t="s">
        <v>90</v>
      </c>
      <c r="C1424">
        <v>1998</v>
      </c>
      <c r="D1424">
        <v>9</v>
      </c>
      <c r="E1424">
        <v>17.5</v>
      </c>
      <c r="F1424" t="str">
        <f t="shared" si="22"/>
        <v>biomass</v>
      </c>
    </row>
    <row r="1425" spans="1:6" x14ac:dyDescent="0.25">
      <c r="A1425" t="s">
        <v>142</v>
      </c>
      <c r="B1425" t="s">
        <v>90</v>
      </c>
      <c r="C1425">
        <v>2000</v>
      </c>
      <c r="D1425">
        <v>8.9</v>
      </c>
      <c r="E1425">
        <v>10.3</v>
      </c>
      <c r="F1425" t="str">
        <f t="shared" si="22"/>
        <v>biomass</v>
      </c>
    </row>
    <row r="1426" spans="1:6" x14ac:dyDescent="0.25">
      <c r="A1426" t="s">
        <v>142</v>
      </c>
      <c r="B1426" t="s">
        <v>90</v>
      </c>
      <c r="C1426">
        <v>2001</v>
      </c>
      <c r="D1426">
        <v>2.8</v>
      </c>
      <c r="E1426">
        <v>3.2</v>
      </c>
      <c r="F1426" t="str">
        <f t="shared" si="22"/>
        <v>biomass</v>
      </c>
    </row>
    <row r="1427" spans="1:6" x14ac:dyDescent="0.25">
      <c r="A1427" t="s">
        <v>142</v>
      </c>
      <c r="B1427" t="s">
        <v>90</v>
      </c>
      <c r="C1427">
        <v>2004</v>
      </c>
      <c r="D1427">
        <v>5.7</v>
      </c>
      <c r="E1427">
        <v>5.7</v>
      </c>
      <c r="F1427" t="str">
        <f t="shared" si="22"/>
        <v>biomass</v>
      </c>
    </row>
    <row r="1428" spans="1:6" x14ac:dyDescent="0.25">
      <c r="A1428" t="s">
        <v>142</v>
      </c>
      <c r="B1428" t="s">
        <v>90</v>
      </c>
      <c r="C1428">
        <v>2005</v>
      </c>
      <c r="D1428">
        <v>3.2</v>
      </c>
      <c r="E1428">
        <v>3.3</v>
      </c>
      <c r="F1428" t="str">
        <f t="shared" si="22"/>
        <v>biomass</v>
      </c>
    </row>
    <row r="1429" spans="1:6" x14ac:dyDescent="0.25">
      <c r="A1429" t="s">
        <v>142</v>
      </c>
      <c r="B1429" t="s">
        <v>90</v>
      </c>
      <c r="C1429">
        <v>2007</v>
      </c>
      <c r="D1429">
        <v>3.2</v>
      </c>
      <c r="E1429">
        <v>3.2</v>
      </c>
      <c r="F1429" t="str">
        <f t="shared" si="22"/>
        <v>biomass</v>
      </c>
    </row>
    <row r="1430" spans="1:6" x14ac:dyDescent="0.25">
      <c r="A1430" t="s">
        <v>142</v>
      </c>
      <c r="B1430" t="s">
        <v>90</v>
      </c>
      <c r="C1430">
        <v>2009</v>
      </c>
      <c r="D1430">
        <v>1.6</v>
      </c>
      <c r="E1430">
        <v>1.6</v>
      </c>
      <c r="F1430" t="str">
        <f t="shared" si="22"/>
        <v>biomass</v>
      </c>
    </row>
    <row r="1431" spans="1:6" x14ac:dyDescent="0.25">
      <c r="A1431" t="s">
        <v>142</v>
      </c>
      <c r="B1431" t="s">
        <v>90</v>
      </c>
      <c r="C1431">
        <v>2010</v>
      </c>
      <c r="D1431">
        <v>2</v>
      </c>
      <c r="E1431">
        <v>2.1</v>
      </c>
      <c r="F1431" t="str">
        <f t="shared" si="22"/>
        <v>biomass</v>
      </c>
    </row>
    <row r="1432" spans="1:6" x14ac:dyDescent="0.25">
      <c r="A1432" t="s">
        <v>142</v>
      </c>
      <c r="B1432" t="s">
        <v>90</v>
      </c>
      <c r="C1432">
        <v>2011</v>
      </c>
      <c r="D1432">
        <v>3.3</v>
      </c>
      <c r="E1432">
        <v>3.4</v>
      </c>
      <c r="F1432" t="str">
        <f t="shared" si="22"/>
        <v>biomass</v>
      </c>
    </row>
    <row r="1433" spans="1:6" x14ac:dyDescent="0.25">
      <c r="A1433" t="s">
        <v>142</v>
      </c>
      <c r="B1433" t="s">
        <v>86</v>
      </c>
      <c r="C1433">
        <v>1995</v>
      </c>
      <c r="D1433">
        <v>0.9</v>
      </c>
      <c r="E1433">
        <v>0.9</v>
      </c>
      <c r="F1433" t="str">
        <f t="shared" si="22"/>
        <v>hydro</v>
      </c>
    </row>
    <row r="1434" spans="1:6" x14ac:dyDescent="0.25">
      <c r="A1434" t="s">
        <v>142</v>
      </c>
      <c r="B1434" t="s">
        <v>86</v>
      </c>
      <c r="C1434">
        <v>1999</v>
      </c>
      <c r="D1434">
        <v>0.3</v>
      </c>
      <c r="E1434">
        <v>0.3</v>
      </c>
      <c r="F1434" t="str">
        <f t="shared" si="22"/>
        <v>hydro</v>
      </c>
    </row>
    <row r="1435" spans="1:6" x14ac:dyDescent="0.25">
      <c r="A1435" t="s">
        <v>142</v>
      </c>
      <c r="B1435" t="s">
        <v>86</v>
      </c>
      <c r="C1435">
        <v>2001</v>
      </c>
      <c r="D1435">
        <v>2</v>
      </c>
      <c r="E1435">
        <v>2</v>
      </c>
      <c r="F1435" t="str">
        <f t="shared" si="22"/>
        <v>hydro</v>
      </c>
    </row>
    <row r="1436" spans="1:6" x14ac:dyDescent="0.25">
      <c r="A1436" t="s">
        <v>142</v>
      </c>
      <c r="B1436" t="s">
        <v>86</v>
      </c>
      <c r="C1436">
        <v>2006</v>
      </c>
      <c r="D1436">
        <v>0.6</v>
      </c>
      <c r="E1436">
        <v>0.6</v>
      </c>
      <c r="F1436" t="str">
        <f t="shared" si="22"/>
        <v>hydro</v>
      </c>
    </row>
    <row r="1437" spans="1:6" x14ac:dyDescent="0.25">
      <c r="A1437" t="s">
        <v>142</v>
      </c>
      <c r="B1437" t="s">
        <v>86</v>
      </c>
      <c r="C1437">
        <v>2014</v>
      </c>
      <c r="D1437">
        <v>0.2</v>
      </c>
      <c r="E1437">
        <v>0.2</v>
      </c>
      <c r="F1437" t="str">
        <f t="shared" si="22"/>
        <v>hydro</v>
      </c>
    </row>
    <row r="1438" spans="1:6" x14ac:dyDescent="0.25">
      <c r="A1438" t="s">
        <v>142</v>
      </c>
      <c r="B1438" t="s">
        <v>98</v>
      </c>
      <c r="C1438">
        <v>1993</v>
      </c>
      <c r="D1438">
        <v>26.7</v>
      </c>
      <c r="E1438">
        <v>34</v>
      </c>
      <c r="F1438" t="str">
        <f t="shared" si="22"/>
        <v>municipal solid waste</v>
      </c>
    </row>
    <row r="1439" spans="1:6" x14ac:dyDescent="0.25">
      <c r="A1439" t="s">
        <v>142</v>
      </c>
      <c r="B1439" t="s">
        <v>84</v>
      </c>
      <c r="C1439">
        <v>1990</v>
      </c>
      <c r="D1439">
        <v>157.69999999999999</v>
      </c>
      <c r="E1439">
        <v>175.5</v>
      </c>
      <c r="F1439" t="str">
        <f t="shared" si="22"/>
        <v>natural gas combined cycle</v>
      </c>
    </row>
    <row r="1440" spans="1:6" x14ac:dyDescent="0.25">
      <c r="A1440" t="s">
        <v>142</v>
      </c>
      <c r="B1440" t="s">
        <v>84</v>
      </c>
      <c r="C1440">
        <v>1991</v>
      </c>
      <c r="D1440">
        <v>264</v>
      </c>
      <c r="E1440">
        <v>386.1</v>
      </c>
      <c r="F1440" t="str">
        <f t="shared" si="22"/>
        <v>natural gas combined cycle</v>
      </c>
    </row>
    <row r="1441" spans="1:6" x14ac:dyDescent="0.25">
      <c r="A1441" t="s">
        <v>142</v>
      </c>
      <c r="B1441" t="s">
        <v>84</v>
      </c>
      <c r="C1441">
        <v>1992</v>
      </c>
      <c r="D1441">
        <v>94.3</v>
      </c>
      <c r="E1441">
        <v>74.099999999999994</v>
      </c>
      <c r="F1441" t="str">
        <f t="shared" si="22"/>
        <v>natural gas combined cycle</v>
      </c>
    </row>
    <row r="1442" spans="1:6" x14ac:dyDescent="0.25">
      <c r="A1442" t="s">
        <v>142</v>
      </c>
      <c r="B1442" t="s">
        <v>84</v>
      </c>
      <c r="C1442">
        <v>1993</v>
      </c>
      <c r="D1442">
        <v>449.8</v>
      </c>
      <c r="E1442">
        <v>510.2</v>
      </c>
      <c r="F1442" t="str">
        <f t="shared" si="22"/>
        <v>natural gas combined cycle</v>
      </c>
    </row>
    <row r="1443" spans="1:6" x14ac:dyDescent="0.25">
      <c r="A1443" t="s">
        <v>142</v>
      </c>
      <c r="B1443" t="s">
        <v>84</v>
      </c>
      <c r="C1443">
        <v>1999</v>
      </c>
      <c r="D1443">
        <v>394.82</v>
      </c>
      <c r="E1443">
        <v>489</v>
      </c>
      <c r="F1443" t="str">
        <f t="shared" si="22"/>
        <v>natural gas combined cycle</v>
      </c>
    </row>
    <row r="1444" spans="1:6" x14ac:dyDescent="0.25">
      <c r="A1444" t="s">
        <v>142</v>
      </c>
      <c r="B1444" t="s">
        <v>84</v>
      </c>
      <c r="C1444">
        <v>2001</v>
      </c>
      <c r="D1444">
        <v>811.76</v>
      </c>
      <c r="E1444">
        <v>1005.5</v>
      </c>
      <c r="F1444" t="str">
        <f t="shared" si="22"/>
        <v>natural gas combined cycle</v>
      </c>
    </row>
    <row r="1445" spans="1:6" x14ac:dyDescent="0.25">
      <c r="A1445" t="s">
        <v>142</v>
      </c>
      <c r="B1445" t="s">
        <v>84</v>
      </c>
      <c r="C1445">
        <v>2002</v>
      </c>
      <c r="D1445">
        <v>703.33</v>
      </c>
      <c r="E1445">
        <v>764.2</v>
      </c>
      <c r="F1445" t="str">
        <f t="shared" si="22"/>
        <v>natural gas combined cycle</v>
      </c>
    </row>
    <row r="1446" spans="1:6" x14ac:dyDescent="0.25">
      <c r="A1446" t="s">
        <v>142</v>
      </c>
      <c r="B1446" t="s">
        <v>84</v>
      </c>
      <c r="C1446">
        <v>2003</v>
      </c>
      <c r="D1446">
        <v>724</v>
      </c>
      <c r="E1446">
        <v>872.2</v>
      </c>
      <c r="F1446" t="str">
        <f t="shared" si="22"/>
        <v>natural gas combined cycle</v>
      </c>
    </row>
    <row r="1447" spans="1:6" x14ac:dyDescent="0.25">
      <c r="A1447" t="s">
        <v>142</v>
      </c>
      <c r="B1447" t="s">
        <v>84</v>
      </c>
      <c r="C1447">
        <v>2018</v>
      </c>
      <c r="D1447">
        <v>1156.4000000000001</v>
      </c>
      <c r="E1447">
        <v>798.2</v>
      </c>
      <c r="F1447" t="str">
        <f t="shared" si="22"/>
        <v>natural gas combined cycle</v>
      </c>
    </row>
    <row r="1448" spans="1:6" x14ac:dyDescent="0.25">
      <c r="A1448" t="s">
        <v>142</v>
      </c>
      <c r="B1448" t="s">
        <v>93</v>
      </c>
      <c r="C1448">
        <v>1990</v>
      </c>
      <c r="D1448">
        <v>30</v>
      </c>
      <c r="E1448">
        <v>43.6</v>
      </c>
      <c r="F1448" t="str">
        <f t="shared" si="22"/>
        <v>natural gas peaker</v>
      </c>
    </row>
    <row r="1449" spans="1:6" x14ac:dyDescent="0.25">
      <c r="A1449" t="s">
        <v>142</v>
      </c>
      <c r="B1449" t="s">
        <v>93</v>
      </c>
      <c r="C1449">
        <v>1993</v>
      </c>
      <c r="D1449">
        <v>3</v>
      </c>
      <c r="E1449">
        <v>3</v>
      </c>
      <c r="F1449" t="str">
        <f t="shared" si="22"/>
        <v>natural gas peaker</v>
      </c>
    </row>
    <row r="1450" spans="1:6" x14ac:dyDescent="0.25">
      <c r="A1450" t="s">
        <v>142</v>
      </c>
      <c r="B1450" t="s">
        <v>93</v>
      </c>
      <c r="C1450">
        <v>1994</v>
      </c>
      <c r="D1450">
        <v>4.8</v>
      </c>
      <c r="E1450">
        <v>5.2</v>
      </c>
      <c r="F1450" t="str">
        <f t="shared" si="22"/>
        <v>natural gas peaker</v>
      </c>
    </row>
    <row r="1451" spans="1:6" x14ac:dyDescent="0.25">
      <c r="A1451" t="s">
        <v>142</v>
      </c>
      <c r="B1451" t="s">
        <v>93</v>
      </c>
      <c r="C1451">
        <v>1995</v>
      </c>
      <c r="D1451">
        <v>19</v>
      </c>
      <c r="E1451">
        <v>21.2</v>
      </c>
      <c r="F1451" t="str">
        <f t="shared" si="22"/>
        <v>natural gas peaker</v>
      </c>
    </row>
    <row r="1452" spans="1:6" x14ac:dyDescent="0.25">
      <c r="A1452" t="s">
        <v>142</v>
      </c>
      <c r="B1452" t="s">
        <v>93</v>
      </c>
      <c r="C1452">
        <v>1999</v>
      </c>
      <c r="D1452">
        <v>1.9</v>
      </c>
      <c r="E1452">
        <v>1.9</v>
      </c>
      <c r="F1452" t="str">
        <f t="shared" si="22"/>
        <v>natural gas peaker</v>
      </c>
    </row>
    <row r="1453" spans="1:6" x14ac:dyDescent="0.25">
      <c r="A1453" t="s">
        <v>142</v>
      </c>
      <c r="B1453" t="s">
        <v>93</v>
      </c>
      <c r="C1453">
        <v>2003</v>
      </c>
      <c r="D1453">
        <v>25</v>
      </c>
      <c r="E1453">
        <v>25</v>
      </c>
      <c r="F1453" t="str">
        <f t="shared" si="22"/>
        <v>natural gas peaker</v>
      </c>
    </row>
    <row r="1454" spans="1:6" x14ac:dyDescent="0.25">
      <c r="A1454" t="s">
        <v>142</v>
      </c>
      <c r="B1454" t="s">
        <v>93</v>
      </c>
      <c r="C1454">
        <v>2006</v>
      </c>
      <c r="D1454">
        <v>1.2</v>
      </c>
      <c r="E1454">
        <v>1.2</v>
      </c>
      <c r="F1454" t="str">
        <f t="shared" si="22"/>
        <v>natural gas peaker</v>
      </c>
    </row>
    <row r="1455" spans="1:6" x14ac:dyDescent="0.25">
      <c r="A1455" t="s">
        <v>142</v>
      </c>
      <c r="B1455" t="s">
        <v>93</v>
      </c>
      <c r="C1455">
        <v>2007</v>
      </c>
      <c r="D1455">
        <v>10</v>
      </c>
      <c r="E1455">
        <v>11</v>
      </c>
      <c r="F1455" t="str">
        <f t="shared" si="22"/>
        <v>natural gas peaker</v>
      </c>
    </row>
    <row r="1456" spans="1:6" x14ac:dyDescent="0.25">
      <c r="A1456" t="s">
        <v>142</v>
      </c>
      <c r="B1456" t="s">
        <v>93</v>
      </c>
      <c r="C1456">
        <v>2008</v>
      </c>
      <c r="D1456">
        <v>2.7</v>
      </c>
      <c r="E1456">
        <v>5.3</v>
      </c>
      <c r="F1456" t="str">
        <f t="shared" si="22"/>
        <v>natural gas peaker</v>
      </c>
    </row>
    <row r="1457" spans="1:6" x14ac:dyDescent="0.25">
      <c r="A1457" t="s">
        <v>142</v>
      </c>
      <c r="B1457" t="s">
        <v>93</v>
      </c>
      <c r="C1457">
        <v>2009</v>
      </c>
      <c r="D1457">
        <v>124.8</v>
      </c>
      <c r="E1457">
        <v>139.30000000000001</v>
      </c>
      <c r="F1457" t="str">
        <f t="shared" si="22"/>
        <v>natural gas peaker</v>
      </c>
    </row>
    <row r="1458" spans="1:6" x14ac:dyDescent="0.25">
      <c r="A1458" t="s">
        <v>142</v>
      </c>
      <c r="B1458" t="s">
        <v>93</v>
      </c>
      <c r="C1458">
        <v>2011</v>
      </c>
      <c r="D1458">
        <v>7.2</v>
      </c>
      <c r="E1458">
        <v>7.2</v>
      </c>
      <c r="F1458" t="str">
        <f t="shared" si="22"/>
        <v>natural gas peaker</v>
      </c>
    </row>
    <row r="1459" spans="1:6" x14ac:dyDescent="0.25">
      <c r="A1459" t="s">
        <v>142</v>
      </c>
      <c r="B1459" t="s">
        <v>93</v>
      </c>
      <c r="C1459">
        <v>2013</v>
      </c>
      <c r="D1459">
        <v>8</v>
      </c>
      <c r="E1459">
        <v>9.5</v>
      </c>
      <c r="F1459" t="str">
        <f t="shared" si="22"/>
        <v>natural gas peaker</v>
      </c>
    </row>
    <row r="1460" spans="1:6" x14ac:dyDescent="0.25">
      <c r="A1460" t="s">
        <v>142</v>
      </c>
      <c r="B1460" t="s">
        <v>93</v>
      </c>
      <c r="C1460">
        <v>2015</v>
      </c>
      <c r="D1460">
        <v>10.3</v>
      </c>
      <c r="E1460">
        <v>11.2</v>
      </c>
      <c r="F1460" t="str">
        <f t="shared" si="22"/>
        <v>natural gas peaker</v>
      </c>
    </row>
    <row r="1461" spans="1:6" x14ac:dyDescent="0.25">
      <c r="A1461" t="s">
        <v>142</v>
      </c>
      <c r="B1461" t="s">
        <v>93</v>
      </c>
      <c r="C1461">
        <v>2017</v>
      </c>
      <c r="D1461">
        <v>15.5</v>
      </c>
      <c r="E1461">
        <v>15.8</v>
      </c>
      <c r="F1461" t="str">
        <f t="shared" si="22"/>
        <v>natural gas peaker</v>
      </c>
    </row>
    <row r="1462" spans="1:6" x14ac:dyDescent="0.25">
      <c r="A1462" t="s">
        <v>142</v>
      </c>
      <c r="B1462" t="s">
        <v>93</v>
      </c>
      <c r="C1462">
        <v>2019</v>
      </c>
      <c r="D1462">
        <v>195.2</v>
      </c>
      <c r="E1462">
        <v>270.2</v>
      </c>
      <c r="F1462" t="str">
        <f t="shared" si="22"/>
        <v>natural gas peaker</v>
      </c>
    </row>
    <row r="1463" spans="1:6" x14ac:dyDescent="0.25">
      <c r="A1463" t="s">
        <v>142</v>
      </c>
      <c r="B1463" t="s">
        <v>93</v>
      </c>
      <c r="C1463">
        <v>2020</v>
      </c>
      <c r="D1463">
        <v>3.6</v>
      </c>
      <c r="E1463">
        <v>3.6</v>
      </c>
      <c r="F1463" t="str">
        <f t="shared" si="22"/>
        <v>natural gas peaker</v>
      </c>
    </row>
    <row r="1464" spans="1:6" x14ac:dyDescent="0.25">
      <c r="A1464" t="s">
        <v>142</v>
      </c>
      <c r="B1464" t="s">
        <v>93</v>
      </c>
      <c r="C1464">
        <v>2021</v>
      </c>
      <c r="D1464">
        <v>41.3</v>
      </c>
      <c r="E1464">
        <v>49.1</v>
      </c>
      <c r="F1464" t="str">
        <f t="shared" si="22"/>
        <v>natural gas peaker</v>
      </c>
    </row>
    <row r="1465" spans="1:6" x14ac:dyDescent="0.25">
      <c r="A1465" t="s">
        <v>142</v>
      </c>
      <c r="B1465" t="s">
        <v>93</v>
      </c>
      <c r="C1465">
        <v>2022</v>
      </c>
      <c r="D1465">
        <v>3.3</v>
      </c>
      <c r="E1465">
        <v>4.5999999999999996</v>
      </c>
      <c r="F1465" t="str">
        <f t="shared" si="22"/>
        <v>natural gas peaker</v>
      </c>
    </row>
    <row r="1466" spans="1:6" x14ac:dyDescent="0.25">
      <c r="A1466" t="s">
        <v>142</v>
      </c>
      <c r="B1466" t="s">
        <v>93</v>
      </c>
      <c r="C1466">
        <v>2024</v>
      </c>
      <c r="D1466">
        <v>63</v>
      </c>
      <c r="E1466">
        <v>65</v>
      </c>
      <c r="F1466" t="str">
        <f t="shared" si="22"/>
        <v>natural gas peaker</v>
      </c>
    </row>
    <row r="1467" spans="1:6" x14ac:dyDescent="0.25">
      <c r="A1467" t="s">
        <v>142</v>
      </c>
      <c r="B1467" t="s">
        <v>83</v>
      </c>
      <c r="C1467">
        <v>2002</v>
      </c>
      <c r="D1467">
        <v>3</v>
      </c>
      <c r="E1467">
        <v>5</v>
      </c>
      <c r="F1467" t="str">
        <f t="shared" si="22"/>
        <v>natural gas steam turbine</v>
      </c>
    </row>
    <row r="1468" spans="1:6" x14ac:dyDescent="0.25">
      <c r="A1468" t="s">
        <v>142</v>
      </c>
      <c r="B1468" t="s">
        <v>83</v>
      </c>
      <c r="C1468">
        <v>2003</v>
      </c>
      <c r="D1468">
        <v>3</v>
      </c>
      <c r="E1468">
        <v>3</v>
      </c>
      <c r="F1468" t="str">
        <f t="shared" si="22"/>
        <v>natural gas steam turbine</v>
      </c>
    </row>
    <row r="1469" spans="1:6" x14ac:dyDescent="0.25">
      <c r="A1469" t="s">
        <v>142</v>
      </c>
      <c r="B1469" t="s">
        <v>83</v>
      </c>
      <c r="C1469">
        <v>2006</v>
      </c>
      <c r="D1469">
        <v>0.5</v>
      </c>
      <c r="E1469">
        <v>0.5</v>
      </c>
      <c r="F1469" t="str">
        <f t="shared" si="22"/>
        <v>natural gas steam turbine</v>
      </c>
    </row>
    <row r="1470" spans="1:6" x14ac:dyDescent="0.25">
      <c r="A1470" t="s">
        <v>142</v>
      </c>
      <c r="B1470" t="s">
        <v>83</v>
      </c>
      <c r="C1470">
        <v>2007</v>
      </c>
      <c r="D1470">
        <v>4</v>
      </c>
      <c r="E1470">
        <v>4</v>
      </c>
      <c r="F1470" t="str">
        <f t="shared" si="22"/>
        <v>natural gas steam turbine</v>
      </c>
    </row>
    <row r="1471" spans="1:6" x14ac:dyDescent="0.25">
      <c r="A1471" t="s">
        <v>142</v>
      </c>
      <c r="B1471" t="s">
        <v>83</v>
      </c>
      <c r="C1471">
        <v>2010</v>
      </c>
      <c r="D1471">
        <v>2.1</v>
      </c>
      <c r="E1471">
        <v>2.1</v>
      </c>
      <c r="F1471" t="str">
        <f t="shared" si="22"/>
        <v>natural gas steam turbine</v>
      </c>
    </row>
    <row r="1472" spans="1:6" x14ac:dyDescent="0.25">
      <c r="A1472" t="s">
        <v>142</v>
      </c>
      <c r="B1472" t="s">
        <v>83</v>
      </c>
      <c r="C1472">
        <v>2013</v>
      </c>
      <c r="D1472">
        <v>0.6</v>
      </c>
      <c r="E1472">
        <v>0.6</v>
      </c>
      <c r="F1472" t="str">
        <f t="shared" si="22"/>
        <v>natural gas steam turbine</v>
      </c>
    </row>
    <row r="1473" spans="1:6" x14ac:dyDescent="0.25">
      <c r="A1473" t="s">
        <v>142</v>
      </c>
      <c r="B1473" t="s">
        <v>87</v>
      </c>
      <c r="C1473">
        <v>2006</v>
      </c>
      <c r="D1473">
        <v>1.8</v>
      </c>
      <c r="E1473">
        <v>1.8</v>
      </c>
      <c r="F1473" t="str">
        <f t="shared" si="22"/>
        <v>onshore wind</v>
      </c>
    </row>
    <row r="1474" spans="1:6" x14ac:dyDescent="0.25">
      <c r="A1474" t="s">
        <v>142</v>
      </c>
      <c r="B1474" t="s">
        <v>87</v>
      </c>
      <c r="C1474">
        <v>2007</v>
      </c>
      <c r="D1474">
        <v>1.8</v>
      </c>
      <c r="E1474">
        <v>1.5</v>
      </c>
      <c r="F1474" t="str">
        <f t="shared" ref="F1474:F1537" si="23">LOWER($B1474)</f>
        <v>onshore wind</v>
      </c>
    </row>
    <row r="1475" spans="1:6" x14ac:dyDescent="0.25">
      <c r="A1475" t="s">
        <v>142</v>
      </c>
      <c r="B1475" t="s">
        <v>87</v>
      </c>
      <c r="C1475">
        <v>2009</v>
      </c>
      <c r="D1475">
        <v>2.7</v>
      </c>
      <c r="E1475">
        <v>2.7</v>
      </c>
      <c r="F1475" t="str">
        <f t="shared" si="23"/>
        <v>onshore wind</v>
      </c>
    </row>
    <row r="1476" spans="1:6" x14ac:dyDescent="0.25">
      <c r="A1476" t="s">
        <v>142</v>
      </c>
      <c r="B1476" t="s">
        <v>87</v>
      </c>
      <c r="C1476">
        <v>2010</v>
      </c>
      <c r="D1476">
        <v>4.7</v>
      </c>
      <c r="E1476">
        <v>4.7</v>
      </c>
      <c r="F1476" t="str">
        <f t="shared" si="23"/>
        <v>onshore wind</v>
      </c>
    </row>
    <row r="1477" spans="1:6" x14ac:dyDescent="0.25">
      <c r="A1477" t="s">
        <v>142</v>
      </c>
      <c r="B1477" t="s">
        <v>87</v>
      </c>
      <c r="C1477">
        <v>2011</v>
      </c>
      <c r="D1477">
        <v>24.5</v>
      </c>
      <c r="E1477">
        <v>24.5</v>
      </c>
      <c r="F1477" t="str">
        <f t="shared" si="23"/>
        <v>onshore wind</v>
      </c>
    </row>
    <row r="1478" spans="1:6" x14ac:dyDescent="0.25">
      <c r="A1478" t="s">
        <v>142</v>
      </c>
      <c r="B1478" t="s">
        <v>87</v>
      </c>
      <c r="C1478">
        <v>2012</v>
      </c>
      <c r="D1478">
        <v>40.5</v>
      </c>
      <c r="E1478">
        <v>40.5</v>
      </c>
      <c r="F1478" t="str">
        <f t="shared" si="23"/>
        <v>onshore wind</v>
      </c>
    </row>
    <row r="1479" spans="1:6" x14ac:dyDescent="0.25">
      <c r="A1479" t="s">
        <v>142</v>
      </c>
      <c r="B1479" t="s">
        <v>87</v>
      </c>
      <c r="C1479">
        <v>2013</v>
      </c>
      <c r="D1479">
        <v>3.4</v>
      </c>
      <c r="E1479">
        <v>3.4</v>
      </c>
      <c r="F1479" t="str">
        <f t="shared" si="23"/>
        <v>onshore wind</v>
      </c>
    </row>
    <row r="1480" spans="1:6" x14ac:dyDescent="0.25">
      <c r="A1480" t="s">
        <v>142</v>
      </c>
      <c r="B1480" t="s">
        <v>87</v>
      </c>
      <c r="C1480">
        <v>2014</v>
      </c>
      <c r="D1480">
        <v>3.4</v>
      </c>
      <c r="E1480">
        <v>3.4</v>
      </c>
      <c r="F1480" t="str">
        <f t="shared" si="23"/>
        <v>onshore wind</v>
      </c>
    </row>
    <row r="1481" spans="1:6" x14ac:dyDescent="0.25">
      <c r="A1481" t="s">
        <v>142</v>
      </c>
      <c r="B1481" t="s">
        <v>87</v>
      </c>
      <c r="C1481">
        <v>2016</v>
      </c>
      <c r="D1481">
        <v>7.9</v>
      </c>
      <c r="E1481">
        <v>8</v>
      </c>
      <c r="F1481" t="str">
        <f t="shared" si="23"/>
        <v>onshore wind</v>
      </c>
    </row>
    <row r="1482" spans="1:6" x14ac:dyDescent="0.25">
      <c r="A1482" t="s">
        <v>142</v>
      </c>
      <c r="B1482" t="s">
        <v>87</v>
      </c>
      <c r="C1482">
        <v>2018</v>
      </c>
      <c r="D1482">
        <v>1.5</v>
      </c>
      <c r="E1482">
        <v>1.5</v>
      </c>
      <c r="F1482" t="str">
        <f t="shared" si="23"/>
        <v>onshore wind</v>
      </c>
    </row>
    <row r="1483" spans="1:6" x14ac:dyDescent="0.25">
      <c r="A1483" t="s">
        <v>142</v>
      </c>
      <c r="B1483" t="s">
        <v>87</v>
      </c>
      <c r="C1483">
        <v>2019</v>
      </c>
      <c r="D1483">
        <v>9.6</v>
      </c>
      <c r="E1483">
        <v>9.6</v>
      </c>
      <c r="F1483" t="str">
        <f t="shared" si="23"/>
        <v>onshore wind</v>
      </c>
    </row>
    <row r="1484" spans="1:6" x14ac:dyDescent="0.25">
      <c r="A1484" t="s">
        <v>142</v>
      </c>
      <c r="B1484" t="s">
        <v>92</v>
      </c>
      <c r="C1484">
        <v>1991</v>
      </c>
      <c r="D1484">
        <v>0.5</v>
      </c>
      <c r="E1484">
        <v>0.5</v>
      </c>
      <c r="F1484" t="str">
        <f t="shared" si="23"/>
        <v>petroleum</v>
      </c>
    </row>
    <row r="1485" spans="1:6" x14ac:dyDescent="0.25">
      <c r="A1485" t="s">
        <v>142</v>
      </c>
      <c r="B1485" t="s">
        <v>92</v>
      </c>
      <c r="C1485">
        <v>1995</v>
      </c>
      <c r="D1485">
        <v>49</v>
      </c>
      <c r="E1485">
        <v>57</v>
      </c>
      <c r="F1485" t="str">
        <f t="shared" si="23"/>
        <v>petroleum</v>
      </c>
    </row>
    <row r="1486" spans="1:6" x14ac:dyDescent="0.25">
      <c r="A1486" t="s">
        <v>142</v>
      </c>
      <c r="B1486" t="s">
        <v>92</v>
      </c>
      <c r="C1486">
        <v>1997</v>
      </c>
      <c r="D1486">
        <v>1.1000000000000001</v>
      </c>
      <c r="E1486">
        <v>1.1000000000000001</v>
      </c>
      <c r="F1486" t="str">
        <f t="shared" si="23"/>
        <v>petroleum</v>
      </c>
    </row>
    <row r="1487" spans="1:6" x14ac:dyDescent="0.25">
      <c r="A1487" t="s">
        <v>142</v>
      </c>
      <c r="B1487" t="s">
        <v>92</v>
      </c>
      <c r="C1487">
        <v>1998</v>
      </c>
      <c r="D1487">
        <v>5</v>
      </c>
      <c r="E1487">
        <v>5</v>
      </c>
      <c r="F1487" t="str">
        <f t="shared" si="23"/>
        <v>petroleum</v>
      </c>
    </row>
    <row r="1488" spans="1:6" x14ac:dyDescent="0.25">
      <c r="A1488" t="s">
        <v>142</v>
      </c>
      <c r="B1488" t="s">
        <v>92</v>
      </c>
      <c r="C1488">
        <v>1999</v>
      </c>
      <c r="D1488">
        <v>0.1</v>
      </c>
      <c r="E1488">
        <v>0.1</v>
      </c>
      <c r="F1488" t="str">
        <f t="shared" si="23"/>
        <v>petroleum</v>
      </c>
    </row>
    <row r="1489" spans="1:6" x14ac:dyDescent="0.25">
      <c r="A1489" t="s">
        <v>142</v>
      </c>
      <c r="B1489" t="s">
        <v>92</v>
      </c>
      <c r="C1489">
        <v>2000</v>
      </c>
      <c r="D1489">
        <v>1</v>
      </c>
      <c r="E1489">
        <v>1</v>
      </c>
      <c r="F1489" t="str">
        <f t="shared" si="23"/>
        <v>petroleum</v>
      </c>
    </row>
    <row r="1490" spans="1:6" x14ac:dyDescent="0.25">
      <c r="A1490" t="s">
        <v>142</v>
      </c>
      <c r="B1490" t="s">
        <v>92</v>
      </c>
      <c r="C1490">
        <v>2001</v>
      </c>
      <c r="D1490">
        <v>0.9</v>
      </c>
      <c r="E1490">
        <v>0.9</v>
      </c>
      <c r="F1490" t="str">
        <f t="shared" si="23"/>
        <v>petroleum</v>
      </c>
    </row>
    <row r="1491" spans="1:6" x14ac:dyDescent="0.25">
      <c r="A1491" t="s">
        <v>142</v>
      </c>
      <c r="B1491" t="s">
        <v>92</v>
      </c>
      <c r="C1491">
        <v>2003</v>
      </c>
      <c r="D1491">
        <v>0.1</v>
      </c>
      <c r="E1491">
        <v>0.1</v>
      </c>
      <c r="F1491" t="str">
        <f t="shared" si="23"/>
        <v>petroleum</v>
      </c>
    </row>
    <row r="1492" spans="1:6" x14ac:dyDescent="0.25">
      <c r="A1492" t="s">
        <v>142</v>
      </c>
      <c r="B1492" t="s">
        <v>92</v>
      </c>
      <c r="C1492">
        <v>2004</v>
      </c>
      <c r="D1492">
        <v>0.2</v>
      </c>
      <c r="E1492">
        <v>0.2</v>
      </c>
      <c r="F1492" t="str">
        <f t="shared" si="23"/>
        <v>petroleum</v>
      </c>
    </row>
    <row r="1493" spans="1:6" x14ac:dyDescent="0.25">
      <c r="A1493" t="s">
        <v>142</v>
      </c>
      <c r="B1493" t="s">
        <v>92</v>
      </c>
      <c r="C1493">
        <v>2005</v>
      </c>
      <c r="D1493">
        <v>0.3</v>
      </c>
      <c r="E1493">
        <v>0.3</v>
      </c>
      <c r="F1493" t="str">
        <f t="shared" si="23"/>
        <v>petroleum</v>
      </c>
    </row>
    <row r="1494" spans="1:6" x14ac:dyDescent="0.25">
      <c r="A1494" t="s">
        <v>142</v>
      </c>
      <c r="B1494" t="s">
        <v>92</v>
      </c>
      <c r="C1494">
        <v>2006</v>
      </c>
      <c r="D1494">
        <v>0.3</v>
      </c>
      <c r="E1494">
        <v>0.3</v>
      </c>
      <c r="F1494" t="str">
        <f t="shared" si="23"/>
        <v>petroleum</v>
      </c>
    </row>
    <row r="1495" spans="1:6" x14ac:dyDescent="0.25">
      <c r="A1495" t="s">
        <v>142</v>
      </c>
      <c r="B1495" t="s">
        <v>92</v>
      </c>
      <c r="C1495">
        <v>2007</v>
      </c>
      <c r="D1495">
        <v>4.4000000000000004</v>
      </c>
      <c r="E1495">
        <v>4.4000000000000004</v>
      </c>
      <c r="F1495" t="str">
        <f t="shared" si="23"/>
        <v>petroleum</v>
      </c>
    </row>
    <row r="1496" spans="1:6" x14ac:dyDescent="0.25">
      <c r="A1496" t="s">
        <v>142</v>
      </c>
      <c r="B1496" t="s">
        <v>92</v>
      </c>
      <c r="C1496">
        <v>2009</v>
      </c>
      <c r="D1496">
        <v>0.4</v>
      </c>
      <c r="E1496">
        <v>0.4</v>
      </c>
      <c r="F1496" t="str">
        <f t="shared" si="23"/>
        <v>petroleum</v>
      </c>
    </row>
    <row r="1497" spans="1:6" x14ac:dyDescent="0.25">
      <c r="A1497" t="s">
        <v>142</v>
      </c>
      <c r="B1497" t="s">
        <v>92</v>
      </c>
      <c r="C1497">
        <v>2011</v>
      </c>
      <c r="D1497">
        <v>0.2</v>
      </c>
      <c r="E1497">
        <v>0.2</v>
      </c>
      <c r="F1497" t="str">
        <f t="shared" si="23"/>
        <v>petroleum</v>
      </c>
    </row>
    <row r="1498" spans="1:6" x14ac:dyDescent="0.25">
      <c r="A1498" t="s">
        <v>142</v>
      </c>
      <c r="B1498" t="s">
        <v>92</v>
      </c>
      <c r="C1498">
        <v>2012</v>
      </c>
      <c r="D1498">
        <v>1.6</v>
      </c>
      <c r="E1498">
        <v>1.6</v>
      </c>
      <c r="F1498" t="str">
        <f t="shared" si="23"/>
        <v>petroleum</v>
      </c>
    </row>
    <row r="1499" spans="1:6" x14ac:dyDescent="0.25">
      <c r="A1499" t="s">
        <v>142</v>
      </c>
      <c r="B1499" t="s">
        <v>92</v>
      </c>
      <c r="C1499">
        <v>2013</v>
      </c>
      <c r="D1499">
        <v>0.4</v>
      </c>
      <c r="E1499">
        <v>0.4</v>
      </c>
      <c r="F1499" t="str">
        <f t="shared" si="23"/>
        <v>petroleum</v>
      </c>
    </row>
    <row r="1500" spans="1:6" x14ac:dyDescent="0.25">
      <c r="A1500" t="s">
        <v>142</v>
      </c>
      <c r="B1500" t="s">
        <v>92</v>
      </c>
      <c r="C1500">
        <v>2014</v>
      </c>
      <c r="D1500">
        <v>0.5</v>
      </c>
      <c r="E1500">
        <v>0.5</v>
      </c>
      <c r="F1500" t="str">
        <f t="shared" si="23"/>
        <v>petroleum</v>
      </c>
    </row>
    <row r="1501" spans="1:6" x14ac:dyDescent="0.25">
      <c r="A1501" t="s">
        <v>142</v>
      </c>
      <c r="B1501" t="s">
        <v>92</v>
      </c>
      <c r="C1501">
        <v>2015</v>
      </c>
      <c r="D1501">
        <v>0.2</v>
      </c>
      <c r="E1501">
        <v>0.2</v>
      </c>
      <c r="F1501" t="str">
        <f t="shared" si="23"/>
        <v>petroleum</v>
      </c>
    </row>
    <row r="1502" spans="1:6" x14ac:dyDescent="0.25">
      <c r="A1502" t="s">
        <v>142</v>
      </c>
      <c r="B1502" t="s">
        <v>92</v>
      </c>
      <c r="C1502">
        <v>2016</v>
      </c>
      <c r="D1502">
        <v>0.2</v>
      </c>
      <c r="E1502">
        <v>0.2</v>
      </c>
      <c r="F1502" t="str">
        <f t="shared" si="23"/>
        <v>petroleum</v>
      </c>
    </row>
    <row r="1503" spans="1:6" x14ac:dyDescent="0.25">
      <c r="A1503" t="s">
        <v>142</v>
      </c>
      <c r="B1503" t="s">
        <v>92</v>
      </c>
      <c r="C1503">
        <v>2017</v>
      </c>
      <c r="D1503">
        <v>4.5</v>
      </c>
      <c r="E1503">
        <v>4.5</v>
      </c>
      <c r="F1503" t="str">
        <f t="shared" si="23"/>
        <v>petroleum</v>
      </c>
    </row>
    <row r="1504" spans="1:6" x14ac:dyDescent="0.25">
      <c r="A1504" t="s">
        <v>142</v>
      </c>
      <c r="B1504" t="s">
        <v>92</v>
      </c>
      <c r="C1504">
        <v>2018</v>
      </c>
      <c r="D1504">
        <v>10.4</v>
      </c>
      <c r="E1504">
        <v>10.4</v>
      </c>
      <c r="F1504" t="str">
        <f t="shared" si="23"/>
        <v>petroleum</v>
      </c>
    </row>
    <row r="1505" spans="1:6" x14ac:dyDescent="0.25">
      <c r="A1505" t="s">
        <v>142</v>
      </c>
      <c r="B1505" t="s">
        <v>92</v>
      </c>
      <c r="C1505">
        <v>2019</v>
      </c>
      <c r="D1505">
        <v>346</v>
      </c>
      <c r="E1505">
        <v>347.9</v>
      </c>
      <c r="F1505" t="str">
        <f t="shared" si="23"/>
        <v>petroleum</v>
      </c>
    </row>
    <row r="1506" spans="1:6" x14ac:dyDescent="0.25">
      <c r="A1506" t="s">
        <v>142</v>
      </c>
      <c r="B1506" t="s">
        <v>249</v>
      </c>
      <c r="C1506">
        <v>2008</v>
      </c>
      <c r="D1506">
        <v>0.1</v>
      </c>
      <c r="E1506">
        <v>0.1</v>
      </c>
      <c r="F1506" t="str">
        <f t="shared" si="23"/>
        <v>solar pv</v>
      </c>
    </row>
    <row r="1507" spans="1:6" x14ac:dyDescent="0.25">
      <c r="A1507" t="s">
        <v>142</v>
      </c>
      <c r="B1507" t="s">
        <v>249</v>
      </c>
      <c r="C1507">
        <v>2010</v>
      </c>
      <c r="D1507">
        <v>3.3</v>
      </c>
      <c r="E1507">
        <v>3.5</v>
      </c>
      <c r="F1507" t="str">
        <f t="shared" si="23"/>
        <v>solar pv</v>
      </c>
    </row>
    <row r="1508" spans="1:6" x14ac:dyDescent="0.25">
      <c r="A1508" t="s">
        <v>142</v>
      </c>
      <c r="B1508" t="s">
        <v>249</v>
      </c>
      <c r="C1508">
        <v>2011</v>
      </c>
      <c r="D1508">
        <v>9</v>
      </c>
      <c r="E1508">
        <v>9</v>
      </c>
      <c r="F1508" t="str">
        <f t="shared" si="23"/>
        <v>solar pv</v>
      </c>
    </row>
    <row r="1509" spans="1:6" x14ac:dyDescent="0.25">
      <c r="A1509" t="s">
        <v>142</v>
      </c>
      <c r="B1509" t="s">
        <v>249</v>
      </c>
      <c r="C1509">
        <v>2012</v>
      </c>
      <c r="D1509">
        <v>52.03</v>
      </c>
      <c r="E1509">
        <v>53.4</v>
      </c>
      <c r="F1509" t="str">
        <f t="shared" si="23"/>
        <v>solar pv</v>
      </c>
    </row>
    <row r="1510" spans="1:6" x14ac:dyDescent="0.25">
      <c r="A1510" t="s">
        <v>142</v>
      </c>
      <c r="B1510" t="s">
        <v>249</v>
      </c>
      <c r="C1510">
        <v>2013</v>
      </c>
      <c r="D1510">
        <v>109.9</v>
      </c>
      <c r="E1510">
        <v>110.3</v>
      </c>
      <c r="F1510" t="str">
        <f t="shared" si="23"/>
        <v>solar pv</v>
      </c>
    </row>
    <row r="1511" spans="1:6" x14ac:dyDescent="0.25">
      <c r="A1511" t="s">
        <v>142</v>
      </c>
      <c r="B1511" t="s">
        <v>249</v>
      </c>
      <c r="C1511">
        <v>2014</v>
      </c>
      <c r="D1511">
        <v>148.9</v>
      </c>
      <c r="E1511">
        <v>150.4</v>
      </c>
      <c r="F1511" t="str">
        <f t="shared" si="23"/>
        <v>solar pv</v>
      </c>
    </row>
    <row r="1512" spans="1:6" x14ac:dyDescent="0.25">
      <c r="A1512" t="s">
        <v>142</v>
      </c>
      <c r="B1512" t="s">
        <v>249</v>
      </c>
      <c r="C1512">
        <v>2015</v>
      </c>
      <c r="D1512">
        <v>69.3</v>
      </c>
      <c r="E1512">
        <v>68.900000000000006</v>
      </c>
      <c r="F1512" t="str">
        <f t="shared" si="23"/>
        <v>solar pv</v>
      </c>
    </row>
    <row r="1513" spans="1:6" x14ac:dyDescent="0.25">
      <c r="A1513" t="s">
        <v>142</v>
      </c>
      <c r="B1513" t="s">
        <v>249</v>
      </c>
      <c r="C1513">
        <v>2016</v>
      </c>
      <c r="D1513">
        <v>116.2</v>
      </c>
      <c r="E1513">
        <v>118.4</v>
      </c>
      <c r="F1513" t="str">
        <f t="shared" si="23"/>
        <v>solar pv</v>
      </c>
    </row>
    <row r="1514" spans="1:6" x14ac:dyDescent="0.25">
      <c r="A1514" t="s">
        <v>142</v>
      </c>
      <c r="B1514" t="s">
        <v>249</v>
      </c>
      <c r="C1514">
        <v>2017</v>
      </c>
      <c r="D1514">
        <v>219.1</v>
      </c>
      <c r="E1514">
        <v>219.6</v>
      </c>
      <c r="F1514" t="str">
        <f t="shared" si="23"/>
        <v>solar pv</v>
      </c>
    </row>
    <row r="1515" spans="1:6" x14ac:dyDescent="0.25">
      <c r="A1515" t="s">
        <v>142</v>
      </c>
      <c r="B1515" t="s">
        <v>249</v>
      </c>
      <c r="C1515">
        <v>2018</v>
      </c>
      <c r="D1515">
        <v>110</v>
      </c>
      <c r="E1515">
        <v>110</v>
      </c>
      <c r="F1515" t="str">
        <f t="shared" si="23"/>
        <v>solar pv</v>
      </c>
    </row>
    <row r="1516" spans="1:6" x14ac:dyDescent="0.25">
      <c r="A1516" t="s">
        <v>142</v>
      </c>
      <c r="B1516" t="s">
        <v>249</v>
      </c>
      <c r="C1516">
        <v>2019</v>
      </c>
      <c r="D1516">
        <v>109.6</v>
      </c>
      <c r="E1516">
        <v>109.5</v>
      </c>
      <c r="F1516" t="str">
        <f t="shared" si="23"/>
        <v>solar pv</v>
      </c>
    </row>
    <row r="1517" spans="1:6" x14ac:dyDescent="0.25">
      <c r="A1517" t="s">
        <v>142</v>
      </c>
      <c r="B1517" t="s">
        <v>249</v>
      </c>
      <c r="C1517">
        <v>2020</v>
      </c>
      <c r="D1517">
        <v>136</v>
      </c>
      <c r="E1517">
        <v>136</v>
      </c>
      <c r="F1517" t="str">
        <f t="shared" si="23"/>
        <v>solar pv</v>
      </c>
    </row>
    <row r="1518" spans="1:6" x14ac:dyDescent="0.25">
      <c r="A1518" t="s">
        <v>142</v>
      </c>
      <c r="B1518" t="s">
        <v>249</v>
      </c>
      <c r="C1518">
        <v>2021</v>
      </c>
      <c r="D1518">
        <v>204.6</v>
      </c>
      <c r="E1518">
        <v>204.1</v>
      </c>
      <c r="F1518" t="str">
        <f t="shared" si="23"/>
        <v>solar pv</v>
      </c>
    </row>
    <row r="1519" spans="1:6" x14ac:dyDescent="0.25">
      <c r="A1519" t="s">
        <v>142</v>
      </c>
      <c r="B1519" t="s">
        <v>249</v>
      </c>
      <c r="C1519">
        <v>2022</v>
      </c>
      <c r="D1519">
        <v>96.7</v>
      </c>
      <c r="E1519">
        <v>96.6</v>
      </c>
      <c r="F1519" t="str">
        <f t="shared" si="23"/>
        <v>solar pv</v>
      </c>
    </row>
    <row r="1520" spans="1:6" x14ac:dyDescent="0.25">
      <c r="A1520" t="s">
        <v>142</v>
      </c>
      <c r="B1520" t="s">
        <v>249</v>
      </c>
      <c r="C1520">
        <v>2023</v>
      </c>
      <c r="D1520">
        <v>44</v>
      </c>
      <c r="E1520">
        <v>44</v>
      </c>
      <c r="F1520" t="str">
        <f t="shared" si="23"/>
        <v>solar pv</v>
      </c>
    </row>
    <row r="1521" spans="1:6" x14ac:dyDescent="0.25">
      <c r="A1521" t="s">
        <v>142</v>
      </c>
      <c r="B1521" t="s">
        <v>249</v>
      </c>
      <c r="C1521">
        <v>2024</v>
      </c>
      <c r="D1521">
        <v>21.3</v>
      </c>
      <c r="E1521">
        <v>21.3</v>
      </c>
      <c r="F1521" t="str">
        <f t="shared" si="23"/>
        <v>solar pv</v>
      </c>
    </row>
    <row r="1522" spans="1:6" x14ac:dyDescent="0.25">
      <c r="A1522" t="s">
        <v>142</v>
      </c>
      <c r="B1522" t="s">
        <v>249</v>
      </c>
      <c r="C1522">
        <v>2025</v>
      </c>
      <c r="D1522">
        <v>35.32</v>
      </c>
      <c r="E1522">
        <v>36.799999999999997</v>
      </c>
      <c r="F1522" t="str">
        <f t="shared" si="23"/>
        <v>solar pv</v>
      </c>
    </row>
    <row r="1523" spans="1:6" x14ac:dyDescent="0.25">
      <c r="A1523" t="s">
        <v>144</v>
      </c>
      <c r="B1523" t="s">
        <v>90</v>
      </c>
      <c r="C1523">
        <v>2003</v>
      </c>
      <c r="D1523">
        <v>3.2</v>
      </c>
      <c r="E1523">
        <v>4</v>
      </c>
      <c r="F1523" t="str">
        <f t="shared" si="23"/>
        <v>biomass</v>
      </c>
    </row>
    <row r="1524" spans="1:6" x14ac:dyDescent="0.25">
      <c r="A1524" t="s">
        <v>144</v>
      </c>
      <c r="B1524" t="s">
        <v>90</v>
      </c>
      <c r="C1524">
        <v>2006</v>
      </c>
      <c r="D1524">
        <v>3.9</v>
      </c>
      <c r="E1524">
        <v>3</v>
      </c>
      <c r="F1524" t="str">
        <f t="shared" si="23"/>
        <v>biomass</v>
      </c>
    </row>
    <row r="1525" spans="1:6" x14ac:dyDescent="0.25">
      <c r="A1525" t="s">
        <v>144</v>
      </c>
      <c r="B1525" t="s">
        <v>90</v>
      </c>
      <c r="C1525">
        <v>2007</v>
      </c>
      <c r="D1525">
        <v>5.4</v>
      </c>
      <c r="E1525">
        <v>5.4</v>
      </c>
      <c r="F1525" t="str">
        <f t="shared" si="23"/>
        <v>biomass</v>
      </c>
    </row>
    <row r="1526" spans="1:6" x14ac:dyDescent="0.25">
      <c r="A1526" t="s">
        <v>144</v>
      </c>
      <c r="B1526" t="s">
        <v>90</v>
      </c>
      <c r="C1526">
        <v>2009</v>
      </c>
      <c r="D1526">
        <v>1.8</v>
      </c>
      <c r="E1526">
        <v>2.2000000000000002</v>
      </c>
      <c r="F1526" t="str">
        <f t="shared" si="23"/>
        <v>biomass</v>
      </c>
    </row>
    <row r="1527" spans="1:6" x14ac:dyDescent="0.25">
      <c r="A1527" t="s">
        <v>144</v>
      </c>
      <c r="B1527" t="s">
        <v>90</v>
      </c>
      <c r="C1527">
        <v>2012</v>
      </c>
      <c r="D1527">
        <v>4</v>
      </c>
      <c r="E1527">
        <v>4.2</v>
      </c>
      <c r="F1527" t="str">
        <f t="shared" si="23"/>
        <v>biomass</v>
      </c>
    </row>
    <row r="1528" spans="1:6" x14ac:dyDescent="0.25">
      <c r="A1528" t="s">
        <v>144</v>
      </c>
      <c r="B1528" t="s">
        <v>90</v>
      </c>
      <c r="C1528">
        <v>2022</v>
      </c>
      <c r="D1528">
        <v>1.3</v>
      </c>
      <c r="E1528">
        <v>1</v>
      </c>
      <c r="F1528" t="str">
        <f t="shared" si="23"/>
        <v>biomass</v>
      </c>
    </row>
    <row r="1529" spans="1:6" x14ac:dyDescent="0.25">
      <c r="A1529" t="s">
        <v>144</v>
      </c>
      <c r="B1529" t="s">
        <v>81</v>
      </c>
      <c r="C1529">
        <v>1991</v>
      </c>
      <c r="D1529">
        <v>638</v>
      </c>
      <c r="E1529">
        <v>685.1</v>
      </c>
      <c r="F1529" t="str">
        <f t="shared" si="23"/>
        <v>hard coal</v>
      </c>
    </row>
    <row r="1530" spans="1:6" x14ac:dyDescent="0.25">
      <c r="A1530" t="s">
        <v>144</v>
      </c>
      <c r="B1530" t="s">
        <v>98</v>
      </c>
      <c r="C1530">
        <v>1995</v>
      </c>
      <c r="D1530">
        <v>54</v>
      </c>
      <c r="E1530">
        <v>67.8</v>
      </c>
      <c r="F1530" t="str">
        <f t="shared" si="23"/>
        <v>municipal solid waste</v>
      </c>
    </row>
    <row r="1531" spans="1:6" x14ac:dyDescent="0.25">
      <c r="A1531" t="s">
        <v>144</v>
      </c>
      <c r="B1531" t="s">
        <v>98</v>
      </c>
      <c r="C1531">
        <v>2001</v>
      </c>
      <c r="D1531">
        <v>4.3</v>
      </c>
      <c r="E1531">
        <v>4.3</v>
      </c>
      <c r="F1531" t="str">
        <f t="shared" si="23"/>
        <v>municipal solid waste</v>
      </c>
    </row>
    <row r="1532" spans="1:6" x14ac:dyDescent="0.25">
      <c r="A1532" t="s">
        <v>144</v>
      </c>
      <c r="B1532" t="s">
        <v>84</v>
      </c>
      <c r="C1532">
        <v>1996</v>
      </c>
      <c r="D1532">
        <v>427.4</v>
      </c>
      <c r="E1532">
        <v>288.8</v>
      </c>
      <c r="F1532" t="str">
        <f t="shared" si="23"/>
        <v>natural gas combined cycle</v>
      </c>
    </row>
    <row r="1533" spans="1:6" x14ac:dyDescent="0.25">
      <c r="A1533" t="s">
        <v>144</v>
      </c>
      <c r="B1533" t="s">
        <v>84</v>
      </c>
      <c r="C1533">
        <v>2014</v>
      </c>
      <c r="D1533">
        <v>24.5</v>
      </c>
      <c r="E1533">
        <v>24.5</v>
      </c>
      <c r="F1533" t="str">
        <f t="shared" si="23"/>
        <v>natural gas combined cycle</v>
      </c>
    </row>
    <row r="1534" spans="1:6" x14ac:dyDescent="0.25">
      <c r="A1534" t="s">
        <v>144</v>
      </c>
      <c r="B1534" t="s">
        <v>84</v>
      </c>
      <c r="C1534">
        <v>2017</v>
      </c>
      <c r="D1534">
        <v>733.3</v>
      </c>
      <c r="E1534">
        <v>775.3</v>
      </c>
      <c r="F1534" t="str">
        <f t="shared" si="23"/>
        <v>natural gas combined cycle</v>
      </c>
    </row>
    <row r="1535" spans="1:6" x14ac:dyDescent="0.25">
      <c r="A1535" t="s">
        <v>144</v>
      </c>
      <c r="B1535" t="s">
        <v>84</v>
      </c>
      <c r="C1535">
        <v>2018</v>
      </c>
      <c r="D1535">
        <v>2228.4</v>
      </c>
      <c r="E1535">
        <v>1944.2</v>
      </c>
      <c r="F1535" t="str">
        <f t="shared" si="23"/>
        <v>natural gas combined cycle</v>
      </c>
    </row>
    <row r="1536" spans="1:6" x14ac:dyDescent="0.25">
      <c r="A1536" t="s">
        <v>144</v>
      </c>
      <c r="B1536" t="s">
        <v>93</v>
      </c>
      <c r="C1536">
        <v>1991</v>
      </c>
      <c r="D1536">
        <v>390</v>
      </c>
      <c r="E1536">
        <v>456</v>
      </c>
      <c r="F1536" t="str">
        <f t="shared" si="23"/>
        <v>natural gas peaker</v>
      </c>
    </row>
    <row r="1537" spans="1:6" x14ac:dyDescent="0.25">
      <c r="A1537" t="s">
        <v>144</v>
      </c>
      <c r="B1537" t="s">
        <v>93</v>
      </c>
      <c r="C1537">
        <v>1992</v>
      </c>
      <c r="D1537">
        <v>299</v>
      </c>
      <c r="E1537">
        <v>326</v>
      </c>
      <c r="F1537" t="str">
        <f t="shared" si="23"/>
        <v>natural gas peaker</v>
      </c>
    </row>
    <row r="1538" spans="1:6" x14ac:dyDescent="0.25">
      <c r="A1538" t="s">
        <v>144</v>
      </c>
      <c r="B1538" t="s">
        <v>93</v>
      </c>
      <c r="C1538">
        <v>1995</v>
      </c>
      <c r="D1538">
        <v>139</v>
      </c>
      <c r="E1538">
        <v>192</v>
      </c>
      <c r="F1538" t="str">
        <f t="shared" ref="F1538:F1601" si="24">LOWER($B1538)</f>
        <v>natural gas peaker</v>
      </c>
    </row>
    <row r="1539" spans="1:6" x14ac:dyDescent="0.25">
      <c r="A1539" t="s">
        <v>144</v>
      </c>
      <c r="B1539" t="s">
        <v>93</v>
      </c>
      <c r="C1539">
        <v>2003</v>
      </c>
      <c r="D1539">
        <v>695.4</v>
      </c>
      <c r="E1539">
        <v>827.6</v>
      </c>
      <c r="F1539" t="str">
        <f t="shared" si="24"/>
        <v>natural gas peaker</v>
      </c>
    </row>
    <row r="1540" spans="1:6" x14ac:dyDescent="0.25">
      <c r="A1540" t="s">
        <v>144</v>
      </c>
      <c r="B1540" t="s">
        <v>93</v>
      </c>
      <c r="C1540">
        <v>2004</v>
      </c>
      <c r="D1540">
        <v>23.4</v>
      </c>
      <c r="E1540">
        <v>24.1</v>
      </c>
      <c r="F1540" t="str">
        <f t="shared" si="24"/>
        <v>natural gas peaker</v>
      </c>
    </row>
    <row r="1541" spans="1:6" x14ac:dyDescent="0.25">
      <c r="A1541" t="s">
        <v>144</v>
      </c>
      <c r="B1541" t="s">
        <v>93</v>
      </c>
      <c r="C1541">
        <v>2008</v>
      </c>
      <c r="D1541">
        <v>4.3</v>
      </c>
      <c r="E1541">
        <v>4.3</v>
      </c>
      <c r="F1541" t="str">
        <f t="shared" si="24"/>
        <v>natural gas peaker</v>
      </c>
    </row>
    <row r="1542" spans="1:6" x14ac:dyDescent="0.25">
      <c r="A1542" t="s">
        <v>144</v>
      </c>
      <c r="B1542" t="s">
        <v>93</v>
      </c>
      <c r="C1542">
        <v>2009</v>
      </c>
      <c r="D1542">
        <v>4.3</v>
      </c>
      <c r="E1542">
        <v>4.3</v>
      </c>
      <c r="F1542" t="str">
        <f t="shared" si="24"/>
        <v>natural gas peaker</v>
      </c>
    </row>
    <row r="1543" spans="1:6" x14ac:dyDescent="0.25">
      <c r="A1543" t="s">
        <v>144</v>
      </c>
      <c r="B1543" t="s">
        <v>93</v>
      </c>
      <c r="C1543">
        <v>2010</v>
      </c>
      <c r="D1543">
        <v>4.3</v>
      </c>
      <c r="E1543">
        <v>4.3</v>
      </c>
      <c r="F1543" t="str">
        <f t="shared" si="24"/>
        <v>natural gas peaker</v>
      </c>
    </row>
    <row r="1544" spans="1:6" x14ac:dyDescent="0.25">
      <c r="A1544" t="s">
        <v>144</v>
      </c>
      <c r="B1544" t="s">
        <v>93</v>
      </c>
      <c r="C1544">
        <v>2013</v>
      </c>
      <c r="D1544">
        <v>1.6</v>
      </c>
      <c r="E1544">
        <v>1.7</v>
      </c>
      <c r="F1544" t="str">
        <f t="shared" si="24"/>
        <v>natural gas peaker</v>
      </c>
    </row>
    <row r="1545" spans="1:6" x14ac:dyDescent="0.25">
      <c r="A1545" t="s">
        <v>144</v>
      </c>
      <c r="B1545" t="s">
        <v>93</v>
      </c>
      <c r="C1545">
        <v>2015</v>
      </c>
      <c r="D1545">
        <v>109.8</v>
      </c>
      <c r="E1545">
        <v>141</v>
      </c>
      <c r="F1545" t="str">
        <f t="shared" si="24"/>
        <v>natural gas peaker</v>
      </c>
    </row>
    <row r="1546" spans="1:6" x14ac:dyDescent="0.25">
      <c r="A1546" t="s">
        <v>144</v>
      </c>
      <c r="B1546" t="s">
        <v>93</v>
      </c>
      <c r="C1546">
        <v>2016</v>
      </c>
      <c r="D1546">
        <v>6.2</v>
      </c>
      <c r="E1546">
        <v>7.9</v>
      </c>
      <c r="F1546" t="str">
        <f t="shared" si="24"/>
        <v>natural gas peaker</v>
      </c>
    </row>
    <row r="1547" spans="1:6" x14ac:dyDescent="0.25">
      <c r="A1547" t="s">
        <v>144</v>
      </c>
      <c r="B1547" t="s">
        <v>93</v>
      </c>
      <c r="C1547">
        <v>2018</v>
      </c>
      <c r="D1547">
        <v>27.6</v>
      </c>
      <c r="E1547">
        <v>28</v>
      </c>
      <c r="F1547" t="str">
        <f t="shared" si="24"/>
        <v>natural gas peaker</v>
      </c>
    </row>
    <row r="1548" spans="1:6" x14ac:dyDescent="0.25">
      <c r="A1548" t="s">
        <v>144</v>
      </c>
      <c r="B1548" t="s">
        <v>93</v>
      </c>
      <c r="C1548">
        <v>2020</v>
      </c>
      <c r="D1548">
        <v>2</v>
      </c>
      <c r="E1548">
        <v>2</v>
      </c>
      <c r="F1548" t="str">
        <f t="shared" si="24"/>
        <v>natural gas peaker</v>
      </c>
    </row>
    <row r="1549" spans="1:6" x14ac:dyDescent="0.25">
      <c r="A1549" t="s">
        <v>144</v>
      </c>
      <c r="B1549" t="s">
        <v>93</v>
      </c>
      <c r="C1549">
        <v>2022</v>
      </c>
      <c r="D1549">
        <v>1.1000000000000001</v>
      </c>
      <c r="E1549">
        <v>1.1000000000000001</v>
      </c>
      <c r="F1549" t="str">
        <f t="shared" si="24"/>
        <v>natural gas peaker</v>
      </c>
    </row>
    <row r="1550" spans="1:6" x14ac:dyDescent="0.25">
      <c r="A1550" t="s">
        <v>144</v>
      </c>
      <c r="B1550" t="s">
        <v>93</v>
      </c>
      <c r="C1550">
        <v>2023</v>
      </c>
      <c r="D1550">
        <v>0.6</v>
      </c>
      <c r="E1550">
        <v>0.6</v>
      </c>
      <c r="F1550" t="str">
        <f t="shared" si="24"/>
        <v>natural gas peaker</v>
      </c>
    </row>
    <row r="1551" spans="1:6" x14ac:dyDescent="0.25">
      <c r="A1551" t="s">
        <v>144</v>
      </c>
      <c r="B1551" t="s">
        <v>93</v>
      </c>
      <c r="C1551">
        <v>2024</v>
      </c>
      <c r="D1551">
        <v>1.2</v>
      </c>
      <c r="E1551">
        <v>1.2</v>
      </c>
      <c r="F1551" t="str">
        <f t="shared" si="24"/>
        <v>natural gas peaker</v>
      </c>
    </row>
    <row r="1552" spans="1:6" x14ac:dyDescent="0.25">
      <c r="A1552" t="s">
        <v>144</v>
      </c>
      <c r="B1552" t="s">
        <v>83</v>
      </c>
      <c r="C1552">
        <v>2001</v>
      </c>
      <c r="D1552">
        <v>10</v>
      </c>
      <c r="E1552">
        <v>10</v>
      </c>
      <c r="F1552" t="str">
        <f t="shared" si="24"/>
        <v>natural gas steam turbine</v>
      </c>
    </row>
    <row r="1553" spans="1:6" x14ac:dyDescent="0.25">
      <c r="A1553" t="s">
        <v>144</v>
      </c>
      <c r="B1553" t="s">
        <v>83</v>
      </c>
      <c r="C1553">
        <v>2003</v>
      </c>
      <c r="D1553">
        <v>2</v>
      </c>
      <c r="E1553">
        <v>5.4</v>
      </c>
      <c r="F1553" t="str">
        <f t="shared" si="24"/>
        <v>natural gas steam turbine</v>
      </c>
    </row>
    <row r="1554" spans="1:6" x14ac:dyDescent="0.25">
      <c r="A1554" t="s">
        <v>144</v>
      </c>
      <c r="B1554" t="s">
        <v>87</v>
      </c>
      <c r="C1554">
        <v>2010</v>
      </c>
      <c r="D1554">
        <v>70</v>
      </c>
      <c r="E1554">
        <v>70</v>
      </c>
      <c r="F1554" t="str">
        <f t="shared" si="24"/>
        <v>onshore wind</v>
      </c>
    </row>
    <row r="1555" spans="1:6" x14ac:dyDescent="0.25">
      <c r="A1555" t="s">
        <v>144</v>
      </c>
      <c r="B1555" t="s">
        <v>87</v>
      </c>
      <c r="C1555">
        <v>2011</v>
      </c>
      <c r="D1555">
        <v>50</v>
      </c>
      <c r="E1555">
        <v>50</v>
      </c>
      <c r="F1555" t="str">
        <f t="shared" si="24"/>
        <v>onshore wind</v>
      </c>
    </row>
    <row r="1556" spans="1:6" x14ac:dyDescent="0.25">
      <c r="A1556" t="s">
        <v>144</v>
      </c>
      <c r="B1556" t="s">
        <v>87</v>
      </c>
      <c r="C1556">
        <v>2014</v>
      </c>
      <c r="D1556">
        <v>40</v>
      </c>
      <c r="E1556">
        <v>40</v>
      </c>
      <c r="F1556" t="str">
        <f t="shared" si="24"/>
        <v>onshore wind</v>
      </c>
    </row>
    <row r="1557" spans="1:6" x14ac:dyDescent="0.25">
      <c r="A1557" t="s">
        <v>144</v>
      </c>
      <c r="B1557" t="s">
        <v>87</v>
      </c>
      <c r="C1557">
        <v>2015</v>
      </c>
      <c r="D1557">
        <v>30</v>
      </c>
      <c r="E1557">
        <v>30</v>
      </c>
      <c r="F1557" t="str">
        <f t="shared" si="24"/>
        <v>onshore wind</v>
      </c>
    </row>
    <row r="1558" spans="1:6" x14ac:dyDescent="0.25">
      <c r="A1558" t="s">
        <v>144</v>
      </c>
      <c r="B1558" t="s">
        <v>87</v>
      </c>
      <c r="C1558">
        <v>2025</v>
      </c>
      <c r="D1558">
        <v>54.9</v>
      </c>
      <c r="E1558">
        <v>54.9</v>
      </c>
      <c r="F1558" t="str">
        <f t="shared" si="24"/>
        <v>onshore wind</v>
      </c>
    </row>
    <row r="1559" spans="1:6" x14ac:dyDescent="0.25">
      <c r="A1559" t="s">
        <v>144</v>
      </c>
      <c r="B1559" t="s">
        <v>92</v>
      </c>
      <c r="C1559">
        <v>1990</v>
      </c>
      <c r="D1559">
        <v>80.2</v>
      </c>
      <c r="E1559">
        <v>94</v>
      </c>
      <c r="F1559" t="str">
        <f t="shared" si="24"/>
        <v>petroleum</v>
      </c>
    </row>
    <row r="1560" spans="1:6" x14ac:dyDescent="0.25">
      <c r="A1560" t="s">
        <v>144</v>
      </c>
      <c r="B1560" t="s">
        <v>92</v>
      </c>
      <c r="C1560">
        <v>1994</v>
      </c>
      <c r="D1560">
        <v>1.6</v>
      </c>
      <c r="E1560">
        <v>1.7</v>
      </c>
      <c r="F1560" t="str">
        <f t="shared" si="24"/>
        <v>petroleum</v>
      </c>
    </row>
    <row r="1561" spans="1:6" x14ac:dyDescent="0.25">
      <c r="A1561" t="s">
        <v>144</v>
      </c>
      <c r="B1561" t="s">
        <v>92</v>
      </c>
      <c r="C1561">
        <v>1995</v>
      </c>
      <c r="D1561">
        <v>6</v>
      </c>
      <c r="E1561">
        <v>6</v>
      </c>
      <c r="F1561" t="str">
        <f t="shared" si="24"/>
        <v>petroleum</v>
      </c>
    </row>
    <row r="1562" spans="1:6" x14ac:dyDescent="0.25">
      <c r="A1562" t="s">
        <v>144</v>
      </c>
      <c r="B1562" t="s">
        <v>92</v>
      </c>
      <c r="C1562">
        <v>1999</v>
      </c>
      <c r="D1562">
        <v>3.6</v>
      </c>
      <c r="E1562">
        <v>3.6</v>
      </c>
      <c r="F1562" t="str">
        <f t="shared" si="24"/>
        <v>petroleum</v>
      </c>
    </row>
    <row r="1563" spans="1:6" x14ac:dyDescent="0.25">
      <c r="A1563" t="s">
        <v>144</v>
      </c>
      <c r="B1563" t="s">
        <v>92</v>
      </c>
      <c r="C1563">
        <v>2000</v>
      </c>
      <c r="D1563">
        <v>1.8</v>
      </c>
      <c r="E1563">
        <v>1.8</v>
      </c>
      <c r="F1563" t="str">
        <f t="shared" si="24"/>
        <v>petroleum</v>
      </c>
    </row>
    <row r="1564" spans="1:6" x14ac:dyDescent="0.25">
      <c r="A1564" t="s">
        <v>144</v>
      </c>
      <c r="B1564" t="s">
        <v>92</v>
      </c>
      <c r="C1564">
        <v>2003</v>
      </c>
      <c r="D1564">
        <v>2.2999999999999998</v>
      </c>
      <c r="E1564">
        <v>2.2999999999999998</v>
      </c>
      <c r="F1564" t="str">
        <f t="shared" si="24"/>
        <v>petroleum</v>
      </c>
    </row>
    <row r="1565" spans="1:6" x14ac:dyDescent="0.25">
      <c r="A1565" t="s">
        <v>144</v>
      </c>
      <c r="B1565" t="s">
        <v>92</v>
      </c>
      <c r="C1565">
        <v>2004</v>
      </c>
      <c r="D1565">
        <v>9</v>
      </c>
      <c r="E1565">
        <v>10.8</v>
      </c>
      <c r="F1565" t="str">
        <f t="shared" si="24"/>
        <v>petroleum</v>
      </c>
    </row>
    <row r="1566" spans="1:6" x14ac:dyDescent="0.25">
      <c r="A1566" t="s">
        <v>144</v>
      </c>
      <c r="B1566" t="s">
        <v>92</v>
      </c>
      <c r="C1566">
        <v>2014</v>
      </c>
      <c r="D1566">
        <v>4.5999999999999996</v>
      </c>
      <c r="E1566">
        <v>4.5999999999999996</v>
      </c>
      <c r="F1566" t="str">
        <f t="shared" si="24"/>
        <v>petroleum</v>
      </c>
    </row>
    <row r="1567" spans="1:6" x14ac:dyDescent="0.25">
      <c r="A1567" t="s">
        <v>144</v>
      </c>
      <c r="B1567" t="s">
        <v>92</v>
      </c>
      <c r="C1567">
        <v>2021</v>
      </c>
      <c r="D1567">
        <v>1</v>
      </c>
      <c r="E1567">
        <v>1</v>
      </c>
      <c r="F1567" t="str">
        <f t="shared" si="24"/>
        <v>petroleum</v>
      </c>
    </row>
    <row r="1568" spans="1:6" x14ac:dyDescent="0.25">
      <c r="A1568" t="s">
        <v>144</v>
      </c>
      <c r="B1568" t="s">
        <v>249</v>
      </c>
      <c r="C1568">
        <v>2010</v>
      </c>
      <c r="D1568">
        <v>1.4</v>
      </c>
      <c r="E1568">
        <v>1.4</v>
      </c>
      <c r="F1568" t="str">
        <f t="shared" si="24"/>
        <v>solar pv</v>
      </c>
    </row>
    <row r="1569" spans="1:6" x14ac:dyDescent="0.25">
      <c r="A1569" t="s">
        <v>144</v>
      </c>
      <c r="B1569" t="s">
        <v>249</v>
      </c>
      <c r="C1569">
        <v>2011</v>
      </c>
      <c r="D1569">
        <v>6.1</v>
      </c>
      <c r="E1569">
        <v>6</v>
      </c>
      <c r="F1569" t="str">
        <f t="shared" si="24"/>
        <v>solar pv</v>
      </c>
    </row>
    <row r="1570" spans="1:6" x14ac:dyDescent="0.25">
      <c r="A1570" t="s">
        <v>144</v>
      </c>
      <c r="B1570" t="s">
        <v>249</v>
      </c>
      <c r="C1570">
        <v>2012</v>
      </c>
      <c r="D1570">
        <v>24</v>
      </c>
      <c r="E1570">
        <v>24</v>
      </c>
      <c r="F1570" t="str">
        <f t="shared" si="24"/>
        <v>solar pv</v>
      </c>
    </row>
    <row r="1571" spans="1:6" x14ac:dyDescent="0.25">
      <c r="A1571" t="s">
        <v>144</v>
      </c>
      <c r="B1571" t="s">
        <v>249</v>
      </c>
      <c r="C1571">
        <v>2013</v>
      </c>
      <c r="D1571">
        <v>28.7</v>
      </c>
      <c r="E1571">
        <v>34.9</v>
      </c>
      <c r="F1571" t="str">
        <f t="shared" si="24"/>
        <v>solar pv</v>
      </c>
    </row>
    <row r="1572" spans="1:6" x14ac:dyDescent="0.25">
      <c r="A1572" t="s">
        <v>144</v>
      </c>
      <c r="B1572" t="s">
        <v>249</v>
      </c>
      <c r="C1572">
        <v>2014</v>
      </c>
      <c r="D1572">
        <v>4.4000000000000004</v>
      </c>
      <c r="E1572">
        <v>4.4000000000000004</v>
      </c>
      <c r="F1572" t="str">
        <f t="shared" si="24"/>
        <v>solar pv</v>
      </c>
    </row>
    <row r="1573" spans="1:6" x14ac:dyDescent="0.25">
      <c r="A1573" t="s">
        <v>144</v>
      </c>
      <c r="B1573" t="s">
        <v>249</v>
      </c>
      <c r="C1573">
        <v>2015</v>
      </c>
      <c r="D1573">
        <v>48.7</v>
      </c>
      <c r="E1573">
        <v>48.7</v>
      </c>
      <c r="F1573" t="str">
        <f t="shared" si="24"/>
        <v>solar pv</v>
      </c>
    </row>
    <row r="1574" spans="1:6" x14ac:dyDescent="0.25">
      <c r="A1574" t="s">
        <v>144</v>
      </c>
      <c r="B1574" t="s">
        <v>249</v>
      </c>
      <c r="C1574">
        <v>2016</v>
      </c>
      <c r="D1574">
        <v>64.7</v>
      </c>
      <c r="E1574">
        <v>64.7</v>
      </c>
      <c r="F1574" t="str">
        <f t="shared" si="24"/>
        <v>solar pv</v>
      </c>
    </row>
    <row r="1575" spans="1:6" x14ac:dyDescent="0.25">
      <c r="A1575" t="s">
        <v>144</v>
      </c>
      <c r="B1575" t="s">
        <v>249</v>
      </c>
      <c r="C1575">
        <v>2017</v>
      </c>
      <c r="D1575">
        <v>5</v>
      </c>
      <c r="E1575">
        <v>5</v>
      </c>
      <c r="F1575" t="str">
        <f t="shared" si="24"/>
        <v>solar pv</v>
      </c>
    </row>
    <row r="1576" spans="1:6" x14ac:dyDescent="0.25">
      <c r="A1576" t="s">
        <v>144</v>
      </c>
      <c r="B1576" t="s">
        <v>249</v>
      </c>
      <c r="C1576">
        <v>2018</v>
      </c>
      <c r="D1576">
        <v>104.4</v>
      </c>
      <c r="E1576">
        <v>104.3</v>
      </c>
      <c r="F1576" t="str">
        <f t="shared" si="24"/>
        <v>solar pv</v>
      </c>
    </row>
    <row r="1577" spans="1:6" x14ac:dyDescent="0.25">
      <c r="A1577" t="s">
        <v>144</v>
      </c>
      <c r="B1577" t="s">
        <v>249</v>
      </c>
      <c r="C1577">
        <v>2019</v>
      </c>
      <c r="D1577">
        <v>33.6</v>
      </c>
      <c r="E1577">
        <v>33.6</v>
      </c>
      <c r="F1577" t="str">
        <f t="shared" si="24"/>
        <v>solar pv</v>
      </c>
    </row>
    <row r="1578" spans="1:6" x14ac:dyDescent="0.25">
      <c r="A1578" t="s">
        <v>144</v>
      </c>
      <c r="B1578" t="s">
        <v>249</v>
      </c>
      <c r="C1578">
        <v>2020</v>
      </c>
      <c r="D1578">
        <v>84.2</v>
      </c>
      <c r="E1578">
        <v>86.7</v>
      </c>
      <c r="F1578" t="str">
        <f t="shared" si="24"/>
        <v>solar pv</v>
      </c>
    </row>
    <row r="1579" spans="1:6" x14ac:dyDescent="0.25">
      <c r="A1579" t="s">
        <v>144</v>
      </c>
      <c r="B1579" t="s">
        <v>249</v>
      </c>
      <c r="C1579">
        <v>2021</v>
      </c>
      <c r="D1579">
        <v>51.2</v>
      </c>
      <c r="E1579">
        <v>51.2</v>
      </c>
      <c r="F1579" t="str">
        <f t="shared" si="24"/>
        <v>solar pv</v>
      </c>
    </row>
    <row r="1580" spans="1:6" x14ac:dyDescent="0.25">
      <c r="A1580" t="s">
        <v>144</v>
      </c>
      <c r="B1580" t="s">
        <v>249</v>
      </c>
      <c r="C1580">
        <v>2022</v>
      </c>
      <c r="D1580">
        <v>113.5</v>
      </c>
      <c r="E1580">
        <v>113.5</v>
      </c>
      <c r="F1580" t="str">
        <f t="shared" si="24"/>
        <v>solar pv</v>
      </c>
    </row>
    <row r="1581" spans="1:6" x14ac:dyDescent="0.25">
      <c r="A1581" t="s">
        <v>144</v>
      </c>
      <c r="B1581" t="s">
        <v>249</v>
      </c>
      <c r="C1581">
        <v>2023</v>
      </c>
      <c r="D1581">
        <v>58.7</v>
      </c>
      <c r="E1581">
        <v>58.7</v>
      </c>
      <c r="F1581" t="str">
        <f t="shared" si="24"/>
        <v>solar pv</v>
      </c>
    </row>
    <row r="1582" spans="1:6" x14ac:dyDescent="0.25">
      <c r="A1582" t="s">
        <v>144</v>
      </c>
      <c r="B1582" t="s">
        <v>249</v>
      </c>
      <c r="C1582">
        <v>2024</v>
      </c>
      <c r="D1582">
        <v>96</v>
      </c>
      <c r="E1582">
        <v>95.9</v>
      </c>
      <c r="F1582" t="str">
        <f t="shared" si="24"/>
        <v>solar pv</v>
      </c>
    </row>
    <row r="1583" spans="1:6" x14ac:dyDescent="0.25">
      <c r="A1583" t="s">
        <v>144</v>
      </c>
      <c r="B1583" t="s">
        <v>249</v>
      </c>
      <c r="C1583">
        <v>2025</v>
      </c>
      <c r="D1583">
        <v>336.5</v>
      </c>
      <c r="E1583">
        <v>352.4</v>
      </c>
      <c r="F1583" t="str">
        <f t="shared" si="24"/>
        <v>solar pv</v>
      </c>
    </row>
    <row r="1584" spans="1:6" x14ac:dyDescent="0.25">
      <c r="A1584" t="s">
        <v>146</v>
      </c>
      <c r="B1584" t="s">
        <v>90</v>
      </c>
      <c r="C1584">
        <v>1990</v>
      </c>
      <c r="D1584">
        <v>136</v>
      </c>
      <c r="E1584">
        <v>163.80000000000001</v>
      </c>
      <c r="F1584" t="str">
        <f t="shared" si="24"/>
        <v>biomass</v>
      </c>
    </row>
    <row r="1585" spans="1:6" x14ac:dyDescent="0.25">
      <c r="A1585" t="s">
        <v>146</v>
      </c>
      <c r="B1585" t="s">
        <v>90</v>
      </c>
      <c r="C1585">
        <v>1992</v>
      </c>
      <c r="D1585">
        <v>38</v>
      </c>
      <c r="E1585">
        <v>39.6</v>
      </c>
      <c r="F1585" t="str">
        <f t="shared" si="24"/>
        <v>biomass</v>
      </c>
    </row>
    <row r="1586" spans="1:6" x14ac:dyDescent="0.25">
      <c r="A1586" t="s">
        <v>146</v>
      </c>
      <c r="B1586" t="s">
        <v>90</v>
      </c>
      <c r="C1586">
        <v>2009</v>
      </c>
      <c r="D1586">
        <v>3.2</v>
      </c>
      <c r="E1586">
        <v>3.2</v>
      </c>
      <c r="F1586" t="str">
        <f t="shared" si="24"/>
        <v>biomass</v>
      </c>
    </row>
    <row r="1587" spans="1:6" x14ac:dyDescent="0.25">
      <c r="A1587" t="s">
        <v>146</v>
      </c>
      <c r="B1587" t="s">
        <v>90</v>
      </c>
      <c r="C1587">
        <v>2016</v>
      </c>
      <c r="D1587">
        <v>7.1</v>
      </c>
      <c r="E1587">
        <v>8.5</v>
      </c>
      <c r="F1587" t="str">
        <f t="shared" si="24"/>
        <v>biomass</v>
      </c>
    </row>
    <row r="1588" spans="1:6" x14ac:dyDescent="0.25">
      <c r="A1588" t="s">
        <v>146</v>
      </c>
      <c r="B1588" t="s">
        <v>90</v>
      </c>
      <c r="C1588">
        <v>2018</v>
      </c>
      <c r="D1588">
        <v>8.5</v>
      </c>
      <c r="E1588">
        <v>10</v>
      </c>
      <c r="F1588" t="str">
        <f t="shared" si="24"/>
        <v>biomass</v>
      </c>
    </row>
    <row r="1589" spans="1:6" x14ac:dyDescent="0.25">
      <c r="A1589" t="s">
        <v>146</v>
      </c>
      <c r="B1589" t="s">
        <v>86</v>
      </c>
      <c r="C1589">
        <v>1990</v>
      </c>
      <c r="D1589">
        <v>28</v>
      </c>
      <c r="E1589">
        <v>28.4</v>
      </c>
      <c r="F1589" t="str">
        <f t="shared" si="24"/>
        <v>hydro</v>
      </c>
    </row>
    <row r="1590" spans="1:6" x14ac:dyDescent="0.25">
      <c r="A1590" t="s">
        <v>146</v>
      </c>
      <c r="B1590" t="s">
        <v>86</v>
      </c>
      <c r="C1590">
        <v>2004</v>
      </c>
      <c r="D1590">
        <v>1</v>
      </c>
      <c r="E1590">
        <v>1</v>
      </c>
      <c r="F1590" t="str">
        <f t="shared" si="24"/>
        <v>hydro</v>
      </c>
    </row>
    <row r="1591" spans="1:6" x14ac:dyDescent="0.25">
      <c r="A1591" t="s">
        <v>146</v>
      </c>
      <c r="B1591" t="s">
        <v>86</v>
      </c>
      <c r="C1591">
        <v>2008</v>
      </c>
      <c r="D1591">
        <v>2.6</v>
      </c>
      <c r="E1591">
        <v>3</v>
      </c>
      <c r="F1591" t="str">
        <f t="shared" si="24"/>
        <v>hydro</v>
      </c>
    </row>
    <row r="1592" spans="1:6" x14ac:dyDescent="0.25">
      <c r="A1592" t="s">
        <v>146</v>
      </c>
      <c r="B1592" t="s">
        <v>86</v>
      </c>
      <c r="C1592">
        <v>2009</v>
      </c>
      <c r="D1592">
        <v>2.7</v>
      </c>
      <c r="E1592">
        <v>2.7</v>
      </c>
      <c r="F1592" t="str">
        <f t="shared" si="24"/>
        <v>hydro</v>
      </c>
    </row>
    <row r="1593" spans="1:6" x14ac:dyDescent="0.25">
      <c r="A1593" t="s">
        <v>146</v>
      </c>
      <c r="B1593" t="s">
        <v>86</v>
      </c>
      <c r="C1593">
        <v>2011</v>
      </c>
      <c r="D1593">
        <v>1.4</v>
      </c>
      <c r="E1593">
        <v>1.4</v>
      </c>
      <c r="F1593" t="str">
        <f t="shared" si="24"/>
        <v>hydro</v>
      </c>
    </row>
    <row r="1594" spans="1:6" x14ac:dyDescent="0.25">
      <c r="A1594" t="s">
        <v>146</v>
      </c>
      <c r="B1594" t="s">
        <v>86</v>
      </c>
      <c r="C1594">
        <v>2013</v>
      </c>
      <c r="D1594">
        <v>6.3</v>
      </c>
      <c r="E1594">
        <v>6.3</v>
      </c>
      <c r="F1594" t="str">
        <f t="shared" si="24"/>
        <v>hydro</v>
      </c>
    </row>
    <row r="1595" spans="1:6" x14ac:dyDescent="0.25">
      <c r="A1595" t="s">
        <v>146</v>
      </c>
      <c r="B1595" t="s">
        <v>98</v>
      </c>
      <c r="C1595">
        <v>1992</v>
      </c>
      <c r="D1595">
        <v>2.7</v>
      </c>
      <c r="E1595">
        <v>5</v>
      </c>
      <c r="F1595" t="str">
        <f t="shared" si="24"/>
        <v>municipal solid waste</v>
      </c>
    </row>
    <row r="1596" spans="1:6" x14ac:dyDescent="0.25">
      <c r="A1596" t="s">
        <v>146</v>
      </c>
      <c r="B1596" t="s">
        <v>84</v>
      </c>
      <c r="C1596">
        <v>2000</v>
      </c>
      <c r="D1596">
        <v>751.4</v>
      </c>
      <c r="E1596">
        <v>824.7</v>
      </c>
      <c r="F1596" t="str">
        <f t="shared" si="24"/>
        <v>natural gas combined cycle</v>
      </c>
    </row>
    <row r="1597" spans="1:6" x14ac:dyDescent="0.25">
      <c r="A1597" t="s">
        <v>146</v>
      </c>
      <c r="B1597" t="s">
        <v>84</v>
      </c>
      <c r="C1597">
        <v>2001</v>
      </c>
      <c r="D1597">
        <v>526.77</v>
      </c>
      <c r="E1597">
        <v>563.9</v>
      </c>
      <c r="F1597" t="str">
        <f t="shared" si="24"/>
        <v>natural gas combined cycle</v>
      </c>
    </row>
    <row r="1598" spans="1:6" x14ac:dyDescent="0.25">
      <c r="A1598" t="s">
        <v>146</v>
      </c>
      <c r="B1598" t="s">
        <v>93</v>
      </c>
      <c r="C1598">
        <v>1999</v>
      </c>
      <c r="D1598">
        <v>89.6</v>
      </c>
      <c r="E1598">
        <v>109</v>
      </c>
      <c r="F1598" t="str">
        <f t="shared" si="24"/>
        <v>natural gas peaker</v>
      </c>
    </row>
    <row r="1599" spans="1:6" x14ac:dyDescent="0.25">
      <c r="A1599" t="s">
        <v>146</v>
      </c>
      <c r="B1599" t="s">
        <v>93</v>
      </c>
      <c r="C1599">
        <v>2000</v>
      </c>
      <c r="D1599">
        <v>40.6</v>
      </c>
      <c r="E1599">
        <v>54.5</v>
      </c>
      <c r="F1599" t="str">
        <f t="shared" si="24"/>
        <v>natural gas peaker</v>
      </c>
    </row>
    <row r="1600" spans="1:6" x14ac:dyDescent="0.25">
      <c r="A1600" t="s">
        <v>146</v>
      </c>
      <c r="B1600" t="s">
        <v>93</v>
      </c>
      <c r="C1600">
        <v>2001</v>
      </c>
      <c r="D1600">
        <v>178</v>
      </c>
      <c r="E1600">
        <v>186.8</v>
      </c>
      <c r="F1600" t="str">
        <f t="shared" si="24"/>
        <v>natural gas peaker</v>
      </c>
    </row>
    <row r="1601" spans="1:6" x14ac:dyDescent="0.25">
      <c r="A1601" t="s">
        <v>146</v>
      </c>
      <c r="B1601" t="s">
        <v>93</v>
      </c>
      <c r="C1601">
        <v>2002</v>
      </c>
      <c r="D1601">
        <v>8.8000000000000007</v>
      </c>
      <c r="E1601">
        <v>9.5</v>
      </c>
      <c r="F1601" t="str">
        <f t="shared" si="24"/>
        <v>natural gas peaker</v>
      </c>
    </row>
    <row r="1602" spans="1:6" x14ac:dyDescent="0.25">
      <c r="A1602" t="s">
        <v>146</v>
      </c>
      <c r="B1602" t="s">
        <v>93</v>
      </c>
      <c r="C1602">
        <v>2006</v>
      </c>
      <c r="D1602">
        <v>3.8</v>
      </c>
      <c r="E1602">
        <v>3.8</v>
      </c>
      <c r="F1602" t="str">
        <f t="shared" ref="F1602:F1665" si="25">LOWER($B1602)</f>
        <v>natural gas peaker</v>
      </c>
    </row>
    <row r="1603" spans="1:6" x14ac:dyDescent="0.25">
      <c r="A1603" t="s">
        <v>146</v>
      </c>
      <c r="B1603" t="s">
        <v>83</v>
      </c>
      <c r="C1603">
        <v>1994</v>
      </c>
      <c r="D1603">
        <v>2</v>
      </c>
      <c r="E1603">
        <v>3</v>
      </c>
      <c r="F1603" t="str">
        <f t="shared" si="25"/>
        <v>natural gas steam turbine</v>
      </c>
    </row>
    <row r="1604" spans="1:6" x14ac:dyDescent="0.25">
      <c r="A1604" t="s">
        <v>146</v>
      </c>
      <c r="B1604" t="s">
        <v>83</v>
      </c>
      <c r="C1604">
        <v>2012</v>
      </c>
      <c r="D1604">
        <v>24</v>
      </c>
      <c r="E1604">
        <v>24</v>
      </c>
      <c r="F1604" t="str">
        <f t="shared" si="25"/>
        <v>natural gas steam turbine</v>
      </c>
    </row>
    <row r="1605" spans="1:6" x14ac:dyDescent="0.25">
      <c r="A1605" t="s">
        <v>146</v>
      </c>
      <c r="B1605" t="s">
        <v>87</v>
      </c>
      <c r="C1605">
        <v>2007</v>
      </c>
      <c r="D1605">
        <v>42</v>
      </c>
      <c r="E1605">
        <v>42</v>
      </c>
      <c r="F1605" t="str">
        <f t="shared" si="25"/>
        <v>onshore wind</v>
      </c>
    </row>
    <row r="1606" spans="1:6" x14ac:dyDescent="0.25">
      <c r="A1606" t="s">
        <v>146</v>
      </c>
      <c r="B1606" t="s">
        <v>87</v>
      </c>
      <c r="C1606">
        <v>2008</v>
      </c>
      <c r="D1606">
        <v>4.5</v>
      </c>
      <c r="E1606">
        <v>4.5</v>
      </c>
      <c r="F1606" t="str">
        <f t="shared" si="25"/>
        <v>onshore wind</v>
      </c>
    </row>
    <row r="1607" spans="1:6" x14ac:dyDescent="0.25">
      <c r="A1607" t="s">
        <v>146</v>
      </c>
      <c r="B1607" t="s">
        <v>87</v>
      </c>
      <c r="C1607">
        <v>2009</v>
      </c>
      <c r="D1607">
        <v>127.5</v>
      </c>
      <c r="E1607">
        <v>127.5</v>
      </c>
      <c r="F1607" t="str">
        <f t="shared" si="25"/>
        <v>onshore wind</v>
      </c>
    </row>
    <row r="1608" spans="1:6" x14ac:dyDescent="0.25">
      <c r="A1608" t="s">
        <v>146</v>
      </c>
      <c r="B1608" t="s">
        <v>87</v>
      </c>
      <c r="C1608">
        <v>2010</v>
      </c>
      <c r="D1608">
        <v>91.5</v>
      </c>
      <c r="E1608">
        <v>91.5</v>
      </c>
      <c r="F1608" t="str">
        <f t="shared" si="25"/>
        <v>onshore wind</v>
      </c>
    </row>
    <row r="1609" spans="1:6" x14ac:dyDescent="0.25">
      <c r="A1609" t="s">
        <v>146</v>
      </c>
      <c r="B1609" t="s">
        <v>87</v>
      </c>
      <c r="C1609">
        <v>2011</v>
      </c>
      <c r="D1609">
        <v>80</v>
      </c>
      <c r="E1609">
        <v>80</v>
      </c>
      <c r="F1609" t="str">
        <f t="shared" si="25"/>
        <v>onshore wind</v>
      </c>
    </row>
    <row r="1610" spans="1:6" x14ac:dyDescent="0.25">
      <c r="A1610" t="s">
        <v>146</v>
      </c>
      <c r="B1610" t="s">
        <v>87</v>
      </c>
      <c r="C1610">
        <v>2012</v>
      </c>
      <c r="D1610">
        <v>85.1</v>
      </c>
      <c r="E1610">
        <v>85.1</v>
      </c>
      <c r="F1610" t="str">
        <f t="shared" si="25"/>
        <v>onshore wind</v>
      </c>
    </row>
    <row r="1611" spans="1:6" x14ac:dyDescent="0.25">
      <c r="A1611" t="s">
        <v>146</v>
      </c>
      <c r="B1611" t="s">
        <v>87</v>
      </c>
      <c r="C1611">
        <v>2014</v>
      </c>
      <c r="D1611">
        <v>8.5</v>
      </c>
      <c r="E1611">
        <v>8.5</v>
      </c>
      <c r="F1611" t="str">
        <f t="shared" si="25"/>
        <v>onshore wind</v>
      </c>
    </row>
    <row r="1612" spans="1:6" x14ac:dyDescent="0.25">
      <c r="A1612" t="s">
        <v>146</v>
      </c>
      <c r="B1612" t="s">
        <v>87</v>
      </c>
      <c r="C1612">
        <v>2015</v>
      </c>
      <c r="D1612">
        <v>173.7</v>
      </c>
      <c r="E1612">
        <v>173.7</v>
      </c>
      <c r="F1612" t="str">
        <f t="shared" si="25"/>
        <v>onshore wind</v>
      </c>
    </row>
    <row r="1613" spans="1:6" x14ac:dyDescent="0.25">
      <c r="A1613" t="s">
        <v>146</v>
      </c>
      <c r="B1613" t="s">
        <v>87</v>
      </c>
      <c r="C1613">
        <v>2016</v>
      </c>
      <c r="D1613">
        <v>286</v>
      </c>
      <c r="E1613">
        <v>289</v>
      </c>
      <c r="F1613" t="str">
        <f t="shared" si="25"/>
        <v>onshore wind</v>
      </c>
    </row>
    <row r="1614" spans="1:6" x14ac:dyDescent="0.25">
      <c r="A1614" t="s">
        <v>146</v>
      </c>
      <c r="B1614" t="s">
        <v>87</v>
      </c>
      <c r="C1614">
        <v>2017</v>
      </c>
      <c r="D1614">
        <v>22.8</v>
      </c>
      <c r="E1614">
        <v>22.8</v>
      </c>
      <c r="F1614" t="str">
        <f t="shared" si="25"/>
        <v>onshore wind</v>
      </c>
    </row>
    <row r="1615" spans="1:6" x14ac:dyDescent="0.25">
      <c r="A1615" t="s">
        <v>146</v>
      </c>
      <c r="B1615" t="s">
        <v>87</v>
      </c>
      <c r="C1615">
        <v>2020</v>
      </c>
      <c r="D1615">
        <v>72.599999999999994</v>
      </c>
      <c r="E1615">
        <v>72.599999999999994</v>
      </c>
      <c r="F1615" t="str">
        <f t="shared" si="25"/>
        <v>onshore wind</v>
      </c>
    </row>
    <row r="1616" spans="1:6" x14ac:dyDescent="0.25">
      <c r="A1616" t="s">
        <v>146</v>
      </c>
      <c r="B1616" t="s">
        <v>87</v>
      </c>
      <c r="C1616">
        <v>2021</v>
      </c>
      <c r="D1616">
        <v>15.3</v>
      </c>
      <c r="E1616">
        <v>15.3</v>
      </c>
      <c r="F1616" t="str">
        <f t="shared" si="25"/>
        <v>onshore wind</v>
      </c>
    </row>
    <row r="1617" spans="1:6" x14ac:dyDescent="0.25">
      <c r="A1617" t="s">
        <v>146</v>
      </c>
      <c r="B1617" t="s">
        <v>87</v>
      </c>
      <c r="C1617">
        <v>2022</v>
      </c>
      <c r="D1617">
        <v>20</v>
      </c>
      <c r="E1617">
        <v>20</v>
      </c>
      <c r="F1617" t="str">
        <f t="shared" si="25"/>
        <v>onshore wind</v>
      </c>
    </row>
    <row r="1618" spans="1:6" x14ac:dyDescent="0.25">
      <c r="A1618" t="s">
        <v>146</v>
      </c>
      <c r="B1618" t="s">
        <v>87</v>
      </c>
      <c r="C1618">
        <v>2025</v>
      </c>
      <c r="D1618">
        <v>184.8</v>
      </c>
      <c r="E1618">
        <v>184.8</v>
      </c>
      <c r="F1618" t="str">
        <f t="shared" si="25"/>
        <v>onshore wind</v>
      </c>
    </row>
    <row r="1619" spans="1:6" x14ac:dyDescent="0.25">
      <c r="A1619" t="s">
        <v>146</v>
      </c>
      <c r="B1619" t="s">
        <v>249</v>
      </c>
      <c r="C1619">
        <v>2017</v>
      </c>
      <c r="D1619">
        <v>15.5</v>
      </c>
      <c r="E1619">
        <v>15.5</v>
      </c>
      <c r="F1619" t="str">
        <f t="shared" si="25"/>
        <v>solar pv</v>
      </c>
    </row>
    <row r="1620" spans="1:6" x14ac:dyDescent="0.25">
      <c r="A1620" t="s">
        <v>146</v>
      </c>
      <c r="B1620" t="s">
        <v>249</v>
      </c>
      <c r="C1620">
        <v>2020</v>
      </c>
      <c r="D1620">
        <v>49.4</v>
      </c>
      <c r="E1620">
        <v>49.4</v>
      </c>
      <c r="F1620" t="str">
        <f t="shared" si="25"/>
        <v>solar pv</v>
      </c>
    </row>
    <row r="1621" spans="1:6" x14ac:dyDescent="0.25">
      <c r="A1621" t="s">
        <v>146</v>
      </c>
      <c r="B1621" t="s">
        <v>249</v>
      </c>
      <c r="C1621">
        <v>2021</v>
      </c>
      <c r="D1621">
        <v>143.69999999999999</v>
      </c>
      <c r="E1621">
        <v>143.69999999999999</v>
      </c>
      <c r="F1621" t="str">
        <f t="shared" si="25"/>
        <v>solar pv</v>
      </c>
    </row>
    <row r="1622" spans="1:6" x14ac:dyDescent="0.25">
      <c r="A1622" t="s">
        <v>146</v>
      </c>
      <c r="B1622" t="s">
        <v>249</v>
      </c>
      <c r="C1622">
        <v>2022</v>
      </c>
      <c r="D1622">
        <v>170.2</v>
      </c>
      <c r="E1622">
        <v>170.2</v>
      </c>
      <c r="F1622" t="str">
        <f t="shared" si="25"/>
        <v>solar pv</v>
      </c>
    </row>
    <row r="1623" spans="1:6" x14ac:dyDescent="0.25">
      <c r="A1623" t="s">
        <v>146</v>
      </c>
      <c r="B1623" t="s">
        <v>249</v>
      </c>
      <c r="C1623">
        <v>2023</v>
      </c>
      <c r="D1623">
        <v>154.30000000000001</v>
      </c>
      <c r="E1623">
        <v>154.30000000000001</v>
      </c>
      <c r="F1623" t="str">
        <f t="shared" si="25"/>
        <v>solar pv</v>
      </c>
    </row>
    <row r="1624" spans="1:6" x14ac:dyDescent="0.25">
      <c r="A1624" t="s">
        <v>146</v>
      </c>
      <c r="B1624" t="s">
        <v>249</v>
      </c>
      <c r="C1624">
        <v>2024</v>
      </c>
      <c r="D1624">
        <v>313.05</v>
      </c>
      <c r="E1624">
        <v>317.2</v>
      </c>
      <c r="F1624" t="str">
        <f t="shared" si="25"/>
        <v>solar pv</v>
      </c>
    </row>
    <row r="1625" spans="1:6" x14ac:dyDescent="0.25">
      <c r="A1625" t="s">
        <v>146</v>
      </c>
      <c r="B1625" t="s">
        <v>249</v>
      </c>
      <c r="C1625">
        <v>2025</v>
      </c>
      <c r="D1625">
        <v>35</v>
      </c>
      <c r="E1625">
        <v>35</v>
      </c>
      <c r="F1625" t="str">
        <f t="shared" si="25"/>
        <v>solar pv</v>
      </c>
    </row>
    <row r="1626" spans="1:6" x14ac:dyDescent="0.25">
      <c r="A1626" t="s">
        <v>148</v>
      </c>
      <c r="B1626" t="s">
        <v>90</v>
      </c>
      <c r="C1626">
        <v>1991</v>
      </c>
      <c r="D1626">
        <v>2.4</v>
      </c>
      <c r="E1626">
        <v>2.4</v>
      </c>
      <c r="F1626" t="str">
        <f t="shared" si="25"/>
        <v>biomass</v>
      </c>
    </row>
    <row r="1627" spans="1:6" x14ac:dyDescent="0.25">
      <c r="A1627" t="s">
        <v>148</v>
      </c>
      <c r="B1627" t="s">
        <v>90</v>
      </c>
      <c r="C1627">
        <v>1992</v>
      </c>
      <c r="D1627">
        <v>48.2</v>
      </c>
      <c r="E1627">
        <v>48.2</v>
      </c>
      <c r="F1627" t="str">
        <f t="shared" si="25"/>
        <v>biomass</v>
      </c>
    </row>
    <row r="1628" spans="1:6" x14ac:dyDescent="0.25">
      <c r="A1628" t="s">
        <v>148</v>
      </c>
      <c r="B1628" t="s">
        <v>90</v>
      </c>
      <c r="C1628">
        <v>1993</v>
      </c>
      <c r="D1628">
        <v>44.1</v>
      </c>
      <c r="E1628">
        <v>50.6</v>
      </c>
      <c r="F1628" t="str">
        <f t="shared" si="25"/>
        <v>biomass</v>
      </c>
    </row>
    <row r="1629" spans="1:6" x14ac:dyDescent="0.25">
      <c r="A1629" t="s">
        <v>148</v>
      </c>
      <c r="B1629" t="s">
        <v>90</v>
      </c>
      <c r="C1629">
        <v>1994</v>
      </c>
      <c r="D1629">
        <v>10.4</v>
      </c>
      <c r="E1629">
        <v>10.4</v>
      </c>
      <c r="F1629" t="str">
        <f t="shared" si="25"/>
        <v>biomass</v>
      </c>
    </row>
    <row r="1630" spans="1:6" x14ac:dyDescent="0.25">
      <c r="A1630" t="s">
        <v>148</v>
      </c>
      <c r="B1630" t="s">
        <v>90</v>
      </c>
      <c r="C1630">
        <v>1995</v>
      </c>
      <c r="D1630">
        <v>39.9</v>
      </c>
      <c r="E1630">
        <v>45.7</v>
      </c>
      <c r="F1630" t="str">
        <f t="shared" si="25"/>
        <v>biomass</v>
      </c>
    </row>
    <row r="1631" spans="1:6" x14ac:dyDescent="0.25">
      <c r="A1631" t="s">
        <v>148</v>
      </c>
      <c r="B1631" t="s">
        <v>90</v>
      </c>
      <c r="C1631">
        <v>1996</v>
      </c>
      <c r="D1631">
        <v>19.8</v>
      </c>
      <c r="E1631">
        <v>25.8</v>
      </c>
      <c r="F1631" t="str">
        <f t="shared" si="25"/>
        <v>biomass</v>
      </c>
    </row>
    <row r="1632" spans="1:6" x14ac:dyDescent="0.25">
      <c r="A1632" t="s">
        <v>148</v>
      </c>
      <c r="B1632" t="s">
        <v>90</v>
      </c>
      <c r="C1632">
        <v>1997</v>
      </c>
      <c r="D1632">
        <v>1.6</v>
      </c>
      <c r="E1632">
        <v>1.6</v>
      </c>
      <c r="F1632" t="str">
        <f t="shared" si="25"/>
        <v>biomass</v>
      </c>
    </row>
    <row r="1633" spans="1:6" x14ac:dyDescent="0.25">
      <c r="A1633" t="s">
        <v>148</v>
      </c>
      <c r="B1633" t="s">
        <v>90</v>
      </c>
      <c r="C1633">
        <v>1998</v>
      </c>
      <c r="D1633">
        <v>11.2</v>
      </c>
      <c r="E1633">
        <v>11.2</v>
      </c>
      <c r="F1633" t="str">
        <f t="shared" si="25"/>
        <v>biomass</v>
      </c>
    </row>
    <row r="1634" spans="1:6" x14ac:dyDescent="0.25">
      <c r="A1634" t="s">
        <v>148</v>
      </c>
      <c r="B1634" t="s">
        <v>90</v>
      </c>
      <c r="C1634">
        <v>2000</v>
      </c>
      <c r="D1634">
        <v>0.8</v>
      </c>
      <c r="E1634">
        <v>0.8</v>
      </c>
      <c r="F1634" t="str">
        <f t="shared" si="25"/>
        <v>biomass</v>
      </c>
    </row>
    <row r="1635" spans="1:6" x14ac:dyDescent="0.25">
      <c r="A1635" t="s">
        <v>148</v>
      </c>
      <c r="B1635" t="s">
        <v>90</v>
      </c>
      <c r="C1635">
        <v>2001</v>
      </c>
      <c r="D1635">
        <v>0.8</v>
      </c>
      <c r="E1635">
        <v>0.8</v>
      </c>
      <c r="F1635" t="str">
        <f t="shared" si="25"/>
        <v>biomass</v>
      </c>
    </row>
    <row r="1636" spans="1:6" x14ac:dyDescent="0.25">
      <c r="A1636" t="s">
        <v>148</v>
      </c>
      <c r="B1636" t="s">
        <v>90</v>
      </c>
      <c r="C1636">
        <v>2003</v>
      </c>
      <c r="D1636">
        <v>2.4</v>
      </c>
      <c r="E1636">
        <v>2.4</v>
      </c>
      <c r="F1636" t="str">
        <f t="shared" si="25"/>
        <v>biomass</v>
      </c>
    </row>
    <row r="1637" spans="1:6" x14ac:dyDescent="0.25">
      <c r="A1637" t="s">
        <v>148</v>
      </c>
      <c r="B1637" t="s">
        <v>90</v>
      </c>
      <c r="C1637">
        <v>2005</v>
      </c>
      <c r="D1637">
        <v>4.8</v>
      </c>
      <c r="E1637">
        <v>5.3</v>
      </c>
      <c r="F1637" t="str">
        <f t="shared" si="25"/>
        <v>biomass</v>
      </c>
    </row>
    <row r="1638" spans="1:6" x14ac:dyDescent="0.25">
      <c r="A1638" t="s">
        <v>148</v>
      </c>
      <c r="B1638" t="s">
        <v>90</v>
      </c>
      <c r="C1638">
        <v>2006</v>
      </c>
      <c r="D1638">
        <v>3.8</v>
      </c>
      <c r="E1638">
        <v>4</v>
      </c>
      <c r="F1638" t="str">
        <f t="shared" si="25"/>
        <v>biomass</v>
      </c>
    </row>
    <row r="1639" spans="1:6" x14ac:dyDescent="0.25">
      <c r="A1639" t="s">
        <v>148</v>
      </c>
      <c r="B1639" t="s">
        <v>90</v>
      </c>
      <c r="C1639">
        <v>2007</v>
      </c>
      <c r="D1639">
        <v>3.9</v>
      </c>
      <c r="E1639">
        <v>4.3</v>
      </c>
      <c r="F1639" t="str">
        <f t="shared" si="25"/>
        <v>biomass</v>
      </c>
    </row>
    <row r="1640" spans="1:6" x14ac:dyDescent="0.25">
      <c r="A1640" t="s">
        <v>148</v>
      </c>
      <c r="B1640" t="s">
        <v>90</v>
      </c>
      <c r="C1640">
        <v>2008</v>
      </c>
      <c r="D1640">
        <v>4.8</v>
      </c>
      <c r="E1640">
        <v>4.8</v>
      </c>
      <c r="F1640" t="str">
        <f t="shared" si="25"/>
        <v>biomass</v>
      </c>
    </row>
    <row r="1641" spans="1:6" x14ac:dyDescent="0.25">
      <c r="A1641" t="s">
        <v>148</v>
      </c>
      <c r="B1641" t="s">
        <v>90</v>
      </c>
      <c r="C1641">
        <v>2009</v>
      </c>
      <c r="D1641">
        <v>16.100000000000001</v>
      </c>
      <c r="E1641">
        <v>16.8</v>
      </c>
      <c r="F1641" t="str">
        <f t="shared" si="25"/>
        <v>biomass</v>
      </c>
    </row>
    <row r="1642" spans="1:6" x14ac:dyDescent="0.25">
      <c r="A1642" t="s">
        <v>148</v>
      </c>
      <c r="B1642" t="s">
        <v>90</v>
      </c>
      <c r="C1642">
        <v>2010</v>
      </c>
      <c r="D1642">
        <v>6</v>
      </c>
      <c r="E1642">
        <v>6</v>
      </c>
      <c r="F1642" t="str">
        <f t="shared" si="25"/>
        <v>biomass</v>
      </c>
    </row>
    <row r="1643" spans="1:6" x14ac:dyDescent="0.25">
      <c r="A1643" t="s">
        <v>148</v>
      </c>
      <c r="B1643" t="s">
        <v>90</v>
      </c>
      <c r="C1643">
        <v>2011</v>
      </c>
      <c r="D1643">
        <v>37.4</v>
      </c>
      <c r="E1643">
        <v>34.4</v>
      </c>
      <c r="F1643" t="str">
        <f t="shared" si="25"/>
        <v>biomass</v>
      </c>
    </row>
    <row r="1644" spans="1:6" x14ac:dyDescent="0.25">
      <c r="A1644" t="s">
        <v>148</v>
      </c>
      <c r="B1644" t="s">
        <v>90</v>
      </c>
      <c r="C1644">
        <v>2012</v>
      </c>
      <c r="D1644">
        <v>28</v>
      </c>
      <c r="E1644">
        <v>28.2</v>
      </c>
      <c r="F1644" t="str">
        <f t="shared" si="25"/>
        <v>biomass</v>
      </c>
    </row>
    <row r="1645" spans="1:6" x14ac:dyDescent="0.25">
      <c r="A1645" t="s">
        <v>148</v>
      </c>
      <c r="B1645" t="s">
        <v>90</v>
      </c>
      <c r="C1645">
        <v>2013</v>
      </c>
      <c r="D1645">
        <v>3.2</v>
      </c>
      <c r="E1645">
        <v>3.2</v>
      </c>
      <c r="F1645" t="str">
        <f t="shared" si="25"/>
        <v>biomass</v>
      </c>
    </row>
    <row r="1646" spans="1:6" x14ac:dyDescent="0.25">
      <c r="A1646" t="s">
        <v>148</v>
      </c>
      <c r="B1646" t="s">
        <v>90</v>
      </c>
      <c r="C1646">
        <v>2014</v>
      </c>
      <c r="D1646">
        <v>3</v>
      </c>
      <c r="E1646">
        <v>3.2</v>
      </c>
      <c r="F1646" t="str">
        <f t="shared" si="25"/>
        <v>biomass</v>
      </c>
    </row>
    <row r="1647" spans="1:6" x14ac:dyDescent="0.25">
      <c r="A1647" t="s">
        <v>148</v>
      </c>
      <c r="B1647" t="s">
        <v>90</v>
      </c>
      <c r="C1647">
        <v>2018</v>
      </c>
      <c r="D1647">
        <v>2.4</v>
      </c>
      <c r="E1647">
        <v>2.4</v>
      </c>
      <c r="F1647" t="str">
        <f t="shared" si="25"/>
        <v>biomass</v>
      </c>
    </row>
    <row r="1648" spans="1:6" x14ac:dyDescent="0.25">
      <c r="A1648" t="s">
        <v>148</v>
      </c>
      <c r="B1648" t="s">
        <v>90</v>
      </c>
      <c r="C1648">
        <v>2019</v>
      </c>
      <c r="D1648">
        <v>0.8</v>
      </c>
      <c r="E1648">
        <v>0.8</v>
      </c>
      <c r="F1648" t="str">
        <f t="shared" si="25"/>
        <v>biomass</v>
      </c>
    </row>
    <row r="1649" spans="1:6" x14ac:dyDescent="0.25">
      <c r="A1649" t="s">
        <v>148</v>
      </c>
      <c r="B1649" t="s">
        <v>90</v>
      </c>
      <c r="C1649">
        <v>2020</v>
      </c>
      <c r="D1649">
        <v>39.6</v>
      </c>
      <c r="E1649">
        <v>45.6</v>
      </c>
      <c r="F1649" t="str">
        <f t="shared" si="25"/>
        <v>biomass</v>
      </c>
    </row>
    <row r="1650" spans="1:6" x14ac:dyDescent="0.25">
      <c r="A1650" t="s">
        <v>148</v>
      </c>
      <c r="B1650" t="s">
        <v>90</v>
      </c>
      <c r="C1650">
        <v>2024</v>
      </c>
      <c r="D1650">
        <v>1.5</v>
      </c>
      <c r="E1650">
        <v>1.6</v>
      </c>
      <c r="F1650" t="str">
        <f t="shared" si="25"/>
        <v>biomass</v>
      </c>
    </row>
    <row r="1651" spans="1:6" x14ac:dyDescent="0.25">
      <c r="A1651" t="s">
        <v>148</v>
      </c>
      <c r="B1651" t="s">
        <v>81</v>
      </c>
      <c r="C1651">
        <v>1990</v>
      </c>
      <c r="D1651">
        <v>61.5</v>
      </c>
      <c r="E1651">
        <v>71.5</v>
      </c>
      <c r="F1651" t="str">
        <f t="shared" si="25"/>
        <v>hard coal</v>
      </c>
    </row>
    <row r="1652" spans="1:6" x14ac:dyDescent="0.25">
      <c r="A1652" t="s">
        <v>148</v>
      </c>
      <c r="B1652" t="s">
        <v>86</v>
      </c>
      <c r="C1652">
        <v>1990</v>
      </c>
      <c r="D1652">
        <v>7</v>
      </c>
      <c r="E1652">
        <v>7</v>
      </c>
      <c r="F1652" t="str">
        <f t="shared" si="25"/>
        <v>hydro</v>
      </c>
    </row>
    <row r="1653" spans="1:6" x14ac:dyDescent="0.25">
      <c r="A1653" t="s">
        <v>148</v>
      </c>
      <c r="B1653" t="s">
        <v>86</v>
      </c>
      <c r="C1653">
        <v>1996</v>
      </c>
      <c r="D1653">
        <v>4.8</v>
      </c>
      <c r="E1653">
        <v>7.2</v>
      </c>
      <c r="F1653" t="str">
        <f t="shared" si="25"/>
        <v>hydro</v>
      </c>
    </row>
    <row r="1654" spans="1:6" x14ac:dyDescent="0.25">
      <c r="A1654" t="s">
        <v>148</v>
      </c>
      <c r="B1654" t="s">
        <v>86</v>
      </c>
      <c r="C1654">
        <v>2005</v>
      </c>
      <c r="D1654">
        <v>0.2</v>
      </c>
      <c r="E1654">
        <v>0.2</v>
      </c>
      <c r="F1654" t="str">
        <f t="shared" si="25"/>
        <v>hydro</v>
      </c>
    </row>
    <row r="1655" spans="1:6" x14ac:dyDescent="0.25">
      <c r="A1655" t="s">
        <v>148</v>
      </c>
      <c r="B1655" t="s">
        <v>84</v>
      </c>
      <c r="C1655">
        <v>1990</v>
      </c>
      <c r="D1655">
        <v>1351.5</v>
      </c>
      <c r="E1655">
        <v>1349.2</v>
      </c>
      <c r="F1655" t="str">
        <f t="shared" si="25"/>
        <v>natural gas combined cycle</v>
      </c>
    </row>
    <row r="1656" spans="1:6" x14ac:dyDescent="0.25">
      <c r="A1656" t="s">
        <v>148</v>
      </c>
      <c r="B1656" t="s">
        <v>84</v>
      </c>
      <c r="C1656">
        <v>1992</v>
      </c>
      <c r="D1656">
        <v>3.5</v>
      </c>
      <c r="E1656">
        <v>3.5</v>
      </c>
      <c r="F1656" t="str">
        <f t="shared" si="25"/>
        <v>natural gas combined cycle</v>
      </c>
    </row>
    <row r="1657" spans="1:6" x14ac:dyDescent="0.25">
      <c r="A1657" t="s">
        <v>148</v>
      </c>
      <c r="B1657" t="s">
        <v>84</v>
      </c>
      <c r="C1657">
        <v>1995</v>
      </c>
      <c r="D1657">
        <v>128</v>
      </c>
      <c r="E1657">
        <v>138.1</v>
      </c>
      <c r="F1657" t="str">
        <f t="shared" si="25"/>
        <v>natural gas combined cycle</v>
      </c>
    </row>
    <row r="1658" spans="1:6" x14ac:dyDescent="0.25">
      <c r="A1658" t="s">
        <v>148</v>
      </c>
      <c r="B1658" t="s">
        <v>84</v>
      </c>
      <c r="C1658">
        <v>1997</v>
      </c>
      <c r="D1658">
        <v>8.4</v>
      </c>
      <c r="E1658">
        <v>10</v>
      </c>
      <c r="F1658" t="str">
        <f t="shared" si="25"/>
        <v>natural gas combined cycle</v>
      </c>
    </row>
    <row r="1659" spans="1:6" x14ac:dyDescent="0.25">
      <c r="A1659" t="s">
        <v>148</v>
      </c>
      <c r="B1659" t="s">
        <v>84</v>
      </c>
      <c r="C1659">
        <v>1998</v>
      </c>
      <c r="D1659">
        <v>13.4</v>
      </c>
      <c r="E1659">
        <v>13.4</v>
      </c>
      <c r="F1659" t="str">
        <f t="shared" si="25"/>
        <v>natural gas combined cycle</v>
      </c>
    </row>
    <row r="1660" spans="1:6" x14ac:dyDescent="0.25">
      <c r="A1660" t="s">
        <v>148</v>
      </c>
      <c r="B1660" t="s">
        <v>84</v>
      </c>
      <c r="C1660">
        <v>1999</v>
      </c>
      <c r="D1660">
        <v>0.9</v>
      </c>
      <c r="E1660">
        <v>0.9</v>
      </c>
      <c r="F1660" t="str">
        <f t="shared" si="25"/>
        <v>natural gas combined cycle</v>
      </c>
    </row>
    <row r="1661" spans="1:6" x14ac:dyDescent="0.25">
      <c r="A1661" t="s">
        <v>148</v>
      </c>
      <c r="B1661" t="s">
        <v>84</v>
      </c>
      <c r="C1661">
        <v>2001</v>
      </c>
      <c r="D1661">
        <v>350</v>
      </c>
      <c r="E1661">
        <v>314.60000000000002</v>
      </c>
      <c r="F1661" t="str">
        <f t="shared" si="25"/>
        <v>natural gas combined cycle</v>
      </c>
    </row>
    <row r="1662" spans="1:6" x14ac:dyDescent="0.25">
      <c r="A1662" t="s">
        <v>148</v>
      </c>
      <c r="B1662" t="s">
        <v>84</v>
      </c>
      <c r="C1662">
        <v>2002</v>
      </c>
      <c r="D1662">
        <v>1058.9000000000001</v>
      </c>
      <c r="E1662">
        <v>1239.8</v>
      </c>
      <c r="F1662" t="str">
        <f t="shared" si="25"/>
        <v>natural gas combined cycle</v>
      </c>
    </row>
    <row r="1663" spans="1:6" x14ac:dyDescent="0.25">
      <c r="A1663" t="s">
        <v>148</v>
      </c>
      <c r="B1663" t="s">
        <v>84</v>
      </c>
      <c r="C1663">
        <v>2004</v>
      </c>
      <c r="D1663">
        <v>1586.3</v>
      </c>
      <c r="E1663">
        <v>1176</v>
      </c>
      <c r="F1663" t="str">
        <f t="shared" si="25"/>
        <v>natural gas combined cycle</v>
      </c>
    </row>
    <row r="1664" spans="1:6" x14ac:dyDescent="0.25">
      <c r="A1664" t="s">
        <v>148</v>
      </c>
      <c r="B1664" t="s">
        <v>84</v>
      </c>
      <c r="C1664">
        <v>2013</v>
      </c>
      <c r="D1664">
        <v>74.900000000000006</v>
      </c>
      <c r="E1664">
        <v>98</v>
      </c>
      <c r="F1664" t="str">
        <f t="shared" si="25"/>
        <v>natural gas combined cycle</v>
      </c>
    </row>
    <row r="1665" spans="1:6" x14ac:dyDescent="0.25">
      <c r="A1665" t="s">
        <v>148</v>
      </c>
      <c r="B1665" t="s">
        <v>84</v>
      </c>
      <c r="C1665">
        <v>2017</v>
      </c>
      <c r="D1665">
        <v>127.1</v>
      </c>
      <c r="E1665">
        <v>149.4</v>
      </c>
      <c r="F1665" t="str">
        <f t="shared" si="25"/>
        <v>natural gas combined cycle</v>
      </c>
    </row>
    <row r="1666" spans="1:6" x14ac:dyDescent="0.25">
      <c r="A1666" t="s">
        <v>148</v>
      </c>
      <c r="B1666" t="s">
        <v>84</v>
      </c>
      <c r="C1666">
        <v>2019</v>
      </c>
      <c r="D1666">
        <v>26.9</v>
      </c>
      <c r="E1666">
        <v>35</v>
      </c>
      <c r="F1666" t="str">
        <f t="shared" ref="F1666:F1729" si="26">LOWER($B1666)</f>
        <v>natural gas combined cycle</v>
      </c>
    </row>
    <row r="1667" spans="1:6" x14ac:dyDescent="0.25">
      <c r="A1667" t="s">
        <v>148</v>
      </c>
      <c r="B1667" t="s">
        <v>84</v>
      </c>
      <c r="C1667">
        <v>2022</v>
      </c>
      <c r="D1667">
        <v>2420.6</v>
      </c>
      <c r="E1667">
        <v>2662.5</v>
      </c>
      <c r="F1667" t="str">
        <f t="shared" si="26"/>
        <v>natural gas combined cycle</v>
      </c>
    </row>
    <row r="1668" spans="1:6" x14ac:dyDescent="0.25">
      <c r="A1668" t="s">
        <v>148</v>
      </c>
      <c r="B1668" t="s">
        <v>93</v>
      </c>
      <c r="C1668">
        <v>1990</v>
      </c>
      <c r="D1668">
        <v>6.4</v>
      </c>
      <c r="E1668">
        <v>7</v>
      </c>
      <c r="F1668" t="str">
        <f t="shared" si="26"/>
        <v>natural gas peaker</v>
      </c>
    </row>
    <row r="1669" spans="1:6" x14ac:dyDescent="0.25">
      <c r="A1669" t="s">
        <v>148</v>
      </c>
      <c r="B1669" t="s">
        <v>93</v>
      </c>
      <c r="C1669">
        <v>1992</v>
      </c>
      <c r="D1669">
        <v>70</v>
      </c>
      <c r="E1669">
        <v>78.2</v>
      </c>
      <c r="F1669" t="str">
        <f t="shared" si="26"/>
        <v>natural gas peaker</v>
      </c>
    </row>
    <row r="1670" spans="1:6" x14ac:dyDescent="0.25">
      <c r="A1670" t="s">
        <v>148</v>
      </c>
      <c r="B1670" t="s">
        <v>93</v>
      </c>
      <c r="C1670">
        <v>1993</v>
      </c>
      <c r="D1670">
        <v>15</v>
      </c>
      <c r="E1670">
        <v>15.4</v>
      </c>
      <c r="F1670" t="str">
        <f t="shared" si="26"/>
        <v>natural gas peaker</v>
      </c>
    </row>
    <row r="1671" spans="1:6" x14ac:dyDescent="0.25">
      <c r="A1671" t="s">
        <v>148</v>
      </c>
      <c r="B1671" t="s">
        <v>93</v>
      </c>
      <c r="C1671">
        <v>1995</v>
      </c>
      <c r="D1671">
        <v>17.600000000000001</v>
      </c>
      <c r="E1671">
        <v>21.2</v>
      </c>
      <c r="F1671" t="str">
        <f t="shared" si="26"/>
        <v>natural gas peaker</v>
      </c>
    </row>
    <row r="1672" spans="1:6" x14ac:dyDescent="0.25">
      <c r="A1672" t="s">
        <v>148</v>
      </c>
      <c r="B1672" t="s">
        <v>93</v>
      </c>
      <c r="C1672">
        <v>1996</v>
      </c>
      <c r="D1672">
        <v>2.4</v>
      </c>
      <c r="E1672">
        <v>2.6</v>
      </c>
      <c r="F1672" t="str">
        <f t="shared" si="26"/>
        <v>natural gas peaker</v>
      </c>
    </row>
    <row r="1673" spans="1:6" x14ac:dyDescent="0.25">
      <c r="A1673" t="s">
        <v>148</v>
      </c>
      <c r="B1673" t="s">
        <v>93</v>
      </c>
      <c r="C1673">
        <v>1999</v>
      </c>
      <c r="D1673">
        <v>817.8</v>
      </c>
      <c r="E1673">
        <v>955.4</v>
      </c>
      <c r="F1673" t="str">
        <f t="shared" si="26"/>
        <v>natural gas peaker</v>
      </c>
    </row>
    <row r="1674" spans="1:6" x14ac:dyDescent="0.25">
      <c r="A1674" t="s">
        <v>148</v>
      </c>
      <c r="B1674" t="s">
        <v>93</v>
      </c>
      <c r="C1674">
        <v>2000</v>
      </c>
      <c r="D1674">
        <v>252.8</v>
      </c>
      <c r="E1674">
        <v>275.7</v>
      </c>
      <c r="F1674" t="str">
        <f t="shared" si="26"/>
        <v>natural gas peaker</v>
      </c>
    </row>
    <row r="1675" spans="1:6" x14ac:dyDescent="0.25">
      <c r="A1675" t="s">
        <v>148</v>
      </c>
      <c r="B1675" t="s">
        <v>93</v>
      </c>
      <c r="C1675">
        <v>2001</v>
      </c>
      <c r="D1675">
        <v>396</v>
      </c>
      <c r="E1675">
        <v>472.4</v>
      </c>
      <c r="F1675" t="str">
        <f t="shared" si="26"/>
        <v>natural gas peaker</v>
      </c>
    </row>
    <row r="1676" spans="1:6" x14ac:dyDescent="0.25">
      <c r="A1676" t="s">
        <v>148</v>
      </c>
      <c r="B1676" t="s">
        <v>93</v>
      </c>
      <c r="C1676">
        <v>2002</v>
      </c>
      <c r="D1676">
        <v>1313.8</v>
      </c>
      <c r="E1676">
        <v>1542.1</v>
      </c>
      <c r="F1676" t="str">
        <f t="shared" si="26"/>
        <v>natural gas peaker</v>
      </c>
    </row>
    <row r="1677" spans="1:6" x14ac:dyDescent="0.25">
      <c r="A1677" t="s">
        <v>148</v>
      </c>
      <c r="B1677" t="s">
        <v>93</v>
      </c>
      <c r="C1677">
        <v>2006</v>
      </c>
      <c r="D1677">
        <v>22.6</v>
      </c>
      <c r="E1677">
        <v>24.3</v>
      </c>
      <c r="F1677" t="str">
        <f t="shared" si="26"/>
        <v>natural gas peaker</v>
      </c>
    </row>
    <row r="1678" spans="1:6" x14ac:dyDescent="0.25">
      <c r="A1678" t="s">
        <v>148</v>
      </c>
      <c r="B1678" t="s">
        <v>93</v>
      </c>
      <c r="C1678">
        <v>2013</v>
      </c>
      <c r="D1678">
        <v>3.4</v>
      </c>
      <c r="E1678">
        <v>3.7</v>
      </c>
      <c r="F1678" t="str">
        <f t="shared" si="26"/>
        <v>natural gas peaker</v>
      </c>
    </row>
    <row r="1679" spans="1:6" x14ac:dyDescent="0.25">
      <c r="A1679" t="s">
        <v>148</v>
      </c>
      <c r="B1679" t="s">
        <v>93</v>
      </c>
      <c r="C1679">
        <v>2015</v>
      </c>
      <c r="D1679">
        <v>12.9</v>
      </c>
      <c r="E1679">
        <v>12.9</v>
      </c>
      <c r="F1679" t="str">
        <f t="shared" si="26"/>
        <v>natural gas peaker</v>
      </c>
    </row>
    <row r="1680" spans="1:6" x14ac:dyDescent="0.25">
      <c r="A1680" t="s">
        <v>148</v>
      </c>
      <c r="B1680" t="s">
        <v>93</v>
      </c>
      <c r="C1680">
        <v>2016</v>
      </c>
      <c r="D1680">
        <v>415</v>
      </c>
      <c r="E1680">
        <v>465.5</v>
      </c>
      <c r="F1680" t="str">
        <f t="shared" si="26"/>
        <v>natural gas peaker</v>
      </c>
    </row>
    <row r="1681" spans="1:6" x14ac:dyDescent="0.25">
      <c r="A1681" t="s">
        <v>148</v>
      </c>
      <c r="B1681" t="s">
        <v>93</v>
      </c>
      <c r="C1681">
        <v>2017</v>
      </c>
      <c r="D1681">
        <v>50.1</v>
      </c>
      <c r="E1681">
        <v>51.3</v>
      </c>
      <c r="F1681" t="str">
        <f t="shared" si="26"/>
        <v>natural gas peaker</v>
      </c>
    </row>
    <row r="1682" spans="1:6" x14ac:dyDescent="0.25">
      <c r="A1682" t="s">
        <v>148</v>
      </c>
      <c r="B1682" t="s">
        <v>93</v>
      </c>
      <c r="C1682">
        <v>2018</v>
      </c>
      <c r="D1682">
        <v>6.8</v>
      </c>
      <c r="E1682">
        <v>7.8</v>
      </c>
      <c r="F1682" t="str">
        <f t="shared" si="26"/>
        <v>natural gas peaker</v>
      </c>
    </row>
    <row r="1683" spans="1:6" x14ac:dyDescent="0.25">
      <c r="A1683" t="s">
        <v>148</v>
      </c>
      <c r="B1683" t="s">
        <v>93</v>
      </c>
      <c r="C1683">
        <v>2019</v>
      </c>
      <c r="D1683">
        <v>188.1</v>
      </c>
      <c r="E1683">
        <v>188</v>
      </c>
      <c r="F1683" t="str">
        <f t="shared" si="26"/>
        <v>natural gas peaker</v>
      </c>
    </row>
    <row r="1684" spans="1:6" x14ac:dyDescent="0.25">
      <c r="A1684" t="s">
        <v>148</v>
      </c>
      <c r="B1684" t="s">
        <v>93</v>
      </c>
      <c r="C1684">
        <v>2020</v>
      </c>
      <c r="D1684">
        <v>7.7</v>
      </c>
      <c r="E1684">
        <v>7.7</v>
      </c>
      <c r="F1684" t="str">
        <f t="shared" si="26"/>
        <v>natural gas peaker</v>
      </c>
    </row>
    <row r="1685" spans="1:6" x14ac:dyDescent="0.25">
      <c r="A1685" t="s">
        <v>148</v>
      </c>
      <c r="B1685" t="s">
        <v>93</v>
      </c>
      <c r="C1685">
        <v>2021</v>
      </c>
      <c r="D1685">
        <v>5</v>
      </c>
      <c r="E1685">
        <v>5</v>
      </c>
      <c r="F1685" t="str">
        <f t="shared" si="26"/>
        <v>natural gas peaker</v>
      </c>
    </row>
    <row r="1686" spans="1:6" x14ac:dyDescent="0.25">
      <c r="A1686" t="s">
        <v>148</v>
      </c>
      <c r="B1686" t="s">
        <v>93</v>
      </c>
      <c r="C1686">
        <v>2022</v>
      </c>
      <c r="D1686">
        <v>74.5</v>
      </c>
      <c r="E1686">
        <v>86.2</v>
      </c>
      <c r="F1686" t="str">
        <f t="shared" si="26"/>
        <v>natural gas peaker</v>
      </c>
    </row>
    <row r="1687" spans="1:6" x14ac:dyDescent="0.25">
      <c r="A1687" t="s">
        <v>148</v>
      </c>
      <c r="B1687" t="s">
        <v>83</v>
      </c>
      <c r="C1687">
        <v>1993</v>
      </c>
      <c r="D1687">
        <v>21</v>
      </c>
      <c r="E1687">
        <v>21</v>
      </c>
      <c r="F1687" t="str">
        <f t="shared" si="26"/>
        <v>natural gas steam turbine</v>
      </c>
    </row>
    <row r="1688" spans="1:6" x14ac:dyDescent="0.25">
      <c r="A1688" t="s">
        <v>148</v>
      </c>
      <c r="B1688" t="s">
        <v>83</v>
      </c>
      <c r="C1688">
        <v>1998</v>
      </c>
      <c r="D1688">
        <v>2.1</v>
      </c>
      <c r="E1688">
        <v>2.1</v>
      </c>
      <c r="F1688" t="str">
        <f t="shared" si="26"/>
        <v>natural gas steam turbine</v>
      </c>
    </row>
    <row r="1689" spans="1:6" x14ac:dyDescent="0.25">
      <c r="A1689" t="s">
        <v>148</v>
      </c>
      <c r="B1689" t="s">
        <v>83</v>
      </c>
      <c r="C1689">
        <v>2006</v>
      </c>
      <c r="D1689">
        <v>25</v>
      </c>
      <c r="E1689">
        <v>26</v>
      </c>
      <c r="F1689" t="str">
        <f t="shared" si="26"/>
        <v>natural gas steam turbine</v>
      </c>
    </row>
    <row r="1690" spans="1:6" x14ac:dyDescent="0.25">
      <c r="A1690" t="s">
        <v>148</v>
      </c>
      <c r="B1690" t="s">
        <v>83</v>
      </c>
      <c r="C1690">
        <v>2017</v>
      </c>
      <c r="D1690">
        <v>2.2000000000000002</v>
      </c>
      <c r="E1690">
        <v>2.2000000000000002</v>
      </c>
      <c r="F1690" t="str">
        <f t="shared" si="26"/>
        <v>natural gas steam turbine</v>
      </c>
    </row>
    <row r="1691" spans="1:6" x14ac:dyDescent="0.25">
      <c r="A1691" t="s">
        <v>148</v>
      </c>
      <c r="B1691" t="s">
        <v>83</v>
      </c>
      <c r="C1691">
        <v>2018</v>
      </c>
      <c r="D1691">
        <v>3.8</v>
      </c>
      <c r="E1691">
        <v>3.8</v>
      </c>
      <c r="F1691" t="str">
        <f t="shared" si="26"/>
        <v>natural gas steam turbine</v>
      </c>
    </row>
    <row r="1692" spans="1:6" x14ac:dyDescent="0.25">
      <c r="A1692" t="s">
        <v>148</v>
      </c>
      <c r="B1692" t="s">
        <v>87</v>
      </c>
      <c r="C1692">
        <v>2008</v>
      </c>
      <c r="D1692">
        <v>120.2</v>
      </c>
      <c r="E1692">
        <v>121.8</v>
      </c>
      <c r="F1692" t="str">
        <f t="shared" si="26"/>
        <v>onshore wind</v>
      </c>
    </row>
    <row r="1693" spans="1:6" x14ac:dyDescent="0.25">
      <c r="A1693" t="s">
        <v>148</v>
      </c>
      <c r="B1693" t="s">
        <v>87</v>
      </c>
      <c r="C1693">
        <v>2009</v>
      </c>
      <c r="D1693">
        <v>59</v>
      </c>
      <c r="E1693">
        <v>60</v>
      </c>
      <c r="F1693" t="str">
        <f t="shared" si="26"/>
        <v>onshore wind</v>
      </c>
    </row>
    <row r="1694" spans="1:6" x14ac:dyDescent="0.25">
      <c r="A1694" t="s">
        <v>148</v>
      </c>
      <c r="B1694" t="s">
        <v>87</v>
      </c>
      <c r="C1694">
        <v>2011</v>
      </c>
      <c r="D1694">
        <v>192</v>
      </c>
      <c r="E1694">
        <v>192</v>
      </c>
      <c r="F1694" t="str">
        <f t="shared" si="26"/>
        <v>onshore wind</v>
      </c>
    </row>
    <row r="1695" spans="1:6" x14ac:dyDescent="0.25">
      <c r="A1695" t="s">
        <v>148</v>
      </c>
      <c r="B1695" t="s">
        <v>87</v>
      </c>
      <c r="C1695">
        <v>2012</v>
      </c>
      <c r="D1695">
        <v>610.20000000000005</v>
      </c>
      <c r="E1695">
        <v>610.6</v>
      </c>
      <c r="F1695" t="str">
        <f t="shared" si="26"/>
        <v>onshore wind</v>
      </c>
    </row>
    <row r="1696" spans="1:6" x14ac:dyDescent="0.25">
      <c r="A1696" t="s">
        <v>148</v>
      </c>
      <c r="B1696" t="s">
        <v>87</v>
      </c>
      <c r="C1696">
        <v>2013</v>
      </c>
      <c r="D1696">
        <v>175.1</v>
      </c>
      <c r="E1696">
        <v>175.1</v>
      </c>
      <c r="F1696" t="str">
        <f t="shared" si="26"/>
        <v>onshore wind</v>
      </c>
    </row>
    <row r="1697" spans="1:6" x14ac:dyDescent="0.25">
      <c r="A1697" t="s">
        <v>148</v>
      </c>
      <c r="B1697" t="s">
        <v>87</v>
      </c>
      <c r="C1697">
        <v>2014</v>
      </c>
      <c r="D1697">
        <v>368.2</v>
      </c>
      <c r="E1697">
        <v>368.2</v>
      </c>
      <c r="F1697" t="str">
        <f t="shared" si="26"/>
        <v>onshore wind</v>
      </c>
    </row>
    <row r="1698" spans="1:6" x14ac:dyDescent="0.25">
      <c r="A1698" t="s">
        <v>148</v>
      </c>
      <c r="B1698" t="s">
        <v>87</v>
      </c>
      <c r="C1698">
        <v>2016</v>
      </c>
      <c r="D1698">
        <v>79.400000000000006</v>
      </c>
      <c r="E1698">
        <v>79.400000000000006</v>
      </c>
      <c r="F1698" t="str">
        <f t="shared" si="26"/>
        <v>onshore wind</v>
      </c>
    </row>
    <row r="1699" spans="1:6" x14ac:dyDescent="0.25">
      <c r="A1699" t="s">
        <v>148</v>
      </c>
      <c r="B1699" t="s">
        <v>87</v>
      </c>
      <c r="C1699">
        <v>2017</v>
      </c>
      <c r="D1699">
        <v>249</v>
      </c>
      <c r="E1699">
        <v>249</v>
      </c>
      <c r="F1699" t="str">
        <f t="shared" si="26"/>
        <v>onshore wind</v>
      </c>
    </row>
    <row r="1700" spans="1:6" x14ac:dyDescent="0.25">
      <c r="A1700" t="s">
        <v>148</v>
      </c>
      <c r="B1700" t="s">
        <v>87</v>
      </c>
      <c r="C1700">
        <v>2018</v>
      </c>
      <c r="D1700">
        <v>44</v>
      </c>
      <c r="E1700">
        <v>44</v>
      </c>
      <c r="F1700" t="str">
        <f t="shared" si="26"/>
        <v>onshore wind</v>
      </c>
    </row>
    <row r="1701" spans="1:6" x14ac:dyDescent="0.25">
      <c r="A1701" t="s">
        <v>148</v>
      </c>
      <c r="B1701" t="s">
        <v>87</v>
      </c>
      <c r="C1701">
        <v>2019</v>
      </c>
      <c r="D1701">
        <v>285.2</v>
      </c>
      <c r="E1701">
        <v>285.2</v>
      </c>
      <c r="F1701" t="str">
        <f t="shared" si="26"/>
        <v>onshore wind</v>
      </c>
    </row>
    <row r="1702" spans="1:6" x14ac:dyDescent="0.25">
      <c r="A1702" t="s">
        <v>148</v>
      </c>
      <c r="B1702" t="s">
        <v>87</v>
      </c>
      <c r="C1702">
        <v>2020</v>
      </c>
      <c r="D1702">
        <v>448.6</v>
      </c>
      <c r="E1702">
        <v>448.6</v>
      </c>
      <c r="F1702" t="str">
        <f t="shared" si="26"/>
        <v>onshore wind</v>
      </c>
    </row>
    <row r="1703" spans="1:6" x14ac:dyDescent="0.25">
      <c r="A1703" t="s">
        <v>148</v>
      </c>
      <c r="B1703" t="s">
        <v>87</v>
      </c>
      <c r="C1703">
        <v>2021</v>
      </c>
      <c r="D1703">
        <v>533.5</v>
      </c>
      <c r="E1703">
        <v>533.5</v>
      </c>
      <c r="F1703" t="str">
        <f t="shared" si="26"/>
        <v>onshore wind</v>
      </c>
    </row>
    <row r="1704" spans="1:6" x14ac:dyDescent="0.25">
      <c r="A1704" t="s">
        <v>148</v>
      </c>
      <c r="B1704" t="s">
        <v>87</v>
      </c>
      <c r="C1704">
        <v>2022</v>
      </c>
      <c r="D1704">
        <v>72.8</v>
      </c>
      <c r="E1704">
        <v>72.8</v>
      </c>
      <c r="F1704" t="str">
        <f t="shared" si="26"/>
        <v>onshore wind</v>
      </c>
    </row>
    <row r="1705" spans="1:6" x14ac:dyDescent="0.25">
      <c r="A1705" t="s">
        <v>148</v>
      </c>
      <c r="B1705" t="s">
        <v>87</v>
      </c>
      <c r="C1705">
        <v>2023</v>
      </c>
      <c r="D1705">
        <v>337.1</v>
      </c>
      <c r="E1705">
        <v>337.1</v>
      </c>
      <c r="F1705" t="str">
        <f t="shared" si="26"/>
        <v>onshore wind</v>
      </c>
    </row>
    <row r="1706" spans="1:6" x14ac:dyDescent="0.25">
      <c r="A1706" t="s">
        <v>148</v>
      </c>
      <c r="B1706" t="s">
        <v>87</v>
      </c>
      <c r="C1706">
        <v>2024</v>
      </c>
      <c r="D1706">
        <v>200</v>
      </c>
      <c r="E1706">
        <v>200</v>
      </c>
      <c r="F1706" t="str">
        <f t="shared" si="26"/>
        <v>onshore wind</v>
      </c>
    </row>
    <row r="1707" spans="1:6" x14ac:dyDescent="0.25">
      <c r="A1707" t="s">
        <v>148</v>
      </c>
      <c r="B1707" t="s">
        <v>92</v>
      </c>
      <c r="C1707">
        <v>1990</v>
      </c>
      <c r="D1707">
        <v>6.5</v>
      </c>
      <c r="E1707">
        <v>6.5</v>
      </c>
      <c r="F1707" t="str">
        <f t="shared" si="26"/>
        <v>petroleum</v>
      </c>
    </row>
    <row r="1708" spans="1:6" x14ac:dyDescent="0.25">
      <c r="A1708" t="s">
        <v>148</v>
      </c>
      <c r="B1708" t="s">
        <v>92</v>
      </c>
      <c r="C1708">
        <v>1991</v>
      </c>
      <c r="D1708">
        <v>11</v>
      </c>
      <c r="E1708">
        <v>11</v>
      </c>
      <c r="F1708" t="str">
        <f t="shared" si="26"/>
        <v>petroleum</v>
      </c>
    </row>
    <row r="1709" spans="1:6" x14ac:dyDescent="0.25">
      <c r="A1709" t="s">
        <v>148</v>
      </c>
      <c r="B1709" t="s">
        <v>92</v>
      </c>
      <c r="C1709">
        <v>1992</v>
      </c>
      <c r="D1709">
        <v>1</v>
      </c>
      <c r="E1709">
        <v>1</v>
      </c>
      <c r="F1709" t="str">
        <f t="shared" si="26"/>
        <v>petroleum</v>
      </c>
    </row>
    <row r="1710" spans="1:6" x14ac:dyDescent="0.25">
      <c r="A1710" t="s">
        <v>148</v>
      </c>
      <c r="B1710" t="s">
        <v>92</v>
      </c>
      <c r="C1710">
        <v>1993</v>
      </c>
      <c r="D1710">
        <v>2.5</v>
      </c>
      <c r="E1710">
        <v>2.5</v>
      </c>
      <c r="F1710" t="str">
        <f t="shared" si="26"/>
        <v>petroleum</v>
      </c>
    </row>
    <row r="1711" spans="1:6" x14ac:dyDescent="0.25">
      <c r="A1711" t="s">
        <v>148</v>
      </c>
      <c r="B1711" t="s">
        <v>92</v>
      </c>
      <c r="C1711">
        <v>1994</v>
      </c>
      <c r="D1711">
        <v>11</v>
      </c>
      <c r="E1711">
        <v>11</v>
      </c>
      <c r="F1711" t="str">
        <f t="shared" si="26"/>
        <v>petroleum</v>
      </c>
    </row>
    <row r="1712" spans="1:6" x14ac:dyDescent="0.25">
      <c r="A1712" t="s">
        <v>148</v>
      </c>
      <c r="B1712" t="s">
        <v>92</v>
      </c>
      <c r="C1712">
        <v>1995</v>
      </c>
      <c r="D1712">
        <v>1.7</v>
      </c>
      <c r="E1712">
        <v>2</v>
      </c>
      <c r="F1712" t="str">
        <f t="shared" si="26"/>
        <v>petroleum</v>
      </c>
    </row>
    <row r="1713" spans="1:6" x14ac:dyDescent="0.25">
      <c r="A1713" t="s">
        <v>148</v>
      </c>
      <c r="B1713" t="s">
        <v>92</v>
      </c>
      <c r="C1713">
        <v>1996</v>
      </c>
      <c r="D1713">
        <v>2.4</v>
      </c>
      <c r="E1713">
        <v>2.4</v>
      </c>
      <c r="F1713" t="str">
        <f t="shared" si="26"/>
        <v>petroleum</v>
      </c>
    </row>
    <row r="1714" spans="1:6" x14ac:dyDescent="0.25">
      <c r="A1714" t="s">
        <v>148</v>
      </c>
      <c r="B1714" t="s">
        <v>92</v>
      </c>
      <c r="C1714">
        <v>1999</v>
      </c>
      <c r="D1714">
        <v>5.2</v>
      </c>
      <c r="E1714">
        <v>5.2</v>
      </c>
      <c r="F1714" t="str">
        <f t="shared" si="26"/>
        <v>petroleum</v>
      </c>
    </row>
    <row r="1715" spans="1:6" x14ac:dyDescent="0.25">
      <c r="A1715" t="s">
        <v>148</v>
      </c>
      <c r="B1715" t="s">
        <v>92</v>
      </c>
      <c r="C1715">
        <v>2000</v>
      </c>
      <c r="D1715">
        <v>6.5</v>
      </c>
      <c r="E1715">
        <v>6.9</v>
      </c>
      <c r="F1715" t="str">
        <f t="shared" si="26"/>
        <v>petroleum</v>
      </c>
    </row>
    <row r="1716" spans="1:6" x14ac:dyDescent="0.25">
      <c r="A1716" t="s">
        <v>148</v>
      </c>
      <c r="B1716" t="s">
        <v>92</v>
      </c>
      <c r="C1716">
        <v>2001</v>
      </c>
      <c r="D1716">
        <v>3.3</v>
      </c>
      <c r="E1716">
        <v>3.4</v>
      </c>
      <c r="F1716" t="str">
        <f t="shared" si="26"/>
        <v>petroleum</v>
      </c>
    </row>
    <row r="1717" spans="1:6" x14ac:dyDescent="0.25">
      <c r="A1717" t="s">
        <v>148</v>
      </c>
      <c r="B1717" t="s">
        <v>92</v>
      </c>
      <c r="C1717">
        <v>2002</v>
      </c>
      <c r="D1717">
        <v>4</v>
      </c>
      <c r="E1717">
        <v>4</v>
      </c>
      <c r="F1717" t="str">
        <f t="shared" si="26"/>
        <v>petroleum</v>
      </c>
    </row>
    <row r="1718" spans="1:6" x14ac:dyDescent="0.25">
      <c r="A1718" t="s">
        <v>148</v>
      </c>
      <c r="B1718" t="s">
        <v>92</v>
      </c>
      <c r="C1718">
        <v>2003</v>
      </c>
      <c r="D1718">
        <v>2.6</v>
      </c>
      <c r="E1718">
        <v>2.8</v>
      </c>
      <c r="F1718" t="str">
        <f t="shared" si="26"/>
        <v>petroleum</v>
      </c>
    </row>
    <row r="1719" spans="1:6" x14ac:dyDescent="0.25">
      <c r="A1719" t="s">
        <v>148</v>
      </c>
      <c r="B1719" t="s">
        <v>92</v>
      </c>
      <c r="C1719">
        <v>2005</v>
      </c>
      <c r="D1719">
        <v>4.5999999999999996</v>
      </c>
      <c r="E1719">
        <v>4.5999999999999996</v>
      </c>
      <c r="F1719" t="str">
        <f t="shared" si="26"/>
        <v>petroleum</v>
      </c>
    </row>
    <row r="1720" spans="1:6" x14ac:dyDescent="0.25">
      <c r="A1720" t="s">
        <v>148</v>
      </c>
      <c r="B1720" t="s">
        <v>92</v>
      </c>
      <c r="C1720">
        <v>2006</v>
      </c>
      <c r="D1720">
        <v>4.5</v>
      </c>
      <c r="E1720">
        <v>4.5</v>
      </c>
      <c r="F1720" t="str">
        <f t="shared" si="26"/>
        <v>petroleum</v>
      </c>
    </row>
    <row r="1721" spans="1:6" x14ac:dyDescent="0.25">
      <c r="A1721" t="s">
        <v>148</v>
      </c>
      <c r="B1721" t="s">
        <v>92</v>
      </c>
      <c r="C1721">
        <v>2007</v>
      </c>
      <c r="D1721">
        <v>7.7</v>
      </c>
      <c r="E1721">
        <v>7.7</v>
      </c>
      <c r="F1721" t="str">
        <f t="shared" si="26"/>
        <v>petroleum</v>
      </c>
    </row>
    <row r="1722" spans="1:6" x14ac:dyDescent="0.25">
      <c r="A1722" t="s">
        <v>148</v>
      </c>
      <c r="B1722" t="s">
        <v>92</v>
      </c>
      <c r="C1722">
        <v>2008</v>
      </c>
      <c r="D1722">
        <v>6.6</v>
      </c>
      <c r="E1722">
        <v>6.8</v>
      </c>
      <c r="F1722" t="str">
        <f t="shared" si="26"/>
        <v>petroleum</v>
      </c>
    </row>
    <row r="1723" spans="1:6" x14ac:dyDescent="0.25">
      <c r="A1723" t="s">
        <v>148</v>
      </c>
      <c r="B1723" t="s">
        <v>92</v>
      </c>
      <c r="C1723">
        <v>2021</v>
      </c>
      <c r="D1723">
        <v>7.2</v>
      </c>
      <c r="E1723">
        <v>8</v>
      </c>
      <c r="F1723" t="str">
        <f t="shared" si="26"/>
        <v>petroleum</v>
      </c>
    </row>
    <row r="1724" spans="1:6" x14ac:dyDescent="0.25">
      <c r="A1724" t="s">
        <v>148</v>
      </c>
      <c r="B1724" t="s">
        <v>249</v>
      </c>
      <c r="C1724">
        <v>2015</v>
      </c>
      <c r="D1724">
        <v>1.8</v>
      </c>
      <c r="E1724">
        <v>1.8</v>
      </c>
      <c r="F1724" t="str">
        <f t="shared" si="26"/>
        <v>solar pv</v>
      </c>
    </row>
    <row r="1725" spans="1:6" x14ac:dyDescent="0.25">
      <c r="A1725" t="s">
        <v>148</v>
      </c>
      <c r="B1725" t="s">
        <v>249</v>
      </c>
      <c r="C1725">
        <v>2016</v>
      </c>
      <c r="D1725">
        <v>11.1</v>
      </c>
      <c r="E1725">
        <v>11.1</v>
      </c>
      <c r="F1725" t="str">
        <f t="shared" si="26"/>
        <v>solar pv</v>
      </c>
    </row>
    <row r="1726" spans="1:6" x14ac:dyDescent="0.25">
      <c r="A1726" t="s">
        <v>148</v>
      </c>
      <c r="B1726" t="s">
        <v>249</v>
      </c>
      <c r="C1726">
        <v>2017</v>
      </c>
      <c r="D1726">
        <v>61.5</v>
      </c>
      <c r="E1726">
        <v>61.5</v>
      </c>
      <c r="F1726" t="str">
        <f t="shared" si="26"/>
        <v>solar pv</v>
      </c>
    </row>
    <row r="1727" spans="1:6" x14ac:dyDescent="0.25">
      <c r="A1727" t="s">
        <v>148</v>
      </c>
      <c r="B1727" t="s">
        <v>249</v>
      </c>
      <c r="C1727">
        <v>2018</v>
      </c>
      <c r="D1727">
        <v>25.2</v>
      </c>
      <c r="E1727">
        <v>26.3</v>
      </c>
      <c r="F1727" t="str">
        <f t="shared" si="26"/>
        <v>solar pv</v>
      </c>
    </row>
    <row r="1728" spans="1:6" x14ac:dyDescent="0.25">
      <c r="A1728" t="s">
        <v>148</v>
      </c>
      <c r="B1728" t="s">
        <v>249</v>
      </c>
      <c r="C1728">
        <v>2019</v>
      </c>
      <c r="D1728">
        <v>1.8</v>
      </c>
      <c r="E1728">
        <v>1.8</v>
      </c>
      <c r="F1728" t="str">
        <f t="shared" si="26"/>
        <v>solar pv</v>
      </c>
    </row>
    <row r="1729" spans="1:6" x14ac:dyDescent="0.25">
      <c r="A1729" t="s">
        <v>148</v>
      </c>
      <c r="B1729" t="s">
        <v>249</v>
      </c>
      <c r="C1729">
        <v>2020</v>
      </c>
      <c r="D1729">
        <v>123</v>
      </c>
      <c r="E1729">
        <v>123</v>
      </c>
      <c r="F1729" t="str">
        <f t="shared" si="26"/>
        <v>solar pv</v>
      </c>
    </row>
    <row r="1730" spans="1:6" x14ac:dyDescent="0.25">
      <c r="A1730" t="s">
        <v>148</v>
      </c>
      <c r="B1730" t="s">
        <v>249</v>
      </c>
      <c r="C1730">
        <v>2021</v>
      </c>
      <c r="D1730">
        <v>127.7</v>
      </c>
      <c r="E1730">
        <v>127.7</v>
      </c>
      <c r="F1730" t="str">
        <f t="shared" ref="F1730:F1793" si="27">LOWER($B1730)</f>
        <v>solar pv</v>
      </c>
    </row>
    <row r="1731" spans="1:6" x14ac:dyDescent="0.25">
      <c r="A1731" t="s">
        <v>148</v>
      </c>
      <c r="B1731" t="s">
        <v>249</v>
      </c>
      <c r="C1731">
        <v>2022</v>
      </c>
      <c r="D1731">
        <v>355.4</v>
      </c>
      <c r="E1731">
        <v>355.4</v>
      </c>
      <c r="F1731" t="str">
        <f t="shared" si="27"/>
        <v>solar pv</v>
      </c>
    </row>
    <row r="1732" spans="1:6" x14ac:dyDescent="0.25">
      <c r="A1732" t="s">
        <v>148</v>
      </c>
      <c r="B1732" t="s">
        <v>249</v>
      </c>
      <c r="C1732">
        <v>2023</v>
      </c>
      <c r="D1732">
        <v>267.5</v>
      </c>
      <c r="E1732">
        <v>267.5</v>
      </c>
      <c r="F1732" t="str">
        <f t="shared" si="27"/>
        <v>solar pv</v>
      </c>
    </row>
    <row r="1733" spans="1:6" x14ac:dyDescent="0.25">
      <c r="A1733" t="s">
        <v>148</v>
      </c>
      <c r="B1733" t="s">
        <v>249</v>
      </c>
      <c r="C1733">
        <v>2024</v>
      </c>
      <c r="D1733">
        <v>183</v>
      </c>
      <c r="E1733">
        <v>183</v>
      </c>
      <c r="F1733" t="str">
        <f t="shared" si="27"/>
        <v>solar pv</v>
      </c>
    </row>
    <row r="1734" spans="1:6" x14ac:dyDescent="0.25">
      <c r="A1734" t="s">
        <v>148</v>
      </c>
      <c r="B1734" t="s">
        <v>249</v>
      </c>
      <c r="C1734">
        <v>2025</v>
      </c>
      <c r="D1734">
        <v>807.8</v>
      </c>
      <c r="E1734">
        <v>807.8</v>
      </c>
      <c r="F1734" t="str">
        <f t="shared" si="27"/>
        <v>solar pv</v>
      </c>
    </row>
    <row r="1735" spans="1:6" x14ac:dyDescent="0.25">
      <c r="A1735" t="s">
        <v>149</v>
      </c>
      <c r="B1735" t="s">
        <v>90</v>
      </c>
      <c r="C1735">
        <v>1994</v>
      </c>
      <c r="D1735">
        <v>3.8</v>
      </c>
      <c r="E1735">
        <v>4.0999999999999996</v>
      </c>
      <c r="F1735" t="str">
        <f t="shared" si="27"/>
        <v>biomass</v>
      </c>
    </row>
    <row r="1736" spans="1:6" x14ac:dyDescent="0.25">
      <c r="A1736" t="s">
        <v>149</v>
      </c>
      <c r="B1736" t="s">
        <v>90</v>
      </c>
      <c r="C1736">
        <v>1997</v>
      </c>
      <c r="D1736">
        <v>41.5</v>
      </c>
      <c r="E1736">
        <v>41.5</v>
      </c>
      <c r="F1736" t="str">
        <f t="shared" si="27"/>
        <v>biomass</v>
      </c>
    </row>
    <row r="1737" spans="1:6" x14ac:dyDescent="0.25">
      <c r="A1737" t="s">
        <v>149</v>
      </c>
      <c r="B1737" t="s">
        <v>90</v>
      </c>
      <c r="C1737">
        <v>2001</v>
      </c>
      <c r="D1737">
        <v>14</v>
      </c>
      <c r="E1737">
        <v>27.6</v>
      </c>
      <c r="F1737" t="str">
        <f t="shared" si="27"/>
        <v>biomass</v>
      </c>
    </row>
    <row r="1738" spans="1:6" x14ac:dyDescent="0.25">
      <c r="A1738" t="s">
        <v>149</v>
      </c>
      <c r="B1738" t="s">
        <v>90</v>
      </c>
      <c r="C1738">
        <v>2003</v>
      </c>
      <c r="D1738">
        <v>33.299999999999997</v>
      </c>
      <c r="E1738">
        <v>38</v>
      </c>
      <c r="F1738" t="str">
        <f t="shared" si="27"/>
        <v>biomass</v>
      </c>
    </row>
    <row r="1739" spans="1:6" x14ac:dyDescent="0.25">
      <c r="A1739" t="s">
        <v>149</v>
      </c>
      <c r="B1739" t="s">
        <v>90</v>
      </c>
      <c r="C1739">
        <v>2008</v>
      </c>
      <c r="D1739">
        <v>2.7</v>
      </c>
      <c r="E1739">
        <v>3.4</v>
      </c>
      <c r="F1739" t="str">
        <f t="shared" si="27"/>
        <v>biomass</v>
      </c>
    </row>
    <row r="1740" spans="1:6" x14ac:dyDescent="0.25">
      <c r="A1740" t="s">
        <v>149</v>
      </c>
      <c r="B1740" t="s">
        <v>90</v>
      </c>
      <c r="C1740">
        <v>2009</v>
      </c>
      <c r="D1740">
        <v>20.3</v>
      </c>
      <c r="E1740">
        <v>23.4</v>
      </c>
      <c r="F1740" t="str">
        <f t="shared" si="27"/>
        <v>biomass</v>
      </c>
    </row>
    <row r="1741" spans="1:6" x14ac:dyDescent="0.25">
      <c r="A1741" t="s">
        <v>149</v>
      </c>
      <c r="B1741" t="s">
        <v>90</v>
      </c>
      <c r="C1741">
        <v>2010</v>
      </c>
      <c r="D1741">
        <v>0.8</v>
      </c>
      <c r="E1741">
        <v>0.8</v>
      </c>
      <c r="F1741" t="str">
        <f t="shared" si="27"/>
        <v>biomass</v>
      </c>
    </row>
    <row r="1742" spans="1:6" x14ac:dyDescent="0.25">
      <c r="A1742" t="s">
        <v>149</v>
      </c>
      <c r="B1742" t="s">
        <v>90</v>
      </c>
      <c r="C1742">
        <v>2011</v>
      </c>
      <c r="D1742">
        <v>1.5</v>
      </c>
      <c r="E1742">
        <v>1.6</v>
      </c>
      <c r="F1742" t="str">
        <f t="shared" si="27"/>
        <v>biomass</v>
      </c>
    </row>
    <row r="1743" spans="1:6" x14ac:dyDescent="0.25">
      <c r="A1743" t="s">
        <v>149</v>
      </c>
      <c r="B1743" t="s">
        <v>90</v>
      </c>
      <c r="C1743">
        <v>2012</v>
      </c>
      <c r="D1743">
        <v>1.5</v>
      </c>
      <c r="E1743">
        <v>1.6</v>
      </c>
      <c r="F1743" t="str">
        <f t="shared" si="27"/>
        <v>biomass</v>
      </c>
    </row>
    <row r="1744" spans="1:6" x14ac:dyDescent="0.25">
      <c r="A1744" t="s">
        <v>149</v>
      </c>
      <c r="B1744" t="s">
        <v>90</v>
      </c>
      <c r="C1744">
        <v>2013</v>
      </c>
      <c r="D1744">
        <v>7.6</v>
      </c>
      <c r="E1744">
        <v>8</v>
      </c>
      <c r="F1744" t="str">
        <f t="shared" si="27"/>
        <v>biomass</v>
      </c>
    </row>
    <row r="1745" spans="1:6" x14ac:dyDescent="0.25">
      <c r="A1745" t="s">
        <v>149</v>
      </c>
      <c r="B1745" t="s">
        <v>90</v>
      </c>
      <c r="C1745">
        <v>2015</v>
      </c>
      <c r="D1745">
        <v>40</v>
      </c>
      <c r="E1745">
        <v>52.3</v>
      </c>
      <c r="F1745" t="str">
        <f t="shared" si="27"/>
        <v>biomass</v>
      </c>
    </row>
    <row r="1746" spans="1:6" x14ac:dyDescent="0.25">
      <c r="A1746" t="s">
        <v>149</v>
      </c>
      <c r="B1746" t="s">
        <v>81</v>
      </c>
      <c r="C1746">
        <v>1990</v>
      </c>
      <c r="D1746">
        <v>7.5</v>
      </c>
      <c r="E1746">
        <v>7.5</v>
      </c>
      <c r="F1746" t="str">
        <f t="shared" si="27"/>
        <v>hard coal</v>
      </c>
    </row>
    <row r="1747" spans="1:6" x14ac:dyDescent="0.25">
      <c r="A1747" t="s">
        <v>149</v>
      </c>
      <c r="B1747" t="s">
        <v>86</v>
      </c>
      <c r="C1747">
        <v>1992</v>
      </c>
      <c r="D1747">
        <v>4</v>
      </c>
      <c r="E1747">
        <v>4.4000000000000004</v>
      </c>
      <c r="F1747" t="str">
        <f t="shared" si="27"/>
        <v>hydro</v>
      </c>
    </row>
    <row r="1748" spans="1:6" x14ac:dyDescent="0.25">
      <c r="A1748" t="s">
        <v>149</v>
      </c>
      <c r="B1748" t="s">
        <v>86</v>
      </c>
      <c r="C1748">
        <v>2011</v>
      </c>
      <c r="D1748">
        <v>9.6</v>
      </c>
      <c r="E1748">
        <v>9.6</v>
      </c>
      <c r="F1748" t="str">
        <f t="shared" si="27"/>
        <v>hydro</v>
      </c>
    </row>
    <row r="1749" spans="1:6" x14ac:dyDescent="0.25">
      <c r="A1749" t="s">
        <v>149</v>
      </c>
      <c r="B1749" t="s">
        <v>86</v>
      </c>
      <c r="C1749">
        <v>2013</v>
      </c>
      <c r="D1749">
        <v>0.5</v>
      </c>
      <c r="E1749">
        <v>0.5</v>
      </c>
      <c r="F1749" t="str">
        <f t="shared" si="27"/>
        <v>hydro</v>
      </c>
    </row>
    <row r="1750" spans="1:6" x14ac:dyDescent="0.25">
      <c r="A1750" t="s">
        <v>149</v>
      </c>
      <c r="B1750" t="s">
        <v>98</v>
      </c>
      <c r="C1750">
        <v>2010</v>
      </c>
      <c r="D1750">
        <v>5</v>
      </c>
      <c r="E1750">
        <v>5.5</v>
      </c>
      <c r="F1750" t="str">
        <f t="shared" si="27"/>
        <v>municipal solid waste</v>
      </c>
    </row>
    <row r="1751" spans="1:6" x14ac:dyDescent="0.25">
      <c r="A1751" t="s">
        <v>149</v>
      </c>
      <c r="B1751" t="s">
        <v>84</v>
      </c>
      <c r="C1751">
        <v>1994</v>
      </c>
      <c r="D1751">
        <v>51</v>
      </c>
      <c r="E1751">
        <v>65.5</v>
      </c>
      <c r="F1751" t="str">
        <f t="shared" si="27"/>
        <v>natural gas combined cycle</v>
      </c>
    </row>
    <row r="1752" spans="1:6" x14ac:dyDescent="0.25">
      <c r="A1752" t="s">
        <v>149</v>
      </c>
      <c r="B1752" t="s">
        <v>84</v>
      </c>
      <c r="C1752">
        <v>1997</v>
      </c>
      <c r="D1752">
        <v>251</v>
      </c>
      <c r="E1752">
        <v>283.5</v>
      </c>
      <c r="F1752" t="str">
        <f t="shared" si="27"/>
        <v>natural gas combined cycle</v>
      </c>
    </row>
    <row r="1753" spans="1:6" x14ac:dyDescent="0.25">
      <c r="A1753" t="s">
        <v>149</v>
      </c>
      <c r="B1753" t="s">
        <v>84</v>
      </c>
      <c r="C1753">
        <v>2002</v>
      </c>
      <c r="D1753">
        <v>165</v>
      </c>
      <c r="E1753">
        <v>187.9</v>
      </c>
      <c r="F1753" t="str">
        <f t="shared" si="27"/>
        <v>natural gas combined cycle</v>
      </c>
    </row>
    <row r="1754" spans="1:6" x14ac:dyDescent="0.25">
      <c r="A1754" t="s">
        <v>149</v>
      </c>
      <c r="B1754" t="s">
        <v>84</v>
      </c>
      <c r="C1754">
        <v>2005</v>
      </c>
      <c r="D1754">
        <v>153</v>
      </c>
      <c r="E1754">
        <v>212.5</v>
      </c>
      <c r="F1754" t="str">
        <f t="shared" si="27"/>
        <v>natural gas combined cycle</v>
      </c>
    </row>
    <row r="1755" spans="1:6" x14ac:dyDescent="0.25">
      <c r="A1755" t="s">
        <v>149</v>
      </c>
      <c r="B1755" t="s">
        <v>84</v>
      </c>
      <c r="C1755">
        <v>2006</v>
      </c>
      <c r="D1755">
        <v>467</v>
      </c>
      <c r="E1755">
        <v>552.1</v>
      </c>
      <c r="F1755" t="str">
        <f t="shared" si="27"/>
        <v>natural gas combined cycle</v>
      </c>
    </row>
    <row r="1756" spans="1:6" x14ac:dyDescent="0.25">
      <c r="A1756" t="s">
        <v>149</v>
      </c>
      <c r="B1756" t="s">
        <v>84</v>
      </c>
      <c r="C1756">
        <v>2007</v>
      </c>
      <c r="D1756">
        <v>108</v>
      </c>
      <c r="E1756">
        <v>122</v>
      </c>
      <c r="F1756" t="str">
        <f t="shared" si="27"/>
        <v>natural gas combined cycle</v>
      </c>
    </row>
    <row r="1757" spans="1:6" x14ac:dyDescent="0.25">
      <c r="A1757" t="s">
        <v>149</v>
      </c>
      <c r="B1757" t="s">
        <v>84</v>
      </c>
      <c r="C1757">
        <v>2008</v>
      </c>
      <c r="D1757">
        <v>530</v>
      </c>
      <c r="E1757">
        <v>644</v>
      </c>
      <c r="F1757" t="str">
        <f t="shared" si="27"/>
        <v>natural gas combined cycle</v>
      </c>
    </row>
    <row r="1758" spans="1:6" x14ac:dyDescent="0.25">
      <c r="A1758" t="s">
        <v>149</v>
      </c>
      <c r="B1758" t="s">
        <v>84</v>
      </c>
      <c r="C1758">
        <v>2009</v>
      </c>
      <c r="D1758">
        <v>294</v>
      </c>
      <c r="E1758">
        <v>421.2</v>
      </c>
      <c r="F1758" t="str">
        <f t="shared" si="27"/>
        <v>natural gas combined cycle</v>
      </c>
    </row>
    <row r="1759" spans="1:6" x14ac:dyDescent="0.25">
      <c r="A1759" t="s">
        <v>149</v>
      </c>
      <c r="B1759" t="s">
        <v>84</v>
      </c>
      <c r="C1759">
        <v>2019</v>
      </c>
      <c r="D1759">
        <v>236.9</v>
      </c>
      <c r="E1759">
        <v>262.10000000000002</v>
      </c>
      <c r="F1759" t="str">
        <f t="shared" si="27"/>
        <v>natural gas combined cycle</v>
      </c>
    </row>
    <row r="1760" spans="1:6" x14ac:dyDescent="0.25">
      <c r="A1760" t="s">
        <v>149</v>
      </c>
      <c r="B1760" t="s">
        <v>93</v>
      </c>
      <c r="C1760">
        <v>1996</v>
      </c>
      <c r="D1760">
        <v>4.5</v>
      </c>
      <c r="E1760">
        <v>4.7</v>
      </c>
      <c r="F1760" t="str">
        <f t="shared" si="27"/>
        <v>natural gas peaker</v>
      </c>
    </row>
    <row r="1761" spans="1:6" x14ac:dyDescent="0.25">
      <c r="A1761" t="s">
        <v>149</v>
      </c>
      <c r="B1761" t="s">
        <v>93</v>
      </c>
      <c r="C1761">
        <v>2001</v>
      </c>
      <c r="D1761">
        <v>863</v>
      </c>
      <c r="E1761">
        <v>944.8</v>
      </c>
      <c r="F1761" t="str">
        <f t="shared" si="27"/>
        <v>natural gas peaker</v>
      </c>
    </row>
    <row r="1762" spans="1:6" x14ac:dyDescent="0.25">
      <c r="A1762" t="s">
        <v>149</v>
      </c>
      <c r="B1762" t="s">
        <v>93</v>
      </c>
      <c r="C1762">
        <v>2002</v>
      </c>
      <c r="D1762">
        <v>169</v>
      </c>
      <c r="E1762">
        <v>182.7</v>
      </c>
      <c r="F1762" t="str">
        <f t="shared" si="27"/>
        <v>natural gas peaker</v>
      </c>
    </row>
    <row r="1763" spans="1:6" x14ac:dyDescent="0.25">
      <c r="A1763" t="s">
        <v>149</v>
      </c>
      <c r="B1763" t="s">
        <v>93</v>
      </c>
      <c r="C1763">
        <v>2003</v>
      </c>
      <c r="D1763">
        <v>40.1</v>
      </c>
      <c r="E1763">
        <v>50</v>
      </c>
      <c r="F1763" t="str">
        <f t="shared" si="27"/>
        <v>natural gas peaker</v>
      </c>
    </row>
    <row r="1764" spans="1:6" x14ac:dyDescent="0.25">
      <c r="A1764" t="s">
        <v>149</v>
      </c>
      <c r="B1764" t="s">
        <v>93</v>
      </c>
      <c r="C1764">
        <v>2005</v>
      </c>
      <c r="D1764">
        <v>300</v>
      </c>
      <c r="E1764">
        <v>332.6</v>
      </c>
      <c r="F1764" t="str">
        <f t="shared" si="27"/>
        <v>natural gas peaker</v>
      </c>
    </row>
    <row r="1765" spans="1:6" x14ac:dyDescent="0.25">
      <c r="A1765" t="s">
        <v>149</v>
      </c>
      <c r="B1765" t="s">
        <v>93</v>
      </c>
      <c r="C1765">
        <v>2007</v>
      </c>
      <c r="D1765">
        <v>152.69999999999999</v>
      </c>
      <c r="E1765">
        <v>169.2</v>
      </c>
      <c r="F1765" t="str">
        <f t="shared" si="27"/>
        <v>natural gas peaker</v>
      </c>
    </row>
    <row r="1766" spans="1:6" x14ac:dyDescent="0.25">
      <c r="A1766" t="s">
        <v>149</v>
      </c>
      <c r="B1766" t="s">
        <v>93</v>
      </c>
      <c r="C1766">
        <v>2008</v>
      </c>
      <c r="D1766">
        <v>316</v>
      </c>
      <c r="E1766">
        <v>346.8</v>
      </c>
      <c r="F1766" t="str">
        <f t="shared" si="27"/>
        <v>natural gas peaker</v>
      </c>
    </row>
    <row r="1767" spans="1:6" x14ac:dyDescent="0.25">
      <c r="A1767" t="s">
        <v>149</v>
      </c>
      <c r="B1767" t="s">
        <v>93</v>
      </c>
      <c r="C1767">
        <v>2009</v>
      </c>
      <c r="D1767">
        <v>208</v>
      </c>
      <c r="E1767">
        <v>191.3</v>
      </c>
      <c r="F1767" t="str">
        <f t="shared" si="27"/>
        <v>natural gas peaker</v>
      </c>
    </row>
    <row r="1768" spans="1:6" x14ac:dyDescent="0.25">
      <c r="A1768" t="s">
        <v>149</v>
      </c>
      <c r="B1768" t="s">
        <v>93</v>
      </c>
      <c r="C1768">
        <v>2013</v>
      </c>
      <c r="D1768">
        <v>9.3000000000000007</v>
      </c>
      <c r="E1768">
        <v>8.8000000000000007</v>
      </c>
      <c r="F1768" t="str">
        <f t="shared" si="27"/>
        <v>natural gas peaker</v>
      </c>
    </row>
    <row r="1769" spans="1:6" x14ac:dyDescent="0.25">
      <c r="A1769" t="s">
        <v>149</v>
      </c>
      <c r="B1769" t="s">
        <v>93</v>
      </c>
      <c r="C1769">
        <v>2014</v>
      </c>
      <c r="D1769">
        <v>26</v>
      </c>
      <c r="E1769">
        <v>26</v>
      </c>
      <c r="F1769" t="str">
        <f t="shared" si="27"/>
        <v>natural gas peaker</v>
      </c>
    </row>
    <row r="1770" spans="1:6" x14ac:dyDescent="0.25">
      <c r="A1770" t="s">
        <v>149</v>
      </c>
      <c r="B1770" t="s">
        <v>93</v>
      </c>
      <c r="C1770">
        <v>2017</v>
      </c>
      <c r="D1770">
        <v>64.5</v>
      </c>
      <c r="E1770">
        <v>67.5</v>
      </c>
      <c r="F1770" t="str">
        <f t="shared" si="27"/>
        <v>natural gas peaker</v>
      </c>
    </row>
    <row r="1771" spans="1:6" x14ac:dyDescent="0.25">
      <c r="A1771" t="s">
        <v>149</v>
      </c>
      <c r="B1771" t="s">
        <v>93</v>
      </c>
      <c r="C1771">
        <v>2018</v>
      </c>
      <c r="D1771">
        <v>294.3</v>
      </c>
      <c r="E1771">
        <v>323.3</v>
      </c>
      <c r="F1771" t="str">
        <f t="shared" si="27"/>
        <v>natural gas peaker</v>
      </c>
    </row>
    <row r="1772" spans="1:6" x14ac:dyDescent="0.25">
      <c r="A1772" t="s">
        <v>149</v>
      </c>
      <c r="B1772" t="s">
        <v>93</v>
      </c>
      <c r="C1772">
        <v>2019</v>
      </c>
      <c r="D1772">
        <v>21.6</v>
      </c>
      <c r="E1772">
        <v>22.2</v>
      </c>
      <c r="F1772" t="str">
        <f t="shared" si="27"/>
        <v>natural gas peaker</v>
      </c>
    </row>
    <row r="1773" spans="1:6" x14ac:dyDescent="0.25">
      <c r="A1773" t="s">
        <v>149</v>
      </c>
      <c r="B1773" t="s">
        <v>93</v>
      </c>
      <c r="C1773">
        <v>2025</v>
      </c>
      <c r="D1773">
        <v>29.8</v>
      </c>
      <c r="E1773">
        <v>31</v>
      </c>
      <c r="F1773" t="str">
        <f t="shared" si="27"/>
        <v>natural gas peaker</v>
      </c>
    </row>
    <row r="1774" spans="1:6" x14ac:dyDescent="0.25">
      <c r="A1774" t="s">
        <v>149</v>
      </c>
      <c r="B1774" t="s">
        <v>83</v>
      </c>
      <c r="C1774">
        <v>1996</v>
      </c>
      <c r="D1774">
        <v>5.8</v>
      </c>
      <c r="E1774">
        <v>6.4</v>
      </c>
      <c r="F1774" t="str">
        <f t="shared" si="27"/>
        <v>natural gas steam turbine</v>
      </c>
    </row>
    <row r="1775" spans="1:6" x14ac:dyDescent="0.25">
      <c r="A1775" t="s">
        <v>149</v>
      </c>
      <c r="B1775" t="s">
        <v>83</v>
      </c>
      <c r="C1775">
        <v>1997</v>
      </c>
      <c r="D1775">
        <v>4.7</v>
      </c>
      <c r="E1775">
        <v>6</v>
      </c>
      <c r="F1775" t="str">
        <f t="shared" si="27"/>
        <v>natural gas steam turbine</v>
      </c>
    </row>
    <row r="1776" spans="1:6" x14ac:dyDescent="0.25">
      <c r="A1776" t="s">
        <v>149</v>
      </c>
      <c r="B1776" t="s">
        <v>83</v>
      </c>
      <c r="C1776">
        <v>1998</v>
      </c>
      <c r="D1776">
        <v>2</v>
      </c>
      <c r="E1776">
        <v>13</v>
      </c>
      <c r="F1776" t="str">
        <f t="shared" si="27"/>
        <v>natural gas steam turbine</v>
      </c>
    </row>
    <row r="1777" spans="1:6" x14ac:dyDescent="0.25">
      <c r="A1777" t="s">
        <v>149</v>
      </c>
      <c r="B1777" t="s">
        <v>83</v>
      </c>
      <c r="C1777">
        <v>1999</v>
      </c>
      <c r="D1777">
        <v>4.4000000000000004</v>
      </c>
      <c r="E1777">
        <v>4.4000000000000004</v>
      </c>
      <c r="F1777" t="str">
        <f t="shared" si="27"/>
        <v>natural gas steam turbine</v>
      </c>
    </row>
    <row r="1778" spans="1:6" x14ac:dyDescent="0.25">
      <c r="A1778" t="s">
        <v>149</v>
      </c>
      <c r="B1778" t="s">
        <v>83</v>
      </c>
      <c r="C1778">
        <v>2005</v>
      </c>
      <c r="D1778">
        <v>1</v>
      </c>
      <c r="E1778">
        <v>1</v>
      </c>
      <c r="F1778" t="str">
        <f t="shared" si="27"/>
        <v>natural gas steam turbine</v>
      </c>
    </row>
    <row r="1779" spans="1:6" x14ac:dyDescent="0.25">
      <c r="A1779" t="s">
        <v>149</v>
      </c>
      <c r="B1779" t="s">
        <v>87</v>
      </c>
      <c r="C1779">
        <v>1994</v>
      </c>
      <c r="D1779">
        <v>21.9</v>
      </c>
      <c r="E1779">
        <v>21.9</v>
      </c>
      <c r="F1779" t="str">
        <f t="shared" si="27"/>
        <v>onshore wind</v>
      </c>
    </row>
    <row r="1780" spans="1:6" x14ac:dyDescent="0.25">
      <c r="A1780" t="s">
        <v>149</v>
      </c>
      <c r="B1780" t="s">
        <v>87</v>
      </c>
      <c r="C1780">
        <v>1998</v>
      </c>
      <c r="D1780">
        <v>103.5</v>
      </c>
      <c r="E1780">
        <v>107.2</v>
      </c>
      <c r="F1780" t="str">
        <f t="shared" si="27"/>
        <v>onshore wind</v>
      </c>
    </row>
    <row r="1781" spans="1:6" x14ac:dyDescent="0.25">
      <c r="A1781" t="s">
        <v>149</v>
      </c>
      <c r="B1781" t="s">
        <v>87</v>
      </c>
      <c r="C1781">
        <v>1999</v>
      </c>
      <c r="D1781">
        <v>133.1</v>
      </c>
      <c r="E1781">
        <v>133.1</v>
      </c>
      <c r="F1781" t="str">
        <f t="shared" si="27"/>
        <v>onshore wind</v>
      </c>
    </row>
    <row r="1782" spans="1:6" x14ac:dyDescent="0.25">
      <c r="A1782" t="s">
        <v>149</v>
      </c>
      <c r="B1782" t="s">
        <v>87</v>
      </c>
      <c r="C1782">
        <v>2000</v>
      </c>
      <c r="D1782">
        <v>3.8</v>
      </c>
      <c r="E1782">
        <v>3.8</v>
      </c>
      <c r="F1782" t="str">
        <f t="shared" si="27"/>
        <v>onshore wind</v>
      </c>
    </row>
    <row r="1783" spans="1:6" x14ac:dyDescent="0.25">
      <c r="A1783" t="s">
        <v>149</v>
      </c>
      <c r="B1783" t="s">
        <v>87</v>
      </c>
      <c r="C1783">
        <v>2001</v>
      </c>
      <c r="D1783">
        <v>32.4</v>
      </c>
      <c r="E1783">
        <v>32.4</v>
      </c>
      <c r="F1783" t="str">
        <f t="shared" si="27"/>
        <v>onshore wind</v>
      </c>
    </row>
    <row r="1784" spans="1:6" x14ac:dyDescent="0.25">
      <c r="A1784" t="s">
        <v>149</v>
      </c>
      <c r="B1784" t="s">
        <v>87</v>
      </c>
      <c r="C1784">
        <v>2002</v>
      </c>
      <c r="D1784">
        <v>37.4</v>
      </c>
      <c r="E1784">
        <v>39.4</v>
      </c>
      <c r="F1784" t="str">
        <f t="shared" si="27"/>
        <v>onshore wind</v>
      </c>
    </row>
    <row r="1785" spans="1:6" x14ac:dyDescent="0.25">
      <c r="A1785" t="s">
        <v>149</v>
      </c>
      <c r="B1785" t="s">
        <v>87</v>
      </c>
      <c r="C1785">
        <v>2003</v>
      </c>
      <c r="D1785">
        <v>197.8</v>
      </c>
      <c r="E1785">
        <v>198</v>
      </c>
      <c r="F1785" t="str">
        <f t="shared" si="27"/>
        <v>onshore wind</v>
      </c>
    </row>
    <row r="1786" spans="1:6" x14ac:dyDescent="0.25">
      <c r="A1786" t="s">
        <v>149</v>
      </c>
      <c r="B1786" t="s">
        <v>87</v>
      </c>
      <c r="C1786">
        <v>2004</v>
      </c>
      <c r="D1786">
        <v>26.3</v>
      </c>
      <c r="E1786">
        <v>26.3</v>
      </c>
      <c r="F1786" t="str">
        <f t="shared" si="27"/>
        <v>onshore wind</v>
      </c>
    </row>
    <row r="1787" spans="1:6" x14ac:dyDescent="0.25">
      <c r="A1787" t="s">
        <v>149</v>
      </c>
      <c r="B1787" t="s">
        <v>87</v>
      </c>
      <c r="C1787">
        <v>2005</v>
      </c>
      <c r="D1787">
        <v>104.3</v>
      </c>
      <c r="E1787">
        <v>105.6</v>
      </c>
      <c r="F1787" t="str">
        <f t="shared" si="27"/>
        <v>onshore wind</v>
      </c>
    </row>
    <row r="1788" spans="1:6" x14ac:dyDescent="0.25">
      <c r="A1788" t="s">
        <v>149</v>
      </c>
      <c r="B1788" t="s">
        <v>87</v>
      </c>
      <c r="C1788">
        <v>2006</v>
      </c>
      <c r="D1788">
        <v>151.4</v>
      </c>
      <c r="E1788">
        <v>151.4</v>
      </c>
      <c r="F1788" t="str">
        <f t="shared" si="27"/>
        <v>onshore wind</v>
      </c>
    </row>
    <row r="1789" spans="1:6" x14ac:dyDescent="0.25">
      <c r="A1789" t="s">
        <v>149</v>
      </c>
      <c r="B1789" t="s">
        <v>87</v>
      </c>
      <c r="C1789">
        <v>2007</v>
      </c>
      <c r="D1789">
        <v>326.3</v>
      </c>
      <c r="E1789">
        <v>326.3</v>
      </c>
      <c r="F1789" t="str">
        <f t="shared" si="27"/>
        <v>onshore wind</v>
      </c>
    </row>
    <row r="1790" spans="1:6" x14ac:dyDescent="0.25">
      <c r="A1790" t="s">
        <v>149</v>
      </c>
      <c r="B1790" t="s">
        <v>87</v>
      </c>
      <c r="C1790">
        <v>2008</v>
      </c>
      <c r="D1790">
        <v>476.95</v>
      </c>
      <c r="E1790">
        <v>479.5</v>
      </c>
      <c r="F1790" t="str">
        <f t="shared" si="27"/>
        <v>onshore wind</v>
      </c>
    </row>
    <row r="1791" spans="1:6" x14ac:dyDescent="0.25">
      <c r="A1791" t="s">
        <v>149</v>
      </c>
      <c r="B1791" t="s">
        <v>87</v>
      </c>
      <c r="C1791">
        <v>2009</v>
      </c>
      <c r="D1791">
        <v>154</v>
      </c>
      <c r="E1791">
        <v>154</v>
      </c>
      <c r="F1791" t="str">
        <f t="shared" si="27"/>
        <v>onshore wind</v>
      </c>
    </row>
    <row r="1792" spans="1:6" x14ac:dyDescent="0.25">
      <c r="A1792" t="s">
        <v>149</v>
      </c>
      <c r="B1792" t="s">
        <v>87</v>
      </c>
      <c r="C1792">
        <v>2010</v>
      </c>
      <c r="D1792">
        <v>374.3</v>
      </c>
      <c r="E1792">
        <v>375.3</v>
      </c>
      <c r="F1792" t="str">
        <f t="shared" si="27"/>
        <v>onshore wind</v>
      </c>
    </row>
    <row r="1793" spans="1:6" x14ac:dyDescent="0.25">
      <c r="A1793" t="s">
        <v>149</v>
      </c>
      <c r="B1793" t="s">
        <v>87</v>
      </c>
      <c r="C1793">
        <v>2011</v>
      </c>
      <c r="D1793">
        <v>566.1</v>
      </c>
      <c r="E1793">
        <v>568.4</v>
      </c>
      <c r="F1793" t="str">
        <f t="shared" si="27"/>
        <v>onshore wind</v>
      </c>
    </row>
    <row r="1794" spans="1:6" x14ac:dyDescent="0.25">
      <c r="A1794" t="s">
        <v>149</v>
      </c>
      <c r="B1794" t="s">
        <v>87</v>
      </c>
      <c r="C1794">
        <v>2012</v>
      </c>
      <c r="D1794">
        <v>266</v>
      </c>
      <c r="E1794">
        <v>266</v>
      </c>
      <c r="F1794" t="str">
        <f t="shared" ref="F1794:F1857" si="28">LOWER($B1794)</f>
        <v>onshore wind</v>
      </c>
    </row>
    <row r="1795" spans="1:6" x14ac:dyDescent="0.25">
      <c r="A1795" t="s">
        <v>149</v>
      </c>
      <c r="B1795" t="s">
        <v>87</v>
      </c>
      <c r="C1795">
        <v>2014</v>
      </c>
      <c r="D1795">
        <v>50</v>
      </c>
      <c r="E1795">
        <v>51.8</v>
      </c>
      <c r="F1795" t="str">
        <f t="shared" si="28"/>
        <v>onshore wind</v>
      </c>
    </row>
    <row r="1796" spans="1:6" x14ac:dyDescent="0.25">
      <c r="A1796" t="s">
        <v>149</v>
      </c>
      <c r="B1796" t="s">
        <v>87</v>
      </c>
      <c r="C1796">
        <v>2015</v>
      </c>
      <c r="D1796">
        <v>200</v>
      </c>
      <c r="E1796">
        <v>200</v>
      </c>
      <c r="F1796" t="str">
        <f t="shared" si="28"/>
        <v>onshore wind</v>
      </c>
    </row>
    <row r="1797" spans="1:6" x14ac:dyDescent="0.25">
      <c r="A1797" t="s">
        <v>149</v>
      </c>
      <c r="B1797" t="s">
        <v>87</v>
      </c>
      <c r="C1797">
        <v>2016</v>
      </c>
      <c r="D1797">
        <v>291</v>
      </c>
      <c r="E1797">
        <v>291.8</v>
      </c>
      <c r="F1797" t="str">
        <f t="shared" si="28"/>
        <v>onshore wind</v>
      </c>
    </row>
    <row r="1798" spans="1:6" x14ac:dyDescent="0.25">
      <c r="A1798" t="s">
        <v>149</v>
      </c>
      <c r="B1798" t="s">
        <v>87</v>
      </c>
      <c r="C1798">
        <v>2017</v>
      </c>
      <c r="D1798">
        <v>200</v>
      </c>
      <c r="E1798">
        <v>200</v>
      </c>
      <c r="F1798" t="str">
        <f t="shared" si="28"/>
        <v>onshore wind</v>
      </c>
    </row>
    <row r="1799" spans="1:6" x14ac:dyDescent="0.25">
      <c r="A1799" t="s">
        <v>149</v>
      </c>
      <c r="B1799" t="s">
        <v>87</v>
      </c>
      <c r="C1799">
        <v>2018</v>
      </c>
      <c r="D1799">
        <v>46.6</v>
      </c>
      <c r="E1799">
        <v>46.6</v>
      </c>
      <c r="F1799" t="str">
        <f t="shared" si="28"/>
        <v>onshore wind</v>
      </c>
    </row>
    <row r="1800" spans="1:6" x14ac:dyDescent="0.25">
      <c r="A1800" t="s">
        <v>149</v>
      </c>
      <c r="B1800" t="s">
        <v>87</v>
      </c>
      <c r="C1800">
        <v>2019</v>
      </c>
      <c r="D1800">
        <v>100</v>
      </c>
      <c r="E1800">
        <v>100</v>
      </c>
      <c r="F1800" t="str">
        <f t="shared" si="28"/>
        <v>onshore wind</v>
      </c>
    </row>
    <row r="1801" spans="1:6" x14ac:dyDescent="0.25">
      <c r="A1801" t="s">
        <v>149</v>
      </c>
      <c r="B1801" t="s">
        <v>87</v>
      </c>
      <c r="C1801">
        <v>2020</v>
      </c>
      <c r="D1801">
        <v>462.1</v>
      </c>
      <c r="E1801">
        <v>462.1</v>
      </c>
      <c r="F1801" t="str">
        <f t="shared" si="28"/>
        <v>onshore wind</v>
      </c>
    </row>
    <row r="1802" spans="1:6" x14ac:dyDescent="0.25">
      <c r="A1802" t="s">
        <v>149</v>
      </c>
      <c r="B1802" t="s">
        <v>87</v>
      </c>
      <c r="C1802">
        <v>2021</v>
      </c>
      <c r="D1802">
        <v>418</v>
      </c>
      <c r="E1802">
        <v>418</v>
      </c>
      <c r="F1802" t="str">
        <f t="shared" si="28"/>
        <v>onshore wind</v>
      </c>
    </row>
    <row r="1803" spans="1:6" x14ac:dyDescent="0.25">
      <c r="A1803" t="s">
        <v>149</v>
      </c>
      <c r="B1803" t="s">
        <v>87</v>
      </c>
      <c r="C1803">
        <v>2022</v>
      </c>
      <c r="D1803">
        <v>231.9</v>
      </c>
      <c r="E1803">
        <v>236</v>
      </c>
      <c r="F1803" t="str">
        <f t="shared" si="28"/>
        <v>onshore wind</v>
      </c>
    </row>
    <row r="1804" spans="1:6" x14ac:dyDescent="0.25">
      <c r="A1804" t="s">
        <v>149</v>
      </c>
      <c r="B1804" t="s">
        <v>87</v>
      </c>
      <c r="C1804">
        <v>2023</v>
      </c>
      <c r="D1804">
        <v>100</v>
      </c>
      <c r="E1804">
        <v>100</v>
      </c>
      <c r="F1804" t="str">
        <f t="shared" si="28"/>
        <v>onshore wind</v>
      </c>
    </row>
    <row r="1805" spans="1:6" x14ac:dyDescent="0.25">
      <c r="A1805" t="s">
        <v>149</v>
      </c>
      <c r="B1805" t="s">
        <v>92</v>
      </c>
      <c r="C1805">
        <v>1990</v>
      </c>
      <c r="D1805">
        <v>2.1</v>
      </c>
      <c r="E1805">
        <v>5</v>
      </c>
      <c r="F1805" t="str">
        <f t="shared" si="28"/>
        <v>petroleum</v>
      </c>
    </row>
    <row r="1806" spans="1:6" x14ac:dyDescent="0.25">
      <c r="A1806" t="s">
        <v>149</v>
      </c>
      <c r="B1806" t="s">
        <v>92</v>
      </c>
      <c r="C1806">
        <v>1992</v>
      </c>
      <c r="D1806">
        <v>4.8</v>
      </c>
      <c r="E1806">
        <v>4.8</v>
      </c>
      <c r="F1806" t="str">
        <f t="shared" si="28"/>
        <v>petroleum</v>
      </c>
    </row>
    <row r="1807" spans="1:6" x14ac:dyDescent="0.25">
      <c r="A1807" t="s">
        <v>149</v>
      </c>
      <c r="B1807" t="s">
        <v>92</v>
      </c>
      <c r="C1807">
        <v>1993</v>
      </c>
      <c r="D1807">
        <v>8.4</v>
      </c>
      <c r="E1807">
        <v>8.4</v>
      </c>
      <c r="F1807" t="str">
        <f t="shared" si="28"/>
        <v>petroleum</v>
      </c>
    </row>
    <row r="1808" spans="1:6" x14ac:dyDescent="0.25">
      <c r="A1808" t="s">
        <v>149</v>
      </c>
      <c r="B1808" t="s">
        <v>92</v>
      </c>
      <c r="C1808">
        <v>1994</v>
      </c>
      <c r="D1808">
        <v>8</v>
      </c>
      <c r="E1808">
        <v>8</v>
      </c>
      <c r="F1808" t="str">
        <f t="shared" si="28"/>
        <v>petroleum</v>
      </c>
    </row>
    <row r="1809" spans="1:6" x14ac:dyDescent="0.25">
      <c r="A1809" t="s">
        <v>149</v>
      </c>
      <c r="B1809" t="s">
        <v>92</v>
      </c>
      <c r="C1809">
        <v>1995</v>
      </c>
      <c r="D1809">
        <v>5.7</v>
      </c>
      <c r="E1809">
        <v>5.8</v>
      </c>
      <c r="F1809" t="str">
        <f t="shared" si="28"/>
        <v>petroleum</v>
      </c>
    </row>
    <row r="1810" spans="1:6" x14ac:dyDescent="0.25">
      <c r="A1810" t="s">
        <v>149</v>
      </c>
      <c r="B1810" t="s">
        <v>92</v>
      </c>
      <c r="C1810">
        <v>1996</v>
      </c>
      <c r="D1810">
        <v>7.4</v>
      </c>
      <c r="E1810">
        <v>7.4</v>
      </c>
      <c r="F1810" t="str">
        <f t="shared" si="28"/>
        <v>petroleum</v>
      </c>
    </row>
    <row r="1811" spans="1:6" x14ac:dyDescent="0.25">
      <c r="A1811" t="s">
        <v>149</v>
      </c>
      <c r="B1811" t="s">
        <v>92</v>
      </c>
      <c r="C1811">
        <v>1997</v>
      </c>
      <c r="D1811">
        <v>11.3</v>
      </c>
      <c r="E1811">
        <v>11.3</v>
      </c>
      <c r="F1811" t="str">
        <f t="shared" si="28"/>
        <v>petroleum</v>
      </c>
    </row>
    <row r="1812" spans="1:6" x14ac:dyDescent="0.25">
      <c r="A1812" t="s">
        <v>149</v>
      </c>
      <c r="B1812" t="s">
        <v>92</v>
      </c>
      <c r="C1812">
        <v>1998</v>
      </c>
      <c r="D1812">
        <v>18.600000000000001</v>
      </c>
      <c r="E1812">
        <v>18.600000000000001</v>
      </c>
      <c r="F1812" t="str">
        <f t="shared" si="28"/>
        <v>petroleum</v>
      </c>
    </row>
    <row r="1813" spans="1:6" x14ac:dyDescent="0.25">
      <c r="A1813" t="s">
        <v>149</v>
      </c>
      <c r="B1813" t="s">
        <v>92</v>
      </c>
      <c r="C1813">
        <v>1999</v>
      </c>
      <c r="D1813">
        <v>21.9</v>
      </c>
      <c r="E1813">
        <v>25</v>
      </c>
      <c r="F1813" t="str">
        <f t="shared" si="28"/>
        <v>petroleum</v>
      </c>
    </row>
    <row r="1814" spans="1:6" x14ac:dyDescent="0.25">
      <c r="A1814" t="s">
        <v>149</v>
      </c>
      <c r="B1814" t="s">
        <v>92</v>
      </c>
      <c r="C1814">
        <v>2000</v>
      </c>
      <c r="D1814">
        <v>12</v>
      </c>
      <c r="E1814">
        <v>12</v>
      </c>
      <c r="F1814" t="str">
        <f t="shared" si="28"/>
        <v>petroleum</v>
      </c>
    </row>
    <row r="1815" spans="1:6" x14ac:dyDescent="0.25">
      <c r="A1815" t="s">
        <v>149</v>
      </c>
      <c r="B1815" t="s">
        <v>92</v>
      </c>
      <c r="C1815">
        <v>2001</v>
      </c>
      <c r="D1815">
        <v>45.9</v>
      </c>
      <c r="E1815">
        <v>49</v>
      </c>
      <c r="F1815" t="str">
        <f t="shared" si="28"/>
        <v>petroleum</v>
      </c>
    </row>
    <row r="1816" spans="1:6" x14ac:dyDescent="0.25">
      <c r="A1816" t="s">
        <v>149</v>
      </c>
      <c r="B1816" t="s">
        <v>92</v>
      </c>
      <c r="C1816">
        <v>2002</v>
      </c>
      <c r="D1816">
        <v>48</v>
      </c>
      <c r="E1816">
        <v>49.5</v>
      </c>
      <c r="F1816" t="str">
        <f t="shared" si="28"/>
        <v>petroleum</v>
      </c>
    </row>
    <row r="1817" spans="1:6" x14ac:dyDescent="0.25">
      <c r="A1817" t="s">
        <v>149</v>
      </c>
      <c r="B1817" t="s">
        <v>92</v>
      </c>
      <c r="C1817">
        <v>2003</v>
      </c>
      <c r="D1817">
        <v>27.2</v>
      </c>
      <c r="E1817">
        <v>28.8</v>
      </c>
      <c r="F1817" t="str">
        <f t="shared" si="28"/>
        <v>petroleum</v>
      </c>
    </row>
    <row r="1818" spans="1:6" x14ac:dyDescent="0.25">
      <c r="A1818" t="s">
        <v>149</v>
      </c>
      <c r="B1818" t="s">
        <v>92</v>
      </c>
      <c r="C1818">
        <v>2004</v>
      </c>
      <c r="D1818">
        <v>19.600000000000001</v>
      </c>
      <c r="E1818">
        <v>26.8</v>
      </c>
      <c r="F1818" t="str">
        <f t="shared" si="28"/>
        <v>petroleum</v>
      </c>
    </row>
    <row r="1819" spans="1:6" x14ac:dyDescent="0.25">
      <c r="A1819" t="s">
        <v>149</v>
      </c>
      <c r="B1819" t="s">
        <v>92</v>
      </c>
      <c r="C1819">
        <v>2005</v>
      </c>
      <c r="D1819">
        <v>24.4</v>
      </c>
      <c r="E1819">
        <v>29.4</v>
      </c>
      <c r="F1819" t="str">
        <f t="shared" si="28"/>
        <v>petroleum</v>
      </c>
    </row>
    <row r="1820" spans="1:6" x14ac:dyDescent="0.25">
      <c r="A1820" t="s">
        <v>149</v>
      </c>
      <c r="B1820" t="s">
        <v>92</v>
      </c>
      <c r="C1820">
        <v>2006</v>
      </c>
      <c r="D1820">
        <v>4.8</v>
      </c>
      <c r="E1820">
        <v>4.8</v>
      </c>
      <c r="F1820" t="str">
        <f t="shared" si="28"/>
        <v>petroleum</v>
      </c>
    </row>
    <row r="1821" spans="1:6" x14ac:dyDescent="0.25">
      <c r="A1821" t="s">
        <v>149</v>
      </c>
      <c r="B1821" t="s">
        <v>92</v>
      </c>
      <c r="C1821">
        <v>2007</v>
      </c>
      <c r="D1821">
        <v>6.2</v>
      </c>
      <c r="E1821">
        <v>12</v>
      </c>
      <c r="F1821" t="str">
        <f t="shared" si="28"/>
        <v>petroleum</v>
      </c>
    </row>
    <row r="1822" spans="1:6" x14ac:dyDescent="0.25">
      <c r="A1822" t="s">
        <v>149</v>
      </c>
      <c r="B1822" t="s">
        <v>92</v>
      </c>
      <c r="C1822">
        <v>2009</v>
      </c>
      <c r="D1822">
        <v>32.799999999999997</v>
      </c>
      <c r="E1822">
        <v>37.5</v>
      </c>
      <c r="F1822" t="str">
        <f t="shared" si="28"/>
        <v>petroleum</v>
      </c>
    </row>
    <row r="1823" spans="1:6" x14ac:dyDescent="0.25">
      <c r="A1823" t="s">
        <v>149</v>
      </c>
      <c r="B1823" t="s">
        <v>92</v>
      </c>
      <c r="C1823">
        <v>2010</v>
      </c>
      <c r="D1823">
        <v>11.5</v>
      </c>
      <c r="E1823">
        <v>11.5</v>
      </c>
      <c r="F1823" t="str">
        <f t="shared" si="28"/>
        <v>petroleum</v>
      </c>
    </row>
    <row r="1824" spans="1:6" x14ac:dyDescent="0.25">
      <c r="A1824" t="s">
        <v>149</v>
      </c>
      <c r="B1824" t="s">
        <v>92</v>
      </c>
      <c r="C1824">
        <v>2011</v>
      </c>
      <c r="D1824">
        <v>20.8</v>
      </c>
      <c r="E1824">
        <v>22.9</v>
      </c>
      <c r="F1824" t="str">
        <f t="shared" si="28"/>
        <v>petroleum</v>
      </c>
    </row>
    <row r="1825" spans="1:6" x14ac:dyDescent="0.25">
      <c r="A1825" t="s">
        <v>149</v>
      </c>
      <c r="B1825" t="s">
        <v>92</v>
      </c>
      <c r="C1825">
        <v>2012</v>
      </c>
      <c r="D1825">
        <v>6.3</v>
      </c>
      <c r="E1825">
        <v>8.8000000000000007</v>
      </c>
      <c r="F1825" t="str">
        <f t="shared" si="28"/>
        <v>petroleum</v>
      </c>
    </row>
    <row r="1826" spans="1:6" x14ac:dyDescent="0.25">
      <c r="A1826" t="s">
        <v>149</v>
      </c>
      <c r="B1826" t="s">
        <v>92</v>
      </c>
      <c r="C1826">
        <v>2014</v>
      </c>
      <c r="D1826">
        <v>0.8</v>
      </c>
      <c r="E1826">
        <v>1</v>
      </c>
      <c r="F1826" t="str">
        <f t="shared" si="28"/>
        <v>petroleum</v>
      </c>
    </row>
    <row r="1827" spans="1:6" x14ac:dyDescent="0.25">
      <c r="A1827" t="s">
        <v>149</v>
      </c>
      <c r="B1827" t="s">
        <v>92</v>
      </c>
      <c r="C1827">
        <v>2015</v>
      </c>
      <c r="D1827">
        <v>2.9</v>
      </c>
      <c r="E1827">
        <v>2.9</v>
      </c>
      <c r="F1827" t="str">
        <f t="shared" si="28"/>
        <v>petroleum</v>
      </c>
    </row>
    <row r="1828" spans="1:6" x14ac:dyDescent="0.25">
      <c r="A1828" t="s">
        <v>149</v>
      </c>
      <c r="B1828" t="s">
        <v>92</v>
      </c>
      <c r="C1828">
        <v>2020</v>
      </c>
      <c r="D1828">
        <v>3.3</v>
      </c>
      <c r="E1828">
        <v>3.3</v>
      </c>
      <c r="F1828" t="str">
        <f t="shared" si="28"/>
        <v>petroleum</v>
      </c>
    </row>
    <row r="1829" spans="1:6" x14ac:dyDescent="0.25">
      <c r="A1829" t="s">
        <v>149</v>
      </c>
      <c r="B1829" t="s">
        <v>92</v>
      </c>
      <c r="C1829">
        <v>2021</v>
      </c>
      <c r="D1829">
        <v>12.4</v>
      </c>
      <c r="E1829">
        <v>12.4</v>
      </c>
      <c r="F1829" t="str">
        <f t="shared" si="28"/>
        <v>petroleum</v>
      </c>
    </row>
    <row r="1830" spans="1:6" x14ac:dyDescent="0.25">
      <c r="A1830" t="s">
        <v>149</v>
      </c>
      <c r="B1830" t="s">
        <v>92</v>
      </c>
      <c r="C1830">
        <v>2022</v>
      </c>
      <c r="D1830">
        <v>12</v>
      </c>
      <c r="E1830">
        <v>12</v>
      </c>
      <c r="F1830" t="str">
        <f t="shared" si="28"/>
        <v>petroleum</v>
      </c>
    </row>
    <row r="1831" spans="1:6" x14ac:dyDescent="0.25">
      <c r="A1831" t="s">
        <v>149</v>
      </c>
      <c r="B1831" t="s">
        <v>92</v>
      </c>
      <c r="C1831">
        <v>2023</v>
      </c>
      <c r="D1831">
        <v>1.8</v>
      </c>
      <c r="E1831">
        <v>1.8</v>
      </c>
      <c r="F1831" t="str">
        <f t="shared" si="28"/>
        <v>petroleum</v>
      </c>
    </row>
    <row r="1832" spans="1:6" x14ac:dyDescent="0.25">
      <c r="A1832" t="s">
        <v>149</v>
      </c>
      <c r="B1832" t="s">
        <v>92</v>
      </c>
      <c r="C1832">
        <v>2024</v>
      </c>
      <c r="D1832">
        <v>5.6</v>
      </c>
      <c r="E1832">
        <v>6.2</v>
      </c>
      <c r="F1832" t="str">
        <f t="shared" si="28"/>
        <v>petroleum</v>
      </c>
    </row>
    <row r="1833" spans="1:6" x14ac:dyDescent="0.25">
      <c r="A1833" t="s">
        <v>149</v>
      </c>
      <c r="B1833" t="s">
        <v>249</v>
      </c>
      <c r="C1833">
        <v>2013</v>
      </c>
      <c r="D1833">
        <v>1.7</v>
      </c>
      <c r="E1833">
        <v>1.7</v>
      </c>
      <c r="F1833" t="str">
        <f t="shared" si="28"/>
        <v>solar pv</v>
      </c>
    </row>
    <row r="1834" spans="1:6" x14ac:dyDescent="0.25">
      <c r="A1834" t="s">
        <v>149</v>
      </c>
      <c r="B1834" t="s">
        <v>249</v>
      </c>
      <c r="C1834">
        <v>2015</v>
      </c>
      <c r="D1834">
        <v>2.2999999999999998</v>
      </c>
      <c r="E1834">
        <v>2.2999999999999998</v>
      </c>
      <c r="F1834" t="str">
        <f t="shared" si="28"/>
        <v>solar pv</v>
      </c>
    </row>
    <row r="1835" spans="1:6" x14ac:dyDescent="0.25">
      <c r="A1835" t="s">
        <v>149</v>
      </c>
      <c r="B1835" t="s">
        <v>249</v>
      </c>
      <c r="C1835">
        <v>2016</v>
      </c>
      <c r="D1835">
        <v>257.8</v>
      </c>
      <c r="E1835">
        <v>260.2</v>
      </c>
      <c r="F1835" t="str">
        <f t="shared" si="28"/>
        <v>solar pv</v>
      </c>
    </row>
    <row r="1836" spans="1:6" x14ac:dyDescent="0.25">
      <c r="A1836" t="s">
        <v>149</v>
      </c>
      <c r="B1836" t="s">
        <v>249</v>
      </c>
      <c r="C1836">
        <v>2017</v>
      </c>
      <c r="D1836">
        <v>251.4</v>
      </c>
      <c r="E1836">
        <v>256.39999999999998</v>
      </c>
      <c r="F1836" t="str">
        <f t="shared" si="28"/>
        <v>solar pv</v>
      </c>
    </row>
    <row r="1837" spans="1:6" x14ac:dyDescent="0.25">
      <c r="A1837" t="s">
        <v>149</v>
      </c>
      <c r="B1837" t="s">
        <v>249</v>
      </c>
      <c r="C1837">
        <v>2018</v>
      </c>
      <c r="D1837">
        <v>229.28</v>
      </c>
      <c r="E1837">
        <v>231.8</v>
      </c>
      <c r="F1837" t="str">
        <f t="shared" si="28"/>
        <v>solar pv</v>
      </c>
    </row>
    <row r="1838" spans="1:6" x14ac:dyDescent="0.25">
      <c r="A1838" t="s">
        <v>149</v>
      </c>
      <c r="B1838" t="s">
        <v>249</v>
      </c>
      <c r="C1838">
        <v>2019</v>
      </c>
      <c r="D1838">
        <v>152.1</v>
      </c>
      <c r="E1838">
        <v>152.1</v>
      </c>
      <c r="F1838" t="str">
        <f t="shared" si="28"/>
        <v>solar pv</v>
      </c>
    </row>
    <row r="1839" spans="1:6" x14ac:dyDescent="0.25">
      <c r="A1839" t="s">
        <v>149</v>
      </c>
      <c r="B1839" t="s">
        <v>249</v>
      </c>
      <c r="C1839">
        <v>2020</v>
      </c>
      <c r="D1839">
        <v>124.1</v>
      </c>
      <c r="E1839">
        <v>124.1</v>
      </c>
      <c r="F1839" t="str">
        <f t="shared" si="28"/>
        <v>solar pv</v>
      </c>
    </row>
    <row r="1840" spans="1:6" x14ac:dyDescent="0.25">
      <c r="A1840" t="s">
        <v>149</v>
      </c>
      <c r="B1840" t="s">
        <v>249</v>
      </c>
      <c r="C1840">
        <v>2021</v>
      </c>
      <c r="D1840">
        <v>80.5</v>
      </c>
      <c r="E1840">
        <v>81.099999999999994</v>
      </c>
      <c r="F1840" t="str">
        <f t="shared" si="28"/>
        <v>solar pv</v>
      </c>
    </row>
    <row r="1841" spans="1:6" x14ac:dyDescent="0.25">
      <c r="A1841" t="s">
        <v>149</v>
      </c>
      <c r="B1841" t="s">
        <v>249</v>
      </c>
      <c r="C1841">
        <v>2022</v>
      </c>
      <c r="D1841">
        <v>49.6</v>
      </c>
      <c r="E1841">
        <v>51</v>
      </c>
      <c r="F1841" t="str">
        <f t="shared" si="28"/>
        <v>solar pv</v>
      </c>
    </row>
    <row r="1842" spans="1:6" x14ac:dyDescent="0.25">
      <c r="A1842" t="s">
        <v>149</v>
      </c>
      <c r="B1842" t="s">
        <v>249</v>
      </c>
      <c r="C1842">
        <v>2023</v>
      </c>
      <c r="D1842">
        <v>146.86000000000001</v>
      </c>
      <c r="E1842">
        <v>146.5</v>
      </c>
      <c r="F1842" t="str">
        <f t="shared" si="28"/>
        <v>solar pv</v>
      </c>
    </row>
    <row r="1843" spans="1:6" x14ac:dyDescent="0.25">
      <c r="A1843" t="s">
        <v>149</v>
      </c>
      <c r="B1843" t="s">
        <v>249</v>
      </c>
      <c r="C1843">
        <v>2024</v>
      </c>
      <c r="D1843">
        <v>351.38</v>
      </c>
      <c r="E1843">
        <v>351.2</v>
      </c>
      <c r="F1843" t="str">
        <f t="shared" si="28"/>
        <v>solar pv</v>
      </c>
    </row>
    <row r="1844" spans="1:6" x14ac:dyDescent="0.25">
      <c r="A1844" t="s">
        <v>149</v>
      </c>
      <c r="B1844" t="s">
        <v>249</v>
      </c>
      <c r="C1844">
        <v>2025</v>
      </c>
      <c r="D1844">
        <v>261.10000000000002</v>
      </c>
      <c r="E1844">
        <v>261.10000000000002</v>
      </c>
      <c r="F1844" t="str">
        <f t="shared" si="28"/>
        <v>solar pv</v>
      </c>
    </row>
    <row r="1845" spans="1:6" x14ac:dyDescent="0.25">
      <c r="A1845" t="s">
        <v>151</v>
      </c>
      <c r="B1845" t="s">
        <v>90</v>
      </c>
      <c r="C1845">
        <v>2006</v>
      </c>
      <c r="D1845">
        <v>3</v>
      </c>
      <c r="E1845">
        <v>3.2</v>
      </c>
      <c r="F1845" t="str">
        <f t="shared" si="28"/>
        <v>biomass</v>
      </c>
    </row>
    <row r="1846" spans="1:6" x14ac:dyDescent="0.25">
      <c r="A1846" t="s">
        <v>151</v>
      </c>
      <c r="B1846" t="s">
        <v>90</v>
      </c>
      <c r="C1846">
        <v>2008</v>
      </c>
      <c r="D1846">
        <v>2</v>
      </c>
      <c r="E1846">
        <v>2</v>
      </c>
      <c r="F1846" t="str">
        <f t="shared" si="28"/>
        <v>biomass</v>
      </c>
    </row>
    <row r="1847" spans="1:6" x14ac:dyDescent="0.25">
      <c r="A1847" t="s">
        <v>151</v>
      </c>
      <c r="B1847" t="s">
        <v>90</v>
      </c>
      <c r="C1847">
        <v>2009</v>
      </c>
      <c r="D1847">
        <v>2.7</v>
      </c>
      <c r="E1847">
        <v>3</v>
      </c>
      <c r="F1847" t="str">
        <f t="shared" si="28"/>
        <v>biomass</v>
      </c>
    </row>
    <row r="1848" spans="1:6" x14ac:dyDescent="0.25">
      <c r="A1848" t="s">
        <v>151</v>
      </c>
      <c r="B1848" t="s">
        <v>90</v>
      </c>
      <c r="C1848">
        <v>2011</v>
      </c>
      <c r="D1848">
        <v>1.5</v>
      </c>
      <c r="E1848">
        <v>1.6</v>
      </c>
      <c r="F1848" t="str">
        <f t="shared" si="28"/>
        <v>biomass</v>
      </c>
    </row>
    <row r="1849" spans="1:6" x14ac:dyDescent="0.25">
      <c r="A1849" t="s">
        <v>151</v>
      </c>
      <c r="B1849" t="s">
        <v>90</v>
      </c>
      <c r="C1849">
        <v>2013</v>
      </c>
      <c r="D1849">
        <v>1</v>
      </c>
      <c r="E1849">
        <v>1</v>
      </c>
      <c r="F1849" t="str">
        <f t="shared" si="28"/>
        <v>biomass</v>
      </c>
    </row>
    <row r="1850" spans="1:6" x14ac:dyDescent="0.25">
      <c r="A1850" t="s">
        <v>151</v>
      </c>
      <c r="B1850" t="s">
        <v>90</v>
      </c>
      <c r="C1850">
        <v>2014</v>
      </c>
      <c r="D1850">
        <v>3.8</v>
      </c>
      <c r="E1850">
        <v>4</v>
      </c>
      <c r="F1850" t="str">
        <f t="shared" si="28"/>
        <v>biomass</v>
      </c>
    </row>
    <row r="1851" spans="1:6" x14ac:dyDescent="0.25">
      <c r="A1851" t="s">
        <v>151</v>
      </c>
      <c r="B1851" t="s">
        <v>81</v>
      </c>
      <c r="C1851">
        <v>2010</v>
      </c>
      <c r="D1851">
        <v>899.7</v>
      </c>
      <c r="E1851">
        <v>999</v>
      </c>
      <c r="F1851" t="str">
        <f t="shared" si="28"/>
        <v>hard coal</v>
      </c>
    </row>
    <row r="1852" spans="1:6" x14ac:dyDescent="0.25">
      <c r="A1852" t="s">
        <v>151</v>
      </c>
      <c r="B1852" t="s">
        <v>81</v>
      </c>
      <c r="C1852">
        <v>2011</v>
      </c>
      <c r="D1852">
        <v>275</v>
      </c>
      <c r="E1852">
        <v>300</v>
      </c>
      <c r="F1852" t="str">
        <f t="shared" si="28"/>
        <v>hard coal</v>
      </c>
    </row>
    <row r="1853" spans="1:6" x14ac:dyDescent="0.25">
      <c r="A1853" t="s">
        <v>151</v>
      </c>
      <c r="B1853" t="s">
        <v>84</v>
      </c>
      <c r="C1853">
        <v>1997</v>
      </c>
      <c r="D1853">
        <v>306.60000000000002</v>
      </c>
      <c r="E1853">
        <v>350</v>
      </c>
      <c r="F1853" t="str">
        <f t="shared" si="28"/>
        <v>natural gas combined cycle</v>
      </c>
    </row>
    <row r="1854" spans="1:6" x14ac:dyDescent="0.25">
      <c r="A1854" t="s">
        <v>151</v>
      </c>
      <c r="B1854" t="s">
        <v>84</v>
      </c>
      <c r="C1854">
        <v>1999</v>
      </c>
      <c r="D1854">
        <v>250</v>
      </c>
      <c r="E1854">
        <v>265.10000000000002</v>
      </c>
      <c r="F1854" t="str">
        <f t="shared" si="28"/>
        <v>natural gas combined cycle</v>
      </c>
    </row>
    <row r="1855" spans="1:6" x14ac:dyDescent="0.25">
      <c r="A1855" t="s">
        <v>151</v>
      </c>
      <c r="B1855" t="s">
        <v>84</v>
      </c>
      <c r="C1855">
        <v>2000</v>
      </c>
      <c r="D1855">
        <v>128.4</v>
      </c>
      <c r="E1855">
        <v>161</v>
      </c>
      <c r="F1855" t="str">
        <f t="shared" si="28"/>
        <v>natural gas combined cycle</v>
      </c>
    </row>
    <row r="1856" spans="1:6" x14ac:dyDescent="0.25">
      <c r="A1856" t="s">
        <v>151</v>
      </c>
      <c r="B1856" t="s">
        <v>84</v>
      </c>
      <c r="C1856">
        <v>2001</v>
      </c>
      <c r="D1856">
        <v>1001.7</v>
      </c>
      <c r="E1856">
        <v>1026</v>
      </c>
      <c r="F1856" t="str">
        <f t="shared" si="28"/>
        <v>natural gas combined cycle</v>
      </c>
    </row>
    <row r="1857" spans="1:6" x14ac:dyDescent="0.25">
      <c r="A1857" t="s">
        <v>151</v>
      </c>
      <c r="B1857" t="s">
        <v>84</v>
      </c>
      <c r="C1857">
        <v>2002</v>
      </c>
      <c r="D1857">
        <v>257.10000000000002</v>
      </c>
      <c r="E1857">
        <v>270</v>
      </c>
      <c r="F1857" t="str">
        <f t="shared" si="28"/>
        <v>natural gas combined cycle</v>
      </c>
    </row>
    <row r="1858" spans="1:6" x14ac:dyDescent="0.25">
      <c r="A1858" t="s">
        <v>151</v>
      </c>
      <c r="B1858" t="s">
        <v>93</v>
      </c>
      <c r="C1858">
        <v>1990</v>
      </c>
      <c r="D1858">
        <v>6.3</v>
      </c>
      <c r="E1858">
        <v>6.3</v>
      </c>
      <c r="F1858" t="str">
        <f t="shared" ref="F1858:F1921" si="29">LOWER($B1858)</f>
        <v>natural gas peaker</v>
      </c>
    </row>
    <row r="1859" spans="1:6" x14ac:dyDescent="0.25">
      <c r="A1859" t="s">
        <v>151</v>
      </c>
      <c r="B1859" t="s">
        <v>93</v>
      </c>
      <c r="C1859">
        <v>1992</v>
      </c>
      <c r="D1859">
        <v>80</v>
      </c>
      <c r="E1859">
        <v>101.5</v>
      </c>
      <c r="F1859" t="str">
        <f t="shared" si="29"/>
        <v>natural gas peaker</v>
      </c>
    </row>
    <row r="1860" spans="1:6" x14ac:dyDescent="0.25">
      <c r="A1860" t="s">
        <v>151</v>
      </c>
      <c r="B1860" t="s">
        <v>93</v>
      </c>
      <c r="C1860">
        <v>1994</v>
      </c>
      <c r="D1860">
        <v>6.3</v>
      </c>
      <c r="E1860">
        <v>6.3</v>
      </c>
      <c r="F1860" t="str">
        <f t="shared" si="29"/>
        <v>natural gas peaker</v>
      </c>
    </row>
    <row r="1861" spans="1:6" x14ac:dyDescent="0.25">
      <c r="A1861" t="s">
        <v>151</v>
      </c>
      <c r="B1861" t="s">
        <v>93</v>
      </c>
      <c r="C1861">
        <v>1995</v>
      </c>
      <c r="D1861">
        <v>89</v>
      </c>
      <c r="E1861">
        <v>123</v>
      </c>
      <c r="F1861" t="str">
        <f t="shared" si="29"/>
        <v>natural gas peaker</v>
      </c>
    </row>
    <row r="1862" spans="1:6" x14ac:dyDescent="0.25">
      <c r="A1862" t="s">
        <v>151</v>
      </c>
      <c r="B1862" t="s">
        <v>93</v>
      </c>
      <c r="C1862">
        <v>1996</v>
      </c>
      <c r="D1862">
        <v>37.5</v>
      </c>
      <c r="E1862">
        <v>40</v>
      </c>
      <c r="F1862" t="str">
        <f t="shared" si="29"/>
        <v>natural gas peaker</v>
      </c>
    </row>
    <row r="1863" spans="1:6" x14ac:dyDescent="0.25">
      <c r="A1863" t="s">
        <v>151</v>
      </c>
      <c r="B1863" t="s">
        <v>93</v>
      </c>
      <c r="C1863">
        <v>1999</v>
      </c>
      <c r="D1863">
        <v>276.2</v>
      </c>
      <c r="E1863">
        <v>438</v>
      </c>
      <c r="F1863" t="str">
        <f t="shared" si="29"/>
        <v>natural gas peaker</v>
      </c>
    </row>
    <row r="1864" spans="1:6" x14ac:dyDescent="0.25">
      <c r="A1864" t="s">
        <v>151</v>
      </c>
      <c r="B1864" t="s">
        <v>93</v>
      </c>
      <c r="C1864">
        <v>2000</v>
      </c>
      <c r="D1864">
        <v>244.4</v>
      </c>
      <c r="E1864">
        <v>267.8</v>
      </c>
      <c r="F1864" t="str">
        <f t="shared" si="29"/>
        <v>natural gas peaker</v>
      </c>
    </row>
    <row r="1865" spans="1:6" x14ac:dyDescent="0.25">
      <c r="A1865" t="s">
        <v>151</v>
      </c>
      <c r="B1865" t="s">
        <v>93</v>
      </c>
      <c r="C1865">
        <v>2001</v>
      </c>
      <c r="D1865">
        <v>751.4</v>
      </c>
      <c r="E1865">
        <v>990</v>
      </c>
      <c r="F1865" t="str">
        <f t="shared" si="29"/>
        <v>natural gas peaker</v>
      </c>
    </row>
    <row r="1866" spans="1:6" x14ac:dyDescent="0.25">
      <c r="A1866" t="s">
        <v>151</v>
      </c>
      <c r="B1866" t="s">
        <v>93</v>
      </c>
      <c r="C1866">
        <v>2002</v>
      </c>
      <c r="D1866">
        <v>570.89</v>
      </c>
      <c r="E1866">
        <v>733.8</v>
      </c>
      <c r="F1866" t="str">
        <f t="shared" si="29"/>
        <v>natural gas peaker</v>
      </c>
    </row>
    <row r="1867" spans="1:6" x14ac:dyDescent="0.25">
      <c r="A1867" t="s">
        <v>151</v>
      </c>
      <c r="B1867" t="s">
        <v>93</v>
      </c>
      <c r="C1867">
        <v>2003</v>
      </c>
      <c r="D1867">
        <v>99.9</v>
      </c>
      <c r="E1867">
        <v>131</v>
      </c>
      <c r="F1867" t="str">
        <f t="shared" si="29"/>
        <v>natural gas peaker</v>
      </c>
    </row>
    <row r="1868" spans="1:6" x14ac:dyDescent="0.25">
      <c r="A1868" t="s">
        <v>151</v>
      </c>
      <c r="B1868" t="s">
        <v>93</v>
      </c>
      <c r="C1868">
        <v>2005</v>
      </c>
      <c r="D1868">
        <v>321.2</v>
      </c>
      <c r="E1868">
        <v>351</v>
      </c>
      <c r="F1868" t="str">
        <f t="shared" si="29"/>
        <v>natural gas peaker</v>
      </c>
    </row>
    <row r="1869" spans="1:6" x14ac:dyDescent="0.25">
      <c r="A1869" t="s">
        <v>151</v>
      </c>
      <c r="B1869" t="s">
        <v>93</v>
      </c>
      <c r="C1869">
        <v>2007</v>
      </c>
      <c r="D1869">
        <v>11.3</v>
      </c>
      <c r="E1869">
        <v>13.3</v>
      </c>
      <c r="F1869" t="str">
        <f t="shared" si="29"/>
        <v>natural gas peaker</v>
      </c>
    </row>
    <row r="1870" spans="1:6" x14ac:dyDescent="0.25">
      <c r="A1870" t="s">
        <v>151</v>
      </c>
      <c r="B1870" t="s">
        <v>93</v>
      </c>
      <c r="C1870">
        <v>2015</v>
      </c>
      <c r="D1870">
        <v>24</v>
      </c>
      <c r="E1870">
        <v>27.6</v>
      </c>
      <c r="F1870" t="str">
        <f t="shared" si="29"/>
        <v>natural gas peaker</v>
      </c>
    </row>
    <row r="1871" spans="1:6" x14ac:dyDescent="0.25">
      <c r="A1871" t="s">
        <v>151</v>
      </c>
      <c r="B1871" t="s">
        <v>83</v>
      </c>
      <c r="C1871">
        <v>1991</v>
      </c>
      <c r="D1871">
        <v>4.8</v>
      </c>
      <c r="E1871">
        <v>5</v>
      </c>
      <c r="F1871" t="str">
        <f t="shared" si="29"/>
        <v>natural gas steam turbine</v>
      </c>
    </row>
    <row r="1872" spans="1:6" x14ac:dyDescent="0.25">
      <c r="A1872" t="s">
        <v>151</v>
      </c>
      <c r="B1872" t="s">
        <v>83</v>
      </c>
      <c r="C1872">
        <v>1999</v>
      </c>
      <c r="D1872">
        <v>3</v>
      </c>
      <c r="E1872">
        <v>3</v>
      </c>
      <c r="F1872" t="str">
        <f t="shared" si="29"/>
        <v>natural gas steam turbine</v>
      </c>
    </row>
    <row r="1873" spans="1:6" x14ac:dyDescent="0.25">
      <c r="A1873" t="s">
        <v>151</v>
      </c>
      <c r="B1873" t="s">
        <v>83</v>
      </c>
      <c r="C1873">
        <v>2017</v>
      </c>
      <c r="D1873">
        <v>0.3</v>
      </c>
      <c r="E1873">
        <v>0.3</v>
      </c>
      <c r="F1873" t="str">
        <f t="shared" si="29"/>
        <v>natural gas steam turbine</v>
      </c>
    </row>
    <row r="1874" spans="1:6" x14ac:dyDescent="0.25">
      <c r="A1874" t="s">
        <v>151</v>
      </c>
      <c r="B1874" t="s">
        <v>87</v>
      </c>
      <c r="C1874">
        <v>2007</v>
      </c>
      <c r="D1874">
        <v>56.7</v>
      </c>
      <c r="E1874">
        <v>56.7</v>
      </c>
      <c r="F1874" t="str">
        <f t="shared" si="29"/>
        <v>onshore wind</v>
      </c>
    </row>
    <row r="1875" spans="1:6" x14ac:dyDescent="0.25">
      <c r="A1875" t="s">
        <v>151</v>
      </c>
      <c r="B1875" t="s">
        <v>87</v>
      </c>
      <c r="C1875">
        <v>2008</v>
      </c>
      <c r="D1875">
        <v>105.8</v>
      </c>
      <c r="E1875">
        <v>105.8</v>
      </c>
      <c r="F1875" t="str">
        <f t="shared" si="29"/>
        <v>onshore wind</v>
      </c>
    </row>
    <row r="1876" spans="1:6" x14ac:dyDescent="0.25">
      <c r="A1876" t="s">
        <v>151</v>
      </c>
      <c r="B1876" t="s">
        <v>87</v>
      </c>
      <c r="C1876">
        <v>2009</v>
      </c>
      <c r="D1876">
        <v>146</v>
      </c>
      <c r="E1876">
        <v>146</v>
      </c>
      <c r="F1876" t="str">
        <f t="shared" si="29"/>
        <v>onshore wind</v>
      </c>
    </row>
    <row r="1877" spans="1:6" x14ac:dyDescent="0.25">
      <c r="A1877" t="s">
        <v>151</v>
      </c>
      <c r="B1877" t="s">
        <v>87</v>
      </c>
      <c r="C1877">
        <v>2010</v>
      </c>
      <c r="D1877">
        <v>168</v>
      </c>
      <c r="E1877">
        <v>168</v>
      </c>
      <c r="F1877" t="str">
        <f t="shared" si="29"/>
        <v>onshore wind</v>
      </c>
    </row>
    <row r="1878" spans="1:6" x14ac:dyDescent="0.25">
      <c r="A1878" t="s">
        <v>151</v>
      </c>
      <c r="B1878" t="s">
        <v>87</v>
      </c>
      <c r="C1878">
        <v>2016</v>
      </c>
      <c r="D1878">
        <v>195.8</v>
      </c>
      <c r="E1878">
        <v>200.9</v>
      </c>
      <c r="F1878" t="str">
        <f t="shared" si="29"/>
        <v>onshore wind</v>
      </c>
    </row>
    <row r="1879" spans="1:6" x14ac:dyDescent="0.25">
      <c r="A1879" t="s">
        <v>151</v>
      </c>
      <c r="B1879" t="s">
        <v>87</v>
      </c>
      <c r="C1879">
        <v>2017</v>
      </c>
      <c r="D1879">
        <v>300</v>
      </c>
      <c r="E1879">
        <v>300</v>
      </c>
      <c r="F1879" t="str">
        <f t="shared" si="29"/>
        <v>onshore wind</v>
      </c>
    </row>
    <row r="1880" spans="1:6" x14ac:dyDescent="0.25">
      <c r="A1880" t="s">
        <v>151</v>
      </c>
      <c r="B1880" t="s">
        <v>87</v>
      </c>
      <c r="C1880">
        <v>2020</v>
      </c>
      <c r="D1880">
        <v>999.5</v>
      </c>
      <c r="E1880">
        <v>1027.9000000000001</v>
      </c>
      <c r="F1880" t="str">
        <f t="shared" si="29"/>
        <v>onshore wind</v>
      </c>
    </row>
    <row r="1881" spans="1:6" x14ac:dyDescent="0.25">
      <c r="A1881" t="s">
        <v>151</v>
      </c>
      <c r="B1881" t="s">
        <v>87</v>
      </c>
      <c r="C1881">
        <v>2021</v>
      </c>
      <c r="D1881">
        <v>421.1</v>
      </c>
      <c r="E1881">
        <v>448.4</v>
      </c>
      <c r="F1881" t="str">
        <f t="shared" si="29"/>
        <v>onshore wind</v>
      </c>
    </row>
    <row r="1882" spans="1:6" x14ac:dyDescent="0.25">
      <c r="A1882" t="s">
        <v>151</v>
      </c>
      <c r="B1882" t="s">
        <v>92</v>
      </c>
      <c r="C1882">
        <v>1990</v>
      </c>
      <c r="D1882">
        <v>23.9</v>
      </c>
      <c r="E1882">
        <v>21.9</v>
      </c>
      <c r="F1882" t="str">
        <f t="shared" si="29"/>
        <v>petroleum</v>
      </c>
    </row>
    <row r="1883" spans="1:6" x14ac:dyDescent="0.25">
      <c r="A1883" t="s">
        <v>151</v>
      </c>
      <c r="B1883" t="s">
        <v>92</v>
      </c>
      <c r="C1883">
        <v>1992</v>
      </c>
      <c r="D1883">
        <v>10.8</v>
      </c>
      <c r="E1883">
        <v>10.8</v>
      </c>
      <c r="F1883" t="str">
        <f t="shared" si="29"/>
        <v>petroleum</v>
      </c>
    </row>
    <row r="1884" spans="1:6" x14ac:dyDescent="0.25">
      <c r="A1884" t="s">
        <v>151</v>
      </c>
      <c r="B1884" t="s">
        <v>92</v>
      </c>
      <c r="C1884">
        <v>1993</v>
      </c>
      <c r="D1884">
        <v>2</v>
      </c>
      <c r="E1884">
        <v>2.2000000000000002</v>
      </c>
      <c r="F1884" t="str">
        <f t="shared" si="29"/>
        <v>petroleum</v>
      </c>
    </row>
    <row r="1885" spans="1:6" x14ac:dyDescent="0.25">
      <c r="A1885" t="s">
        <v>151</v>
      </c>
      <c r="B1885" t="s">
        <v>92</v>
      </c>
      <c r="C1885">
        <v>1994</v>
      </c>
      <c r="D1885">
        <v>2.5</v>
      </c>
      <c r="E1885">
        <v>2.5</v>
      </c>
      <c r="F1885" t="str">
        <f t="shared" si="29"/>
        <v>petroleum</v>
      </c>
    </row>
    <row r="1886" spans="1:6" x14ac:dyDescent="0.25">
      <c r="A1886" t="s">
        <v>151</v>
      </c>
      <c r="B1886" t="s">
        <v>92</v>
      </c>
      <c r="C1886">
        <v>1995</v>
      </c>
      <c r="D1886">
        <v>0.4</v>
      </c>
      <c r="E1886">
        <v>0.4</v>
      </c>
      <c r="F1886" t="str">
        <f t="shared" si="29"/>
        <v>petroleum</v>
      </c>
    </row>
    <row r="1887" spans="1:6" x14ac:dyDescent="0.25">
      <c r="A1887" t="s">
        <v>151</v>
      </c>
      <c r="B1887" t="s">
        <v>92</v>
      </c>
      <c r="C1887">
        <v>1996</v>
      </c>
      <c r="D1887">
        <v>5.4</v>
      </c>
      <c r="E1887">
        <v>5.4</v>
      </c>
      <c r="F1887" t="str">
        <f t="shared" si="29"/>
        <v>petroleum</v>
      </c>
    </row>
    <row r="1888" spans="1:6" x14ac:dyDescent="0.25">
      <c r="A1888" t="s">
        <v>151</v>
      </c>
      <c r="B1888" t="s">
        <v>92</v>
      </c>
      <c r="C1888">
        <v>1997</v>
      </c>
      <c r="D1888">
        <v>1</v>
      </c>
      <c r="E1888">
        <v>1</v>
      </c>
      <c r="F1888" t="str">
        <f t="shared" si="29"/>
        <v>petroleum</v>
      </c>
    </row>
    <row r="1889" spans="1:6" x14ac:dyDescent="0.25">
      <c r="A1889" t="s">
        <v>151</v>
      </c>
      <c r="B1889" t="s">
        <v>92</v>
      </c>
      <c r="C1889">
        <v>1998</v>
      </c>
      <c r="D1889">
        <v>1.8</v>
      </c>
      <c r="E1889">
        <v>2</v>
      </c>
      <c r="F1889" t="str">
        <f t="shared" si="29"/>
        <v>petroleum</v>
      </c>
    </row>
    <row r="1890" spans="1:6" x14ac:dyDescent="0.25">
      <c r="A1890" t="s">
        <v>151</v>
      </c>
      <c r="B1890" t="s">
        <v>92</v>
      </c>
      <c r="C1890">
        <v>1999</v>
      </c>
      <c r="D1890">
        <v>5.0999999999999996</v>
      </c>
      <c r="E1890">
        <v>5.0999999999999996</v>
      </c>
      <c r="F1890" t="str">
        <f t="shared" si="29"/>
        <v>petroleum</v>
      </c>
    </row>
    <row r="1891" spans="1:6" x14ac:dyDescent="0.25">
      <c r="A1891" t="s">
        <v>151</v>
      </c>
      <c r="B1891" t="s">
        <v>92</v>
      </c>
      <c r="C1891">
        <v>2000</v>
      </c>
      <c r="D1891">
        <v>14.4</v>
      </c>
      <c r="E1891">
        <v>16</v>
      </c>
      <c r="F1891" t="str">
        <f t="shared" si="29"/>
        <v>petroleum</v>
      </c>
    </row>
    <row r="1892" spans="1:6" x14ac:dyDescent="0.25">
      <c r="A1892" t="s">
        <v>151</v>
      </c>
      <c r="B1892" t="s">
        <v>92</v>
      </c>
      <c r="C1892">
        <v>2001</v>
      </c>
      <c r="D1892">
        <v>5</v>
      </c>
      <c r="E1892">
        <v>5.6</v>
      </c>
      <c r="F1892" t="str">
        <f t="shared" si="29"/>
        <v>petroleum</v>
      </c>
    </row>
    <row r="1893" spans="1:6" x14ac:dyDescent="0.25">
      <c r="A1893" t="s">
        <v>151</v>
      </c>
      <c r="B1893" t="s">
        <v>92</v>
      </c>
      <c r="C1893">
        <v>2002</v>
      </c>
      <c r="D1893">
        <v>24.3</v>
      </c>
      <c r="E1893">
        <v>25.2</v>
      </c>
      <c r="F1893" t="str">
        <f t="shared" si="29"/>
        <v>petroleum</v>
      </c>
    </row>
    <row r="1894" spans="1:6" x14ac:dyDescent="0.25">
      <c r="A1894" t="s">
        <v>151</v>
      </c>
      <c r="B1894" t="s">
        <v>92</v>
      </c>
      <c r="C1894">
        <v>2003</v>
      </c>
      <c r="D1894">
        <v>29.6</v>
      </c>
      <c r="E1894">
        <v>31.2</v>
      </c>
      <c r="F1894" t="str">
        <f t="shared" si="29"/>
        <v>petroleum</v>
      </c>
    </row>
    <row r="1895" spans="1:6" x14ac:dyDescent="0.25">
      <c r="A1895" t="s">
        <v>151</v>
      </c>
      <c r="B1895" t="s">
        <v>92</v>
      </c>
      <c r="C1895">
        <v>2004</v>
      </c>
      <c r="D1895">
        <v>25.3</v>
      </c>
      <c r="E1895">
        <v>26.3</v>
      </c>
      <c r="F1895" t="str">
        <f t="shared" si="29"/>
        <v>petroleum</v>
      </c>
    </row>
    <row r="1896" spans="1:6" x14ac:dyDescent="0.25">
      <c r="A1896" t="s">
        <v>151</v>
      </c>
      <c r="B1896" t="s">
        <v>92</v>
      </c>
      <c r="C1896">
        <v>2005</v>
      </c>
      <c r="D1896">
        <v>2.8</v>
      </c>
      <c r="E1896">
        <v>2.8</v>
      </c>
      <c r="F1896" t="str">
        <f t="shared" si="29"/>
        <v>petroleum</v>
      </c>
    </row>
    <row r="1897" spans="1:6" x14ac:dyDescent="0.25">
      <c r="A1897" t="s">
        <v>151</v>
      </c>
      <c r="B1897" t="s">
        <v>92</v>
      </c>
      <c r="C1897">
        <v>2006</v>
      </c>
      <c r="D1897">
        <v>6</v>
      </c>
      <c r="E1897">
        <v>6</v>
      </c>
      <c r="F1897" t="str">
        <f t="shared" si="29"/>
        <v>petroleum</v>
      </c>
    </row>
    <row r="1898" spans="1:6" x14ac:dyDescent="0.25">
      <c r="A1898" t="s">
        <v>151</v>
      </c>
      <c r="B1898" t="s">
        <v>92</v>
      </c>
      <c r="C1898">
        <v>2008</v>
      </c>
      <c r="D1898">
        <v>6.8</v>
      </c>
      <c r="E1898">
        <v>6.8</v>
      </c>
      <c r="F1898" t="str">
        <f t="shared" si="29"/>
        <v>petroleum</v>
      </c>
    </row>
    <row r="1899" spans="1:6" x14ac:dyDescent="0.25">
      <c r="A1899" t="s">
        <v>151</v>
      </c>
      <c r="B1899" t="s">
        <v>92</v>
      </c>
      <c r="C1899">
        <v>2011</v>
      </c>
      <c r="D1899">
        <v>5.6</v>
      </c>
      <c r="E1899">
        <v>5.6</v>
      </c>
      <c r="F1899" t="str">
        <f t="shared" si="29"/>
        <v>petroleum</v>
      </c>
    </row>
    <row r="1900" spans="1:6" x14ac:dyDescent="0.25">
      <c r="A1900" t="s">
        <v>151</v>
      </c>
      <c r="B1900" t="s">
        <v>92</v>
      </c>
      <c r="C1900">
        <v>2013</v>
      </c>
      <c r="D1900">
        <v>3.4</v>
      </c>
      <c r="E1900">
        <v>3.6</v>
      </c>
      <c r="F1900" t="str">
        <f t="shared" si="29"/>
        <v>petroleum</v>
      </c>
    </row>
    <row r="1901" spans="1:6" x14ac:dyDescent="0.25">
      <c r="A1901" t="s">
        <v>151</v>
      </c>
      <c r="B1901" t="s">
        <v>249</v>
      </c>
      <c r="C1901">
        <v>2014</v>
      </c>
      <c r="D1901">
        <v>12.2</v>
      </c>
      <c r="E1901">
        <v>12.2</v>
      </c>
      <c r="F1901" t="str">
        <f t="shared" si="29"/>
        <v>solar pv</v>
      </c>
    </row>
    <row r="1902" spans="1:6" x14ac:dyDescent="0.25">
      <c r="A1902" t="s">
        <v>151</v>
      </c>
      <c r="B1902" t="s">
        <v>249</v>
      </c>
      <c r="C1902">
        <v>2015</v>
      </c>
      <c r="D1902">
        <v>6.6</v>
      </c>
      <c r="E1902">
        <v>6.6</v>
      </c>
      <c r="F1902" t="str">
        <f t="shared" si="29"/>
        <v>solar pv</v>
      </c>
    </row>
    <row r="1903" spans="1:6" x14ac:dyDescent="0.25">
      <c r="A1903" t="s">
        <v>151</v>
      </c>
      <c r="B1903" t="s">
        <v>249</v>
      </c>
      <c r="C1903">
        <v>2016</v>
      </c>
      <c r="D1903">
        <v>11.4</v>
      </c>
      <c r="E1903">
        <v>11.4</v>
      </c>
      <c r="F1903" t="str">
        <f t="shared" si="29"/>
        <v>solar pv</v>
      </c>
    </row>
    <row r="1904" spans="1:6" x14ac:dyDescent="0.25">
      <c r="A1904" t="s">
        <v>151</v>
      </c>
      <c r="B1904" t="s">
        <v>249</v>
      </c>
      <c r="C1904">
        <v>2017</v>
      </c>
      <c r="D1904">
        <v>18.399999999999999</v>
      </c>
      <c r="E1904">
        <v>18.399999999999999</v>
      </c>
      <c r="F1904" t="str">
        <f t="shared" si="29"/>
        <v>solar pv</v>
      </c>
    </row>
    <row r="1905" spans="1:6" x14ac:dyDescent="0.25">
      <c r="A1905" t="s">
        <v>151</v>
      </c>
      <c r="B1905" t="s">
        <v>249</v>
      </c>
      <c r="C1905">
        <v>2018</v>
      </c>
      <c r="D1905">
        <v>13.5</v>
      </c>
      <c r="E1905">
        <v>13.5</v>
      </c>
      <c r="F1905" t="str">
        <f t="shared" si="29"/>
        <v>solar pv</v>
      </c>
    </row>
    <row r="1906" spans="1:6" x14ac:dyDescent="0.25">
      <c r="A1906" t="s">
        <v>151</v>
      </c>
      <c r="B1906" t="s">
        <v>249</v>
      </c>
      <c r="C1906">
        <v>2019</v>
      </c>
      <c r="D1906">
        <v>1.57</v>
      </c>
      <c r="E1906">
        <v>1.6</v>
      </c>
      <c r="F1906" t="str">
        <f t="shared" si="29"/>
        <v>solar pv</v>
      </c>
    </row>
    <row r="1907" spans="1:6" x14ac:dyDescent="0.25">
      <c r="A1907" t="s">
        <v>151</v>
      </c>
      <c r="B1907" t="s">
        <v>249</v>
      </c>
      <c r="C1907">
        <v>2021</v>
      </c>
      <c r="D1907">
        <v>13.4</v>
      </c>
      <c r="E1907">
        <v>13.5</v>
      </c>
      <c r="F1907" t="str">
        <f t="shared" si="29"/>
        <v>solar pv</v>
      </c>
    </row>
    <row r="1908" spans="1:6" x14ac:dyDescent="0.25">
      <c r="A1908" t="s">
        <v>151</v>
      </c>
      <c r="B1908" t="s">
        <v>249</v>
      </c>
      <c r="C1908">
        <v>2022</v>
      </c>
      <c r="D1908">
        <v>13.7</v>
      </c>
      <c r="E1908">
        <v>13.7</v>
      </c>
      <c r="F1908" t="str">
        <f t="shared" si="29"/>
        <v>solar pv</v>
      </c>
    </row>
    <row r="1909" spans="1:6" x14ac:dyDescent="0.25">
      <c r="A1909" t="s">
        <v>151</v>
      </c>
      <c r="B1909" t="s">
        <v>249</v>
      </c>
      <c r="C1909">
        <v>2023</v>
      </c>
      <c r="D1909">
        <v>10</v>
      </c>
      <c r="E1909">
        <v>10</v>
      </c>
      <c r="F1909" t="str">
        <f t="shared" si="29"/>
        <v>solar pv</v>
      </c>
    </row>
    <row r="1910" spans="1:6" x14ac:dyDescent="0.25">
      <c r="A1910" t="s">
        <v>151</v>
      </c>
      <c r="B1910" t="s">
        <v>249</v>
      </c>
      <c r="C1910">
        <v>2024</v>
      </c>
      <c r="D1910">
        <v>369</v>
      </c>
      <c r="E1910">
        <v>369</v>
      </c>
      <c r="F1910" t="str">
        <f t="shared" si="29"/>
        <v>solar pv</v>
      </c>
    </row>
    <row r="1911" spans="1:6" x14ac:dyDescent="0.25">
      <c r="A1911" t="s">
        <v>151</v>
      </c>
      <c r="B1911" t="s">
        <v>249</v>
      </c>
      <c r="C1911">
        <v>2025</v>
      </c>
      <c r="D1911">
        <v>866.9</v>
      </c>
      <c r="E1911">
        <v>904.9</v>
      </c>
      <c r="F1911" t="str">
        <f t="shared" si="29"/>
        <v>solar pv</v>
      </c>
    </row>
    <row r="1912" spans="1:6" x14ac:dyDescent="0.25">
      <c r="A1912" t="s">
        <v>153</v>
      </c>
      <c r="B1912" t="s">
        <v>90</v>
      </c>
      <c r="C1912">
        <v>1990</v>
      </c>
      <c r="D1912">
        <v>64</v>
      </c>
      <c r="E1912">
        <v>64</v>
      </c>
      <c r="F1912" t="str">
        <f t="shared" si="29"/>
        <v>biomass</v>
      </c>
    </row>
    <row r="1913" spans="1:6" x14ac:dyDescent="0.25">
      <c r="A1913" t="s">
        <v>153</v>
      </c>
      <c r="B1913" t="s">
        <v>90</v>
      </c>
      <c r="C1913">
        <v>2012</v>
      </c>
      <c r="D1913">
        <v>1.6</v>
      </c>
      <c r="E1913">
        <v>1.6</v>
      </c>
      <c r="F1913" t="str">
        <f t="shared" si="29"/>
        <v>biomass</v>
      </c>
    </row>
    <row r="1914" spans="1:6" x14ac:dyDescent="0.25">
      <c r="A1914" t="s">
        <v>153</v>
      </c>
      <c r="B1914" t="s">
        <v>94</v>
      </c>
      <c r="C1914">
        <v>2001</v>
      </c>
      <c r="D1914">
        <v>440</v>
      </c>
      <c r="E1914">
        <v>513.70000000000005</v>
      </c>
      <c r="F1914" t="str">
        <f t="shared" si="29"/>
        <v>lignite</v>
      </c>
    </row>
    <row r="1915" spans="1:6" x14ac:dyDescent="0.25">
      <c r="A1915" t="s">
        <v>153</v>
      </c>
      <c r="B1915" t="s">
        <v>84</v>
      </c>
      <c r="C1915">
        <v>1996</v>
      </c>
      <c r="D1915">
        <v>6.8</v>
      </c>
      <c r="E1915">
        <v>6</v>
      </c>
      <c r="F1915" t="str">
        <f t="shared" si="29"/>
        <v>natural gas combined cycle</v>
      </c>
    </row>
    <row r="1916" spans="1:6" x14ac:dyDescent="0.25">
      <c r="A1916" t="s">
        <v>153</v>
      </c>
      <c r="B1916" t="s">
        <v>84</v>
      </c>
      <c r="C1916">
        <v>2000</v>
      </c>
      <c r="D1916">
        <v>858</v>
      </c>
      <c r="E1916">
        <v>891</v>
      </c>
      <c r="F1916" t="str">
        <f t="shared" si="29"/>
        <v>natural gas combined cycle</v>
      </c>
    </row>
    <row r="1917" spans="1:6" x14ac:dyDescent="0.25">
      <c r="A1917" t="s">
        <v>153</v>
      </c>
      <c r="B1917" t="s">
        <v>84</v>
      </c>
      <c r="C1917">
        <v>2001</v>
      </c>
      <c r="D1917">
        <v>3527.2</v>
      </c>
      <c r="E1917">
        <v>2235</v>
      </c>
      <c r="F1917" t="str">
        <f t="shared" si="29"/>
        <v>natural gas combined cycle</v>
      </c>
    </row>
    <row r="1918" spans="1:6" x14ac:dyDescent="0.25">
      <c r="A1918" t="s">
        <v>153</v>
      </c>
      <c r="B1918" t="s">
        <v>84</v>
      </c>
      <c r="C1918">
        <v>2003</v>
      </c>
      <c r="D1918">
        <v>3244</v>
      </c>
      <c r="E1918">
        <v>3607.4</v>
      </c>
      <c r="F1918" t="str">
        <f t="shared" si="29"/>
        <v>natural gas combined cycle</v>
      </c>
    </row>
    <row r="1919" spans="1:6" x14ac:dyDescent="0.25">
      <c r="A1919" t="s">
        <v>153</v>
      </c>
      <c r="B1919" t="s">
        <v>84</v>
      </c>
      <c r="C1919">
        <v>2006</v>
      </c>
      <c r="D1919">
        <v>710</v>
      </c>
      <c r="E1919">
        <v>850.5</v>
      </c>
      <c r="F1919" t="str">
        <f t="shared" si="29"/>
        <v>natural gas combined cycle</v>
      </c>
    </row>
    <row r="1920" spans="1:6" x14ac:dyDescent="0.25">
      <c r="A1920" t="s">
        <v>153</v>
      </c>
      <c r="B1920" t="s">
        <v>84</v>
      </c>
      <c r="C1920">
        <v>2012</v>
      </c>
      <c r="D1920">
        <v>150</v>
      </c>
      <c r="E1920">
        <v>167</v>
      </c>
      <c r="F1920" t="str">
        <f t="shared" si="29"/>
        <v>natural gas combined cycle</v>
      </c>
    </row>
    <row r="1921" spans="1:6" x14ac:dyDescent="0.25">
      <c r="A1921" t="s">
        <v>153</v>
      </c>
      <c r="B1921" t="s">
        <v>84</v>
      </c>
      <c r="C1921">
        <v>2014</v>
      </c>
      <c r="D1921">
        <v>1308.5</v>
      </c>
      <c r="E1921">
        <v>840</v>
      </c>
      <c r="F1921" t="str">
        <f t="shared" si="29"/>
        <v>natural gas combined cycle</v>
      </c>
    </row>
    <row r="1922" spans="1:6" x14ac:dyDescent="0.25">
      <c r="A1922" t="s">
        <v>153</v>
      </c>
      <c r="B1922" t="s">
        <v>84</v>
      </c>
      <c r="C1922">
        <v>2023</v>
      </c>
      <c r="D1922">
        <v>530.5</v>
      </c>
      <c r="E1922">
        <v>558</v>
      </c>
      <c r="F1922" t="str">
        <f t="shared" ref="F1922:F1985" si="30">LOWER($B1922)</f>
        <v>natural gas combined cycle</v>
      </c>
    </row>
    <row r="1923" spans="1:6" x14ac:dyDescent="0.25">
      <c r="A1923" t="s">
        <v>153</v>
      </c>
      <c r="B1923" t="s">
        <v>93</v>
      </c>
      <c r="C1923">
        <v>1991</v>
      </c>
      <c r="D1923">
        <v>4</v>
      </c>
      <c r="E1923">
        <v>4.2</v>
      </c>
      <c r="F1923" t="str">
        <f t="shared" si="30"/>
        <v>natural gas peaker</v>
      </c>
    </row>
    <row r="1924" spans="1:6" x14ac:dyDescent="0.25">
      <c r="A1924" t="s">
        <v>153</v>
      </c>
      <c r="B1924" t="s">
        <v>93</v>
      </c>
      <c r="C1924">
        <v>1994</v>
      </c>
      <c r="D1924">
        <v>70</v>
      </c>
      <c r="E1924">
        <v>101.3</v>
      </c>
      <c r="F1924" t="str">
        <f t="shared" si="30"/>
        <v>natural gas peaker</v>
      </c>
    </row>
    <row r="1925" spans="1:6" x14ac:dyDescent="0.25">
      <c r="A1925" t="s">
        <v>153</v>
      </c>
      <c r="B1925" t="s">
        <v>93</v>
      </c>
      <c r="C1925">
        <v>1995</v>
      </c>
      <c r="D1925">
        <v>4.5</v>
      </c>
      <c r="E1925">
        <v>4.8</v>
      </c>
      <c r="F1925" t="str">
        <f t="shared" si="30"/>
        <v>natural gas peaker</v>
      </c>
    </row>
    <row r="1926" spans="1:6" x14ac:dyDescent="0.25">
      <c r="A1926" t="s">
        <v>153</v>
      </c>
      <c r="B1926" t="s">
        <v>93</v>
      </c>
      <c r="C1926">
        <v>1997</v>
      </c>
      <c r="D1926">
        <v>75</v>
      </c>
      <c r="E1926">
        <v>83</v>
      </c>
      <c r="F1926" t="str">
        <f t="shared" si="30"/>
        <v>natural gas peaker</v>
      </c>
    </row>
    <row r="1927" spans="1:6" x14ac:dyDescent="0.25">
      <c r="A1927" t="s">
        <v>153</v>
      </c>
      <c r="B1927" t="s">
        <v>93</v>
      </c>
      <c r="C1927">
        <v>2002</v>
      </c>
      <c r="D1927">
        <v>601.20000000000005</v>
      </c>
      <c r="E1927">
        <v>678.4</v>
      </c>
      <c r="F1927" t="str">
        <f t="shared" si="30"/>
        <v>natural gas peaker</v>
      </c>
    </row>
    <row r="1928" spans="1:6" x14ac:dyDescent="0.25">
      <c r="A1928" t="s">
        <v>153</v>
      </c>
      <c r="B1928" t="s">
        <v>93</v>
      </c>
      <c r="C1928">
        <v>2003</v>
      </c>
      <c r="D1928">
        <v>204</v>
      </c>
      <c r="E1928">
        <v>224.5</v>
      </c>
      <c r="F1928" t="str">
        <f t="shared" si="30"/>
        <v>natural gas peaker</v>
      </c>
    </row>
    <row r="1929" spans="1:6" x14ac:dyDescent="0.25">
      <c r="A1929" t="s">
        <v>153</v>
      </c>
      <c r="B1929" t="s">
        <v>93</v>
      </c>
      <c r="C1929">
        <v>2004</v>
      </c>
      <c r="D1929">
        <v>75</v>
      </c>
      <c r="E1929">
        <v>83.5</v>
      </c>
      <c r="F1929" t="str">
        <f t="shared" si="30"/>
        <v>natural gas peaker</v>
      </c>
    </row>
    <row r="1930" spans="1:6" x14ac:dyDescent="0.25">
      <c r="A1930" t="s">
        <v>153</v>
      </c>
      <c r="B1930" t="s">
        <v>93</v>
      </c>
      <c r="C1930">
        <v>2005</v>
      </c>
      <c r="D1930">
        <v>101</v>
      </c>
      <c r="E1930">
        <v>109.5</v>
      </c>
      <c r="F1930" t="str">
        <f t="shared" si="30"/>
        <v>natural gas peaker</v>
      </c>
    </row>
    <row r="1931" spans="1:6" x14ac:dyDescent="0.25">
      <c r="A1931" t="s">
        <v>153</v>
      </c>
      <c r="B1931" t="s">
        <v>93</v>
      </c>
      <c r="C1931">
        <v>2006</v>
      </c>
      <c r="D1931">
        <v>75</v>
      </c>
      <c r="E1931">
        <v>83.5</v>
      </c>
      <c r="F1931" t="str">
        <f t="shared" si="30"/>
        <v>natural gas peaker</v>
      </c>
    </row>
    <row r="1932" spans="1:6" x14ac:dyDescent="0.25">
      <c r="A1932" t="s">
        <v>153</v>
      </c>
      <c r="B1932" t="s">
        <v>93</v>
      </c>
      <c r="C1932">
        <v>2018</v>
      </c>
      <c r="D1932">
        <v>6.2</v>
      </c>
      <c r="E1932">
        <v>7.2</v>
      </c>
      <c r="F1932" t="str">
        <f t="shared" si="30"/>
        <v>natural gas peaker</v>
      </c>
    </row>
    <row r="1933" spans="1:6" x14ac:dyDescent="0.25">
      <c r="A1933" t="s">
        <v>153</v>
      </c>
      <c r="B1933" t="s">
        <v>93</v>
      </c>
      <c r="C1933">
        <v>2020</v>
      </c>
      <c r="D1933">
        <v>49.8</v>
      </c>
      <c r="E1933">
        <v>77.5</v>
      </c>
      <c r="F1933" t="str">
        <f t="shared" si="30"/>
        <v>natural gas peaker</v>
      </c>
    </row>
    <row r="1934" spans="1:6" x14ac:dyDescent="0.25">
      <c r="A1934" t="s">
        <v>153</v>
      </c>
      <c r="B1934" t="s">
        <v>93</v>
      </c>
      <c r="C1934">
        <v>2021</v>
      </c>
      <c r="D1934">
        <v>3.2</v>
      </c>
      <c r="E1934">
        <v>3.2</v>
      </c>
      <c r="F1934" t="str">
        <f t="shared" si="30"/>
        <v>natural gas peaker</v>
      </c>
    </row>
    <row r="1935" spans="1:6" x14ac:dyDescent="0.25">
      <c r="A1935" t="s">
        <v>153</v>
      </c>
      <c r="B1935" t="s">
        <v>87</v>
      </c>
      <c r="C1935">
        <v>2024</v>
      </c>
      <c r="D1935">
        <v>184.5</v>
      </c>
      <c r="E1935">
        <v>184.5</v>
      </c>
      <c r="F1935" t="str">
        <f t="shared" si="30"/>
        <v>onshore wind</v>
      </c>
    </row>
    <row r="1936" spans="1:6" x14ac:dyDescent="0.25">
      <c r="A1936" t="s">
        <v>153</v>
      </c>
      <c r="B1936" t="s">
        <v>92</v>
      </c>
      <c r="C1936">
        <v>1998</v>
      </c>
      <c r="D1936">
        <v>9</v>
      </c>
      <c r="E1936">
        <v>9</v>
      </c>
      <c r="F1936" t="str">
        <f t="shared" si="30"/>
        <v>petroleum</v>
      </c>
    </row>
    <row r="1937" spans="1:6" x14ac:dyDescent="0.25">
      <c r="A1937" t="s">
        <v>153</v>
      </c>
      <c r="B1937" t="s">
        <v>249</v>
      </c>
      <c r="C1937">
        <v>2016</v>
      </c>
      <c r="D1937">
        <v>3.1</v>
      </c>
      <c r="E1937">
        <v>3.1</v>
      </c>
      <c r="F1937" t="str">
        <f t="shared" si="30"/>
        <v>solar pv</v>
      </c>
    </row>
    <row r="1938" spans="1:6" x14ac:dyDescent="0.25">
      <c r="A1938" t="s">
        <v>153</v>
      </c>
      <c r="B1938" t="s">
        <v>249</v>
      </c>
      <c r="C1938">
        <v>2017</v>
      </c>
      <c r="D1938">
        <v>157.5</v>
      </c>
      <c r="E1938">
        <v>157.5</v>
      </c>
      <c r="F1938" t="str">
        <f t="shared" si="30"/>
        <v>solar pv</v>
      </c>
    </row>
    <row r="1939" spans="1:6" x14ac:dyDescent="0.25">
      <c r="A1939" t="s">
        <v>153</v>
      </c>
      <c r="B1939" t="s">
        <v>249</v>
      </c>
      <c r="C1939">
        <v>2019</v>
      </c>
      <c r="D1939">
        <v>57.5</v>
      </c>
      <c r="E1939">
        <v>57.5</v>
      </c>
      <c r="F1939" t="str">
        <f t="shared" si="30"/>
        <v>solar pv</v>
      </c>
    </row>
    <row r="1940" spans="1:6" x14ac:dyDescent="0.25">
      <c r="A1940" t="s">
        <v>153</v>
      </c>
      <c r="B1940" t="s">
        <v>249</v>
      </c>
      <c r="C1940">
        <v>2021</v>
      </c>
      <c r="D1940">
        <v>1.2</v>
      </c>
      <c r="E1940">
        <v>1.2</v>
      </c>
      <c r="F1940" t="str">
        <f t="shared" si="30"/>
        <v>solar pv</v>
      </c>
    </row>
    <row r="1941" spans="1:6" x14ac:dyDescent="0.25">
      <c r="A1941" t="s">
        <v>153</v>
      </c>
      <c r="B1941" t="s">
        <v>249</v>
      </c>
      <c r="C1941">
        <v>2022</v>
      </c>
      <c r="D1941">
        <v>100</v>
      </c>
      <c r="E1941">
        <v>100</v>
      </c>
      <c r="F1941" t="str">
        <f t="shared" si="30"/>
        <v>solar pv</v>
      </c>
    </row>
    <row r="1942" spans="1:6" x14ac:dyDescent="0.25">
      <c r="A1942" t="s">
        <v>153</v>
      </c>
      <c r="B1942" t="s">
        <v>249</v>
      </c>
      <c r="C1942">
        <v>2023</v>
      </c>
      <c r="D1942">
        <v>106.3</v>
      </c>
      <c r="E1942">
        <v>106.3</v>
      </c>
      <c r="F1942" t="str">
        <f t="shared" si="30"/>
        <v>solar pv</v>
      </c>
    </row>
    <row r="1943" spans="1:6" x14ac:dyDescent="0.25">
      <c r="A1943" t="s">
        <v>153</v>
      </c>
      <c r="B1943" t="s">
        <v>249</v>
      </c>
      <c r="C1943">
        <v>2024</v>
      </c>
      <c r="D1943">
        <v>794.1</v>
      </c>
      <c r="E1943">
        <v>794.1</v>
      </c>
      <c r="F1943" t="str">
        <f t="shared" si="30"/>
        <v>solar pv</v>
      </c>
    </row>
    <row r="1944" spans="1:6" x14ac:dyDescent="0.25">
      <c r="A1944" t="s">
        <v>153</v>
      </c>
      <c r="B1944" t="s">
        <v>249</v>
      </c>
      <c r="C1944">
        <v>2025</v>
      </c>
      <c r="D1944">
        <v>304.8</v>
      </c>
      <c r="E1944">
        <v>304.8</v>
      </c>
      <c r="F1944" t="str">
        <f t="shared" si="30"/>
        <v>solar pv</v>
      </c>
    </row>
    <row r="1945" spans="1:6" x14ac:dyDescent="0.25">
      <c r="A1945" t="s">
        <v>155</v>
      </c>
      <c r="B1945" t="s">
        <v>90</v>
      </c>
      <c r="C1945">
        <v>2009</v>
      </c>
      <c r="D1945">
        <v>1.6</v>
      </c>
      <c r="E1945">
        <v>1.6</v>
      </c>
      <c r="F1945" t="str">
        <f t="shared" si="30"/>
        <v>biomass</v>
      </c>
    </row>
    <row r="1946" spans="1:6" x14ac:dyDescent="0.25">
      <c r="A1946" t="s">
        <v>155</v>
      </c>
      <c r="B1946" t="s">
        <v>90</v>
      </c>
      <c r="C1946">
        <v>2013</v>
      </c>
      <c r="D1946">
        <v>3</v>
      </c>
      <c r="E1946">
        <v>2.8</v>
      </c>
      <c r="F1946" t="str">
        <f t="shared" si="30"/>
        <v>biomass</v>
      </c>
    </row>
    <row r="1947" spans="1:6" x14ac:dyDescent="0.25">
      <c r="A1947" t="s">
        <v>155</v>
      </c>
      <c r="B1947" t="s">
        <v>90</v>
      </c>
      <c r="C1947">
        <v>2023</v>
      </c>
      <c r="D1947">
        <v>1.6</v>
      </c>
      <c r="E1947">
        <v>1.6</v>
      </c>
      <c r="F1947" t="str">
        <f t="shared" si="30"/>
        <v>biomass</v>
      </c>
    </row>
    <row r="1948" spans="1:6" x14ac:dyDescent="0.25">
      <c r="A1948" t="s">
        <v>155</v>
      </c>
      <c r="B1948" t="s">
        <v>81</v>
      </c>
      <c r="C1948">
        <v>1990</v>
      </c>
      <c r="D1948">
        <v>38</v>
      </c>
      <c r="E1948">
        <v>46.1</v>
      </c>
      <c r="F1948" t="str">
        <f t="shared" si="30"/>
        <v>hard coal</v>
      </c>
    </row>
    <row r="1949" spans="1:6" x14ac:dyDescent="0.25">
      <c r="A1949" t="s">
        <v>155</v>
      </c>
      <c r="B1949" t="s">
        <v>81</v>
      </c>
      <c r="C1949">
        <v>2006</v>
      </c>
      <c r="D1949">
        <v>107</v>
      </c>
      <c r="E1949">
        <v>115.7</v>
      </c>
      <c r="F1949" t="str">
        <f t="shared" si="30"/>
        <v>hard coal</v>
      </c>
    </row>
    <row r="1950" spans="1:6" x14ac:dyDescent="0.25">
      <c r="A1950" t="s">
        <v>155</v>
      </c>
      <c r="B1950" t="s">
        <v>81</v>
      </c>
      <c r="C1950">
        <v>2011</v>
      </c>
      <c r="D1950">
        <v>1.5</v>
      </c>
      <c r="E1950">
        <v>1.5</v>
      </c>
      <c r="F1950" t="str">
        <f t="shared" si="30"/>
        <v>hard coal</v>
      </c>
    </row>
    <row r="1951" spans="1:6" x14ac:dyDescent="0.25">
      <c r="A1951" t="s">
        <v>155</v>
      </c>
      <c r="B1951" t="s">
        <v>86</v>
      </c>
      <c r="C1951">
        <v>2004</v>
      </c>
      <c r="D1951">
        <v>7.5</v>
      </c>
      <c r="E1951">
        <v>7.5</v>
      </c>
      <c r="F1951" t="str">
        <f t="shared" si="30"/>
        <v>hydro</v>
      </c>
    </row>
    <row r="1952" spans="1:6" x14ac:dyDescent="0.25">
      <c r="A1952" t="s">
        <v>155</v>
      </c>
      <c r="B1952" t="s">
        <v>86</v>
      </c>
      <c r="C1952">
        <v>2011</v>
      </c>
      <c r="D1952">
        <v>13</v>
      </c>
      <c r="E1952">
        <v>13</v>
      </c>
      <c r="F1952" t="str">
        <f t="shared" si="30"/>
        <v>hydro</v>
      </c>
    </row>
    <row r="1953" spans="1:6" x14ac:dyDescent="0.25">
      <c r="A1953" t="s">
        <v>155</v>
      </c>
      <c r="B1953" t="s">
        <v>86</v>
      </c>
      <c r="C1953">
        <v>2013</v>
      </c>
      <c r="D1953">
        <v>66</v>
      </c>
      <c r="E1953">
        <v>61</v>
      </c>
      <c r="F1953" t="str">
        <f t="shared" si="30"/>
        <v>hydro</v>
      </c>
    </row>
    <row r="1954" spans="1:6" x14ac:dyDescent="0.25">
      <c r="A1954" t="s">
        <v>155</v>
      </c>
      <c r="B1954" t="s">
        <v>86</v>
      </c>
      <c r="C1954">
        <v>2019</v>
      </c>
      <c r="D1954">
        <v>3.5</v>
      </c>
      <c r="E1954">
        <v>3.5</v>
      </c>
      <c r="F1954" t="str">
        <f t="shared" si="30"/>
        <v>hydro</v>
      </c>
    </row>
    <row r="1955" spans="1:6" x14ac:dyDescent="0.25">
      <c r="A1955" t="s">
        <v>155</v>
      </c>
      <c r="B1955" t="s">
        <v>86</v>
      </c>
      <c r="C1955">
        <v>2021</v>
      </c>
      <c r="D1955">
        <v>11.7</v>
      </c>
      <c r="E1955">
        <v>11.7</v>
      </c>
      <c r="F1955" t="str">
        <f t="shared" si="30"/>
        <v>hydro</v>
      </c>
    </row>
    <row r="1956" spans="1:6" x14ac:dyDescent="0.25">
      <c r="A1956" t="s">
        <v>155</v>
      </c>
      <c r="B1956" t="s">
        <v>86</v>
      </c>
      <c r="C1956">
        <v>2022</v>
      </c>
      <c r="D1956">
        <v>11.7</v>
      </c>
      <c r="E1956">
        <v>11.7</v>
      </c>
      <c r="F1956" t="str">
        <f t="shared" si="30"/>
        <v>hydro</v>
      </c>
    </row>
    <row r="1957" spans="1:6" x14ac:dyDescent="0.25">
      <c r="A1957" t="s">
        <v>155</v>
      </c>
      <c r="B1957" t="s">
        <v>86</v>
      </c>
      <c r="C1957">
        <v>2025</v>
      </c>
      <c r="D1957">
        <v>3.5</v>
      </c>
      <c r="E1957">
        <v>3.5</v>
      </c>
      <c r="F1957" t="str">
        <f t="shared" si="30"/>
        <v>hydro</v>
      </c>
    </row>
    <row r="1958" spans="1:6" x14ac:dyDescent="0.25">
      <c r="A1958" t="s">
        <v>155</v>
      </c>
      <c r="B1958" t="s">
        <v>93</v>
      </c>
      <c r="C1958">
        <v>2003</v>
      </c>
      <c r="D1958">
        <v>40.1</v>
      </c>
      <c r="E1958">
        <v>43</v>
      </c>
      <c r="F1958" t="str">
        <f t="shared" si="30"/>
        <v>natural gas peaker</v>
      </c>
    </row>
    <row r="1959" spans="1:6" x14ac:dyDescent="0.25">
      <c r="A1959" t="s">
        <v>155</v>
      </c>
      <c r="B1959" t="s">
        <v>93</v>
      </c>
      <c r="C1959">
        <v>2006</v>
      </c>
      <c r="D1959">
        <v>54</v>
      </c>
      <c r="E1959">
        <v>54.9</v>
      </c>
      <c r="F1959" t="str">
        <f t="shared" si="30"/>
        <v>natural gas peaker</v>
      </c>
    </row>
    <row r="1960" spans="1:6" x14ac:dyDescent="0.25">
      <c r="A1960" t="s">
        <v>155</v>
      </c>
      <c r="B1960" t="s">
        <v>93</v>
      </c>
      <c r="C1960">
        <v>2010</v>
      </c>
      <c r="D1960">
        <v>85</v>
      </c>
      <c r="E1960">
        <v>108.2</v>
      </c>
      <c r="F1960" t="str">
        <f t="shared" si="30"/>
        <v>natural gas peaker</v>
      </c>
    </row>
    <row r="1961" spans="1:6" x14ac:dyDescent="0.25">
      <c r="A1961" t="s">
        <v>155</v>
      </c>
      <c r="B1961" t="s">
        <v>93</v>
      </c>
      <c r="C1961">
        <v>2011</v>
      </c>
      <c r="D1961">
        <v>132.30000000000001</v>
      </c>
      <c r="E1961">
        <v>203.1</v>
      </c>
      <c r="F1961" t="str">
        <f t="shared" si="30"/>
        <v>natural gas peaker</v>
      </c>
    </row>
    <row r="1962" spans="1:6" x14ac:dyDescent="0.25">
      <c r="A1962" t="s">
        <v>155</v>
      </c>
      <c r="B1962" t="s">
        <v>93</v>
      </c>
      <c r="C1962">
        <v>2016</v>
      </c>
      <c r="D1962">
        <v>18.2</v>
      </c>
      <c r="E1962">
        <v>18.600000000000001</v>
      </c>
      <c r="F1962" t="str">
        <f t="shared" si="30"/>
        <v>natural gas peaker</v>
      </c>
    </row>
    <row r="1963" spans="1:6" x14ac:dyDescent="0.25">
      <c r="A1963" t="s">
        <v>155</v>
      </c>
      <c r="B1963" t="s">
        <v>93</v>
      </c>
      <c r="C1963">
        <v>2024</v>
      </c>
      <c r="D1963">
        <v>165.6</v>
      </c>
      <c r="E1963">
        <v>207</v>
      </c>
      <c r="F1963" t="str">
        <f t="shared" si="30"/>
        <v>natural gas peaker</v>
      </c>
    </row>
    <row r="1964" spans="1:6" x14ac:dyDescent="0.25">
      <c r="A1964" t="s">
        <v>155</v>
      </c>
      <c r="B1964" t="s">
        <v>93</v>
      </c>
      <c r="C1964">
        <v>2025</v>
      </c>
      <c r="D1964">
        <v>3.6</v>
      </c>
      <c r="E1964">
        <v>3.6</v>
      </c>
      <c r="F1964" t="str">
        <f t="shared" si="30"/>
        <v>natural gas peaker</v>
      </c>
    </row>
    <row r="1965" spans="1:6" x14ac:dyDescent="0.25">
      <c r="A1965" t="s">
        <v>155</v>
      </c>
      <c r="B1965" t="s">
        <v>87</v>
      </c>
      <c r="C1965">
        <v>2005</v>
      </c>
      <c r="D1965">
        <v>135</v>
      </c>
      <c r="E1965">
        <v>135</v>
      </c>
      <c r="F1965" t="str">
        <f t="shared" si="30"/>
        <v>onshore wind</v>
      </c>
    </row>
    <row r="1966" spans="1:6" x14ac:dyDescent="0.25">
      <c r="A1966" t="s">
        <v>155</v>
      </c>
      <c r="B1966" t="s">
        <v>87</v>
      </c>
      <c r="C1966">
        <v>2006</v>
      </c>
      <c r="D1966">
        <v>9.7200000000000006</v>
      </c>
      <c r="E1966">
        <v>9.6999999999999993</v>
      </c>
      <c r="F1966" t="str">
        <f t="shared" si="30"/>
        <v>onshore wind</v>
      </c>
    </row>
    <row r="1967" spans="1:6" x14ac:dyDescent="0.25">
      <c r="A1967" t="s">
        <v>155</v>
      </c>
      <c r="B1967" t="s">
        <v>87</v>
      </c>
      <c r="C1967">
        <v>2007</v>
      </c>
      <c r="D1967">
        <v>30</v>
      </c>
      <c r="E1967">
        <v>30</v>
      </c>
      <c r="F1967" t="str">
        <f t="shared" si="30"/>
        <v>onshore wind</v>
      </c>
    </row>
    <row r="1968" spans="1:6" x14ac:dyDescent="0.25">
      <c r="A1968" t="s">
        <v>155</v>
      </c>
      <c r="B1968" t="s">
        <v>87</v>
      </c>
      <c r="C1968">
        <v>2008</v>
      </c>
      <c r="D1968">
        <v>104.2</v>
      </c>
      <c r="E1968">
        <v>106.5</v>
      </c>
      <c r="F1968" t="str">
        <f t="shared" si="30"/>
        <v>onshore wind</v>
      </c>
    </row>
    <row r="1969" spans="1:6" x14ac:dyDescent="0.25">
      <c r="A1969" t="s">
        <v>155</v>
      </c>
      <c r="B1969" t="s">
        <v>87</v>
      </c>
      <c r="C1969">
        <v>2009</v>
      </c>
      <c r="D1969">
        <v>101.4</v>
      </c>
      <c r="E1969">
        <v>103.5</v>
      </c>
      <c r="F1969" t="str">
        <f t="shared" si="30"/>
        <v>onshore wind</v>
      </c>
    </row>
    <row r="1970" spans="1:6" x14ac:dyDescent="0.25">
      <c r="A1970" t="s">
        <v>155</v>
      </c>
      <c r="B1970" t="s">
        <v>87</v>
      </c>
      <c r="C1970">
        <v>2012</v>
      </c>
      <c r="D1970">
        <v>254.2</v>
      </c>
      <c r="E1970">
        <v>258.60000000000002</v>
      </c>
      <c r="F1970" t="str">
        <f t="shared" si="30"/>
        <v>onshore wind</v>
      </c>
    </row>
    <row r="1971" spans="1:6" x14ac:dyDescent="0.25">
      <c r="A1971" t="s">
        <v>155</v>
      </c>
      <c r="B1971" t="s">
        <v>87</v>
      </c>
      <c r="C1971">
        <v>2014</v>
      </c>
      <c r="D1971">
        <v>19.7</v>
      </c>
      <c r="E1971">
        <v>19.7</v>
      </c>
      <c r="F1971" t="str">
        <f t="shared" si="30"/>
        <v>onshore wind</v>
      </c>
    </row>
    <row r="1972" spans="1:6" x14ac:dyDescent="0.25">
      <c r="A1972" t="s">
        <v>155</v>
      </c>
      <c r="B1972" t="s">
        <v>87</v>
      </c>
      <c r="C1972">
        <v>2016</v>
      </c>
      <c r="D1972">
        <v>25</v>
      </c>
      <c r="E1972">
        <v>25</v>
      </c>
      <c r="F1972" t="str">
        <f t="shared" si="30"/>
        <v>onshore wind</v>
      </c>
    </row>
    <row r="1973" spans="1:6" x14ac:dyDescent="0.25">
      <c r="A1973" t="s">
        <v>155</v>
      </c>
      <c r="B1973" t="s">
        <v>87</v>
      </c>
      <c r="C1973">
        <v>2018</v>
      </c>
      <c r="D1973">
        <v>114.4</v>
      </c>
      <c r="E1973">
        <v>114.6</v>
      </c>
      <c r="F1973" t="str">
        <f t="shared" si="30"/>
        <v>onshore wind</v>
      </c>
    </row>
    <row r="1974" spans="1:6" x14ac:dyDescent="0.25">
      <c r="A1974" t="s">
        <v>155</v>
      </c>
      <c r="B1974" t="s">
        <v>87</v>
      </c>
      <c r="C1974">
        <v>2020</v>
      </c>
      <c r="D1974">
        <v>80</v>
      </c>
      <c r="E1974">
        <v>80</v>
      </c>
      <c r="F1974" t="str">
        <f t="shared" si="30"/>
        <v>onshore wind</v>
      </c>
    </row>
    <row r="1975" spans="1:6" x14ac:dyDescent="0.25">
      <c r="A1975" t="s">
        <v>155</v>
      </c>
      <c r="B1975" t="s">
        <v>87</v>
      </c>
      <c r="C1975">
        <v>2021</v>
      </c>
      <c r="D1975">
        <v>239.8</v>
      </c>
      <c r="E1975">
        <v>239.8</v>
      </c>
      <c r="F1975" t="str">
        <f t="shared" si="30"/>
        <v>onshore wind</v>
      </c>
    </row>
    <row r="1976" spans="1:6" x14ac:dyDescent="0.25">
      <c r="A1976" t="s">
        <v>155</v>
      </c>
      <c r="B1976" t="s">
        <v>87</v>
      </c>
      <c r="C1976">
        <v>2022</v>
      </c>
      <c r="D1976">
        <v>365.5</v>
      </c>
      <c r="E1976">
        <v>365.5</v>
      </c>
      <c r="F1976" t="str">
        <f t="shared" si="30"/>
        <v>onshore wind</v>
      </c>
    </row>
    <row r="1977" spans="1:6" x14ac:dyDescent="0.25">
      <c r="A1977" t="s">
        <v>155</v>
      </c>
      <c r="B1977" t="s">
        <v>87</v>
      </c>
      <c r="C1977">
        <v>2023</v>
      </c>
      <c r="D1977">
        <v>102.8</v>
      </c>
      <c r="E1977">
        <v>102.8</v>
      </c>
      <c r="F1977" t="str">
        <f t="shared" si="30"/>
        <v>onshore wind</v>
      </c>
    </row>
    <row r="1978" spans="1:6" x14ac:dyDescent="0.25">
      <c r="A1978" t="s">
        <v>155</v>
      </c>
      <c r="B1978" t="s">
        <v>87</v>
      </c>
      <c r="C1978">
        <v>2024</v>
      </c>
      <c r="D1978">
        <v>307.89999999999998</v>
      </c>
      <c r="E1978">
        <v>307.89999999999998</v>
      </c>
      <c r="F1978" t="str">
        <f t="shared" si="30"/>
        <v>onshore wind</v>
      </c>
    </row>
    <row r="1979" spans="1:6" x14ac:dyDescent="0.25">
      <c r="A1979" t="s">
        <v>155</v>
      </c>
      <c r="B1979" t="s">
        <v>87</v>
      </c>
      <c r="C1979">
        <v>2025</v>
      </c>
      <c r="D1979">
        <v>67.2</v>
      </c>
      <c r="E1979">
        <v>248</v>
      </c>
      <c r="F1979" t="str">
        <f t="shared" si="30"/>
        <v>onshore wind</v>
      </c>
    </row>
    <row r="1980" spans="1:6" x14ac:dyDescent="0.25">
      <c r="A1980" t="s">
        <v>155</v>
      </c>
      <c r="B1980" t="s">
        <v>92</v>
      </c>
      <c r="C1980">
        <v>1995</v>
      </c>
      <c r="D1980">
        <v>52</v>
      </c>
      <c r="E1980">
        <v>68</v>
      </c>
      <c r="F1980" t="str">
        <f t="shared" si="30"/>
        <v>petroleum</v>
      </c>
    </row>
    <row r="1981" spans="1:6" x14ac:dyDescent="0.25">
      <c r="A1981" t="s">
        <v>155</v>
      </c>
      <c r="B1981" t="s">
        <v>92</v>
      </c>
      <c r="C1981">
        <v>2025</v>
      </c>
      <c r="D1981">
        <v>2</v>
      </c>
      <c r="E1981">
        <v>2.5</v>
      </c>
      <c r="F1981" t="str">
        <f t="shared" si="30"/>
        <v>petroleum</v>
      </c>
    </row>
    <row r="1982" spans="1:6" x14ac:dyDescent="0.25">
      <c r="A1982" t="s">
        <v>155</v>
      </c>
      <c r="B1982" t="s">
        <v>249</v>
      </c>
      <c r="C1982">
        <v>2017</v>
      </c>
      <c r="D1982">
        <v>17</v>
      </c>
      <c r="E1982">
        <v>17</v>
      </c>
      <c r="F1982" t="str">
        <f t="shared" si="30"/>
        <v>solar pv</v>
      </c>
    </row>
    <row r="1983" spans="1:6" x14ac:dyDescent="0.25">
      <c r="A1983" t="s">
        <v>155</v>
      </c>
      <c r="B1983" t="s">
        <v>249</v>
      </c>
      <c r="C1983">
        <v>2022</v>
      </c>
      <c r="D1983">
        <v>2</v>
      </c>
      <c r="E1983">
        <v>2</v>
      </c>
      <c r="F1983" t="str">
        <f t="shared" si="30"/>
        <v>solar pv</v>
      </c>
    </row>
    <row r="1984" spans="1:6" x14ac:dyDescent="0.25">
      <c r="A1984" t="s">
        <v>155</v>
      </c>
      <c r="B1984" t="s">
        <v>249</v>
      </c>
      <c r="C1984">
        <v>2023</v>
      </c>
      <c r="D1984">
        <v>160</v>
      </c>
      <c r="E1984">
        <v>160</v>
      </c>
      <c r="F1984" t="str">
        <f t="shared" si="30"/>
        <v>solar pv</v>
      </c>
    </row>
    <row r="1985" spans="1:6" x14ac:dyDescent="0.25">
      <c r="A1985" t="s">
        <v>155</v>
      </c>
      <c r="B1985" t="s">
        <v>249</v>
      </c>
      <c r="C1985">
        <v>2025</v>
      </c>
      <c r="D1985">
        <v>2</v>
      </c>
      <c r="E1985">
        <v>2</v>
      </c>
      <c r="F1985" t="str">
        <f t="shared" si="30"/>
        <v>solar pv</v>
      </c>
    </row>
    <row r="1986" spans="1:6" x14ac:dyDescent="0.25">
      <c r="A1986" t="s">
        <v>157</v>
      </c>
      <c r="B1986" t="s">
        <v>90</v>
      </c>
      <c r="C1986">
        <v>1990</v>
      </c>
      <c r="D1986">
        <v>47</v>
      </c>
      <c r="E1986">
        <v>50</v>
      </c>
      <c r="F1986" t="str">
        <f t="shared" ref="F1986:F2049" si="31">LOWER($B1986)</f>
        <v>biomass</v>
      </c>
    </row>
    <row r="1987" spans="1:6" x14ac:dyDescent="0.25">
      <c r="A1987" t="s">
        <v>157</v>
      </c>
      <c r="B1987" t="s">
        <v>90</v>
      </c>
      <c r="C1987">
        <v>1993</v>
      </c>
      <c r="D1987">
        <v>0.4</v>
      </c>
      <c r="E1987">
        <v>0.9</v>
      </c>
      <c r="F1987" t="str">
        <f t="shared" si="31"/>
        <v>biomass</v>
      </c>
    </row>
    <row r="1988" spans="1:6" x14ac:dyDescent="0.25">
      <c r="A1988" t="s">
        <v>157</v>
      </c>
      <c r="B1988" t="s">
        <v>90</v>
      </c>
      <c r="C1988">
        <v>1996</v>
      </c>
      <c r="D1988">
        <v>3.3</v>
      </c>
      <c r="E1988">
        <v>4.5</v>
      </c>
      <c r="F1988" t="str">
        <f t="shared" si="31"/>
        <v>biomass</v>
      </c>
    </row>
    <row r="1989" spans="1:6" x14ac:dyDescent="0.25">
      <c r="A1989" t="s">
        <v>157</v>
      </c>
      <c r="B1989" t="s">
        <v>90</v>
      </c>
      <c r="C1989">
        <v>1999</v>
      </c>
      <c r="D1989">
        <v>4.3</v>
      </c>
      <c r="E1989">
        <v>5.3</v>
      </c>
      <c r="F1989" t="str">
        <f t="shared" si="31"/>
        <v>biomass</v>
      </c>
    </row>
    <row r="1990" spans="1:6" x14ac:dyDescent="0.25">
      <c r="A1990" t="s">
        <v>157</v>
      </c>
      <c r="B1990" t="s">
        <v>90</v>
      </c>
      <c r="C1990">
        <v>2007</v>
      </c>
      <c r="D1990">
        <v>3.6</v>
      </c>
      <c r="E1990">
        <v>3.6</v>
      </c>
      <c r="F1990" t="str">
        <f t="shared" si="31"/>
        <v>biomass</v>
      </c>
    </row>
    <row r="1991" spans="1:6" x14ac:dyDescent="0.25">
      <c r="A1991" t="s">
        <v>157</v>
      </c>
      <c r="B1991" t="s">
        <v>90</v>
      </c>
      <c r="C1991">
        <v>2008</v>
      </c>
      <c r="D1991">
        <v>3.2</v>
      </c>
      <c r="E1991">
        <v>3.2</v>
      </c>
      <c r="F1991" t="str">
        <f t="shared" si="31"/>
        <v>biomass</v>
      </c>
    </row>
    <row r="1992" spans="1:6" x14ac:dyDescent="0.25">
      <c r="A1992" t="s">
        <v>157</v>
      </c>
      <c r="B1992" t="s">
        <v>90</v>
      </c>
      <c r="C1992">
        <v>2010</v>
      </c>
      <c r="D1992">
        <v>4.9000000000000004</v>
      </c>
      <c r="E1992">
        <v>4.9000000000000004</v>
      </c>
      <c r="F1992" t="str">
        <f t="shared" si="31"/>
        <v>biomass</v>
      </c>
    </row>
    <row r="1993" spans="1:6" x14ac:dyDescent="0.25">
      <c r="A1993" t="s">
        <v>157</v>
      </c>
      <c r="B1993" t="s">
        <v>90</v>
      </c>
      <c r="C1993">
        <v>2011</v>
      </c>
      <c r="D1993">
        <v>8.4</v>
      </c>
      <c r="E1993">
        <v>8.4</v>
      </c>
      <c r="F1993" t="str">
        <f t="shared" si="31"/>
        <v>biomass</v>
      </c>
    </row>
    <row r="1994" spans="1:6" x14ac:dyDescent="0.25">
      <c r="A1994" t="s">
        <v>157</v>
      </c>
      <c r="B1994" t="s">
        <v>90</v>
      </c>
      <c r="C1994">
        <v>2012</v>
      </c>
      <c r="D1994">
        <v>13.6</v>
      </c>
      <c r="E1994">
        <v>15.6</v>
      </c>
      <c r="F1994" t="str">
        <f t="shared" si="31"/>
        <v>biomass</v>
      </c>
    </row>
    <row r="1995" spans="1:6" x14ac:dyDescent="0.25">
      <c r="A1995" t="s">
        <v>157</v>
      </c>
      <c r="B1995" t="s">
        <v>90</v>
      </c>
      <c r="C1995">
        <v>2013</v>
      </c>
      <c r="D1995">
        <v>15</v>
      </c>
      <c r="E1995">
        <v>15.5</v>
      </c>
      <c r="F1995" t="str">
        <f t="shared" si="31"/>
        <v>biomass</v>
      </c>
    </row>
    <row r="1996" spans="1:6" x14ac:dyDescent="0.25">
      <c r="A1996" t="s">
        <v>157</v>
      </c>
      <c r="B1996" t="s">
        <v>90</v>
      </c>
      <c r="C1996">
        <v>2014</v>
      </c>
      <c r="D1996">
        <v>42</v>
      </c>
      <c r="E1996">
        <v>51.2</v>
      </c>
      <c r="F1996" t="str">
        <f t="shared" si="31"/>
        <v>biomass</v>
      </c>
    </row>
    <row r="1997" spans="1:6" x14ac:dyDescent="0.25">
      <c r="A1997" t="s">
        <v>157</v>
      </c>
      <c r="B1997" t="s">
        <v>90</v>
      </c>
      <c r="C1997">
        <v>2015</v>
      </c>
      <c r="D1997">
        <v>4.4000000000000004</v>
      </c>
      <c r="E1997">
        <v>4.4000000000000004</v>
      </c>
      <c r="F1997" t="str">
        <f t="shared" si="31"/>
        <v>biomass</v>
      </c>
    </row>
    <row r="1998" spans="1:6" x14ac:dyDescent="0.25">
      <c r="A1998" t="s">
        <v>157</v>
      </c>
      <c r="B1998" t="s">
        <v>90</v>
      </c>
      <c r="C1998">
        <v>2016</v>
      </c>
      <c r="D1998">
        <v>5.2</v>
      </c>
      <c r="E1998">
        <v>5.2</v>
      </c>
      <c r="F1998" t="str">
        <f t="shared" si="31"/>
        <v>biomass</v>
      </c>
    </row>
    <row r="1999" spans="1:6" x14ac:dyDescent="0.25">
      <c r="A1999" t="s">
        <v>157</v>
      </c>
      <c r="B1999" t="s">
        <v>90</v>
      </c>
      <c r="C1999">
        <v>2017</v>
      </c>
      <c r="D1999">
        <v>3.3</v>
      </c>
      <c r="E1999">
        <v>4.5</v>
      </c>
      <c r="F1999" t="str">
        <f t="shared" si="31"/>
        <v>biomass</v>
      </c>
    </row>
    <row r="2000" spans="1:6" x14ac:dyDescent="0.25">
      <c r="A2000" t="s">
        <v>157</v>
      </c>
      <c r="B2000" t="s">
        <v>90</v>
      </c>
      <c r="C2000">
        <v>2019</v>
      </c>
      <c r="D2000">
        <v>5.0999999999999996</v>
      </c>
      <c r="E2000">
        <v>5.0999999999999996</v>
      </c>
      <c r="F2000" t="str">
        <f t="shared" si="31"/>
        <v>biomass</v>
      </c>
    </row>
    <row r="2001" spans="1:6" x14ac:dyDescent="0.25">
      <c r="A2001" t="s">
        <v>157</v>
      </c>
      <c r="B2001" t="s">
        <v>90</v>
      </c>
      <c r="C2001">
        <v>2024</v>
      </c>
      <c r="D2001">
        <v>40</v>
      </c>
      <c r="E2001">
        <v>40</v>
      </c>
      <c r="F2001" t="str">
        <f t="shared" si="31"/>
        <v>biomass</v>
      </c>
    </row>
    <row r="2002" spans="1:6" x14ac:dyDescent="0.25">
      <c r="A2002" t="s">
        <v>157</v>
      </c>
      <c r="B2002" t="s">
        <v>81</v>
      </c>
      <c r="C2002">
        <v>1991</v>
      </c>
      <c r="D2002">
        <v>28.7</v>
      </c>
      <c r="E2002">
        <v>28</v>
      </c>
      <c r="F2002" t="str">
        <f t="shared" si="31"/>
        <v>hard coal</v>
      </c>
    </row>
    <row r="2003" spans="1:6" x14ac:dyDescent="0.25">
      <c r="A2003" t="s">
        <v>157</v>
      </c>
      <c r="B2003" t="s">
        <v>86</v>
      </c>
      <c r="C2003">
        <v>1996</v>
      </c>
      <c r="D2003">
        <v>5.4</v>
      </c>
      <c r="E2003">
        <v>5.4</v>
      </c>
      <c r="F2003" t="str">
        <f t="shared" si="31"/>
        <v>hydro</v>
      </c>
    </row>
    <row r="2004" spans="1:6" x14ac:dyDescent="0.25">
      <c r="A2004" t="s">
        <v>157</v>
      </c>
      <c r="B2004" t="s">
        <v>86</v>
      </c>
      <c r="C2004">
        <v>1997</v>
      </c>
      <c r="D2004">
        <v>0.8</v>
      </c>
      <c r="E2004">
        <v>0.8</v>
      </c>
      <c r="F2004" t="str">
        <f t="shared" si="31"/>
        <v>hydro</v>
      </c>
    </row>
    <row r="2005" spans="1:6" x14ac:dyDescent="0.25">
      <c r="A2005" t="s">
        <v>157</v>
      </c>
      <c r="B2005" t="s">
        <v>86</v>
      </c>
      <c r="C2005">
        <v>2000</v>
      </c>
      <c r="D2005">
        <v>0.4</v>
      </c>
      <c r="E2005">
        <v>0.4</v>
      </c>
      <c r="F2005" t="str">
        <f t="shared" si="31"/>
        <v>hydro</v>
      </c>
    </row>
    <row r="2006" spans="1:6" x14ac:dyDescent="0.25">
      <c r="A2006" t="s">
        <v>157</v>
      </c>
      <c r="B2006" t="s">
        <v>86</v>
      </c>
      <c r="C2006">
        <v>2011</v>
      </c>
      <c r="D2006">
        <v>1.5</v>
      </c>
      <c r="E2006">
        <v>1.7</v>
      </c>
      <c r="F2006" t="str">
        <f t="shared" si="31"/>
        <v>hydro</v>
      </c>
    </row>
    <row r="2007" spans="1:6" x14ac:dyDescent="0.25">
      <c r="A2007" t="s">
        <v>157</v>
      </c>
      <c r="B2007" t="s">
        <v>86</v>
      </c>
      <c r="C2007">
        <v>2012</v>
      </c>
      <c r="D2007">
        <v>88.4</v>
      </c>
      <c r="E2007">
        <v>86.9</v>
      </c>
      <c r="F2007" t="str">
        <f t="shared" si="31"/>
        <v>hydro</v>
      </c>
    </row>
    <row r="2008" spans="1:6" x14ac:dyDescent="0.25">
      <c r="A2008" t="s">
        <v>157</v>
      </c>
      <c r="B2008" t="s">
        <v>86</v>
      </c>
      <c r="C2008">
        <v>2013</v>
      </c>
      <c r="D2008">
        <v>28</v>
      </c>
      <c r="E2008">
        <v>27.5</v>
      </c>
      <c r="F2008" t="str">
        <f t="shared" si="31"/>
        <v>hydro</v>
      </c>
    </row>
    <row r="2009" spans="1:6" x14ac:dyDescent="0.25">
      <c r="A2009" t="s">
        <v>157</v>
      </c>
      <c r="B2009" t="s">
        <v>84</v>
      </c>
      <c r="C2009">
        <v>2002</v>
      </c>
      <c r="D2009">
        <v>475</v>
      </c>
      <c r="E2009">
        <v>594.29999999999995</v>
      </c>
      <c r="F2009" t="str">
        <f t="shared" si="31"/>
        <v>natural gas combined cycle</v>
      </c>
    </row>
    <row r="2010" spans="1:6" x14ac:dyDescent="0.25">
      <c r="A2010" t="s">
        <v>157</v>
      </c>
      <c r="B2010" t="s">
        <v>84</v>
      </c>
      <c r="C2010">
        <v>2003</v>
      </c>
      <c r="D2010">
        <v>499</v>
      </c>
      <c r="E2010">
        <v>593.79999999999995</v>
      </c>
      <c r="F2010" t="str">
        <f t="shared" si="31"/>
        <v>natural gas combined cycle</v>
      </c>
    </row>
    <row r="2011" spans="1:6" x14ac:dyDescent="0.25">
      <c r="A2011" t="s">
        <v>157</v>
      </c>
      <c r="B2011" t="s">
        <v>84</v>
      </c>
      <c r="C2011">
        <v>2011</v>
      </c>
      <c r="D2011">
        <v>1276</v>
      </c>
      <c r="E2011">
        <v>1351.4</v>
      </c>
      <c r="F2011" t="str">
        <f t="shared" si="31"/>
        <v>natural gas combined cycle</v>
      </c>
    </row>
    <row r="2012" spans="1:6" x14ac:dyDescent="0.25">
      <c r="A2012" t="s">
        <v>157</v>
      </c>
      <c r="B2012" t="s">
        <v>84</v>
      </c>
      <c r="C2012">
        <v>2012</v>
      </c>
      <c r="D2012">
        <v>1554</v>
      </c>
      <c r="E2012">
        <v>1765.9</v>
      </c>
      <c r="F2012" t="str">
        <f t="shared" si="31"/>
        <v>natural gas combined cycle</v>
      </c>
    </row>
    <row r="2013" spans="1:6" x14ac:dyDescent="0.25">
      <c r="A2013" t="s">
        <v>157</v>
      </c>
      <c r="B2013" t="s">
        <v>84</v>
      </c>
      <c r="C2013">
        <v>2013</v>
      </c>
      <c r="D2013">
        <v>614</v>
      </c>
      <c r="E2013">
        <v>730</v>
      </c>
      <c r="F2013" t="str">
        <f t="shared" si="31"/>
        <v>natural gas combined cycle</v>
      </c>
    </row>
    <row r="2014" spans="1:6" x14ac:dyDescent="0.25">
      <c r="A2014" t="s">
        <v>157</v>
      </c>
      <c r="B2014" t="s">
        <v>84</v>
      </c>
      <c r="C2014">
        <v>2018</v>
      </c>
      <c r="D2014">
        <v>486</v>
      </c>
      <c r="E2014">
        <v>543.9</v>
      </c>
      <c r="F2014" t="str">
        <f t="shared" si="31"/>
        <v>natural gas combined cycle</v>
      </c>
    </row>
    <row r="2015" spans="1:6" x14ac:dyDescent="0.25">
      <c r="A2015" t="s">
        <v>157</v>
      </c>
      <c r="B2015" t="s">
        <v>84</v>
      </c>
      <c r="C2015">
        <v>2019</v>
      </c>
      <c r="D2015">
        <v>248</v>
      </c>
      <c r="E2015">
        <v>294</v>
      </c>
      <c r="F2015" t="str">
        <f t="shared" si="31"/>
        <v>natural gas combined cycle</v>
      </c>
    </row>
    <row r="2016" spans="1:6" x14ac:dyDescent="0.25">
      <c r="A2016" t="s">
        <v>157</v>
      </c>
      <c r="B2016" t="s">
        <v>84</v>
      </c>
      <c r="C2016">
        <v>2020</v>
      </c>
      <c r="D2016">
        <v>246</v>
      </c>
      <c r="E2016">
        <v>294</v>
      </c>
      <c r="F2016" t="str">
        <f t="shared" si="31"/>
        <v>natural gas combined cycle</v>
      </c>
    </row>
    <row r="2017" spans="1:6" x14ac:dyDescent="0.25">
      <c r="A2017" t="s">
        <v>157</v>
      </c>
      <c r="B2017" t="s">
        <v>93</v>
      </c>
      <c r="C2017">
        <v>1992</v>
      </c>
      <c r="D2017">
        <v>30</v>
      </c>
      <c r="E2017">
        <v>35.5</v>
      </c>
      <c r="F2017" t="str">
        <f t="shared" si="31"/>
        <v>natural gas peaker</v>
      </c>
    </row>
    <row r="2018" spans="1:6" x14ac:dyDescent="0.25">
      <c r="A2018" t="s">
        <v>157</v>
      </c>
      <c r="B2018" t="s">
        <v>93</v>
      </c>
      <c r="C2018">
        <v>1993</v>
      </c>
      <c r="D2018">
        <v>3.5</v>
      </c>
      <c r="E2018">
        <v>4</v>
      </c>
      <c r="F2018" t="str">
        <f t="shared" si="31"/>
        <v>natural gas peaker</v>
      </c>
    </row>
    <row r="2019" spans="1:6" x14ac:dyDescent="0.25">
      <c r="A2019" t="s">
        <v>157</v>
      </c>
      <c r="B2019" t="s">
        <v>93</v>
      </c>
      <c r="C2019">
        <v>1995</v>
      </c>
      <c r="D2019">
        <v>886</v>
      </c>
      <c r="E2019">
        <v>1332.2</v>
      </c>
      <c r="F2019" t="str">
        <f t="shared" si="31"/>
        <v>natural gas peaker</v>
      </c>
    </row>
    <row r="2020" spans="1:6" x14ac:dyDescent="0.25">
      <c r="A2020" t="s">
        <v>157</v>
      </c>
      <c r="B2020" t="s">
        <v>93</v>
      </c>
      <c r="C2020">
        <v>1996</v>
      </c>
      <c r="D2020">
        <v>290</v>
      </c>
      <c r="E2020">
        <v>438.4</v>
      </c>
      <c r="F2020" t="str">
        <f t="shared" si="31"/>
        <v>natural gas peaker</v>
      </c>
    </row>
    <row r="2021" spans="1:6" x14ac:dyDescent="0.25">
      <c r="A2021" t="s">
        <v>157</v>
      </c>
      <c r="B2021" t="s">
        <v>93</v>
      </c>
      <c r="C2021">
        <v>1999</v>
      </c>
      <c r="D2021">
        <v>160</v>
      </c>
      <c r="E2021">
        <v>211.7</v>
      </c>
      <c r="F2021" t="str">
        <f t="shared" si="31"/>
        <v>natural gas peaker</v>
      </c>
    </row>
    <row r="2022" spans="1:6" x14ac:dyDescent="0.25">
      <c r="A2022" t="s">
        <v>157</v>
      </c>
      <c r="B2022" t="s">
        <v>93</v>
      </c>
      <c r="C2022">
        <v>2000</v>
      </c>
      <c r="D2022">
        <v>1654</v>
      </c>
      <c r="E2022">
        <v>1970.1</v>
      </c>
      <c r="F2022" t="str">
        <f t="shared" si="31"/>
        <v>natural gas peaker</v>
      </c>
    </row>
    <row r="2023" spans="1:6" x14ac:dyDescent="0.25">
      <c r="A2023" t="s">
        <v>157</v>
      </c>
      <c r="B2023" t="s">
        <v>93</v>
      </c>
      <c r="C2023">
        <v>2001</v>
      </c>
      <c r="D2023">
        <v>1123.4000000000001</v>
      </c>
      <c r="E2023">
        <v>1395.8</v>
      </c>
      <c r="F2023" t="str">
        <f t="shared" si="31"/>
        <v>natural gas peaker</v>
      </c>
    </row>
    <row r="2024" spans="1:6" x14ac:dyDescent="0.25">
      <c r="A2024" t="s">
        <v>157</v>
      </c>
      <c r="B2024" t="s">
        <v>93</v>
      </c>
      <c r="C2024">
        <v>2002</v>
      </c>
      <c r="D2024">
        <v>152</v>
      </c>
      <c r="E2024">
        <v>199.4</v>
      </c>
      <c r="F2024" t="str">
        <f t="shared" si="31"/>
        <v>natural gas peaker</v>
      </c>
    </row>
    <row r="2025" spans="1:6" x14ac:dyDescent="0.25">
      <c r="A2025" t="s">
        <v>157</v>
      </c>
      <c r="B2025" t="s">
        <v>93</v>
      </c>
      <c r="C2025">
        <v>2007</v>
      </c>
      <c r="D2025">
        <v>621.5</v>
      </c>
      <c r="E2025">
        <v>630.29999999999995</v>
      </c>
      <c r="F2025" t="str">
        <f t="shared" si="31"/>
        <v>natural gas peaker</v>
      </c>
    </row>
    <row r="2026" spans="1:6" x14ac:dyDescent="0.25">
      <c r="A2026" t="s">
        <v>157</v>
      </c>
      <c r="B2026" t="s">
        <v>93</v>
      </c>
      <c r="C2026">
        <v>2009</v>
      </c>
      <c r="D2026">
        <v>153</v>
      </c>
      <c r="E2026">
        <v>198.9</v>
      </c>
      <c r="F2026" t="str">
        <f t="shared" si="31"/>
        <v>natural gas peaker</v>
      </c>
    </row>
    <row r="2027" spans="1:6" x14ac:dyDescent="0.25">
      <c r="A2027" t="s">
        <v>157</v>
      </c>
      <c r="B2027" t="s">
        <v>93</v>
      </c>
      <c r="C2027">
        <v>2010</v>
      </c>
      <c r="D2027">
        <v>24</v>
      </c>
      <c r="E2027">
        <v>30</v>
      </c>
      <c r="F2027" t="str">
        <f t="shared" si="31"/>
        <v>natural gas peaker</v>
      </c>
    </row>
    <row r="2028" spans="1:6" x14ac:dyDescent="0.25">
      <c r="A2028" t="s">
        <v>157</v>
      </c>
      <c r="B2028" t="s">
        <v>93</v>
      </c>
      <c r="C2028">
        <v>2012</v>
      </c>
      <c r="D2028">
        <v>747.3</v>
      </c>
      <c r="E2028">
        <v>747.2</v>
      </c>
      <c r="F2028" t="str">
        <f t="shared" si="31"/>
        <v>natural gas peaker</v>
      </c>
    </row>
    <row r="2029" spans="1:6" x14ac:dyDescent="0.25">
      <c r="A2029" t="s">
        <v>157</v>
      </c>
      <c r="B2029" t="s">
        <v>93</v>
      </c>
      <c r="C2029">
        <v>2013</v>
      </c>
      <c r="D2029">
        <v>56.5</v>
      </c>
      <c r="E2029">
        <v>57.3</v>
      </c>
      <c r="F2029" t="str">
        <f t="shared" si="31"/>
        <v>natural gas peaker</v>
      </c>
    </row>
    <row r="2030" spans="1:6" x14ac:dyDescent="0.25">
      <c r="A2030" t="s">
        <v>157</v>
      </c>
      <c r="B2030" t="s">
        <v>93</v>
      </c>
      <c r="C2030">
        <v>2017</v>
      </c>
      <c r="D2030">
        <v>84</v>
      </c>
      <c r="E2030">
        <v>121</v>
      </c>
      <c r="F2030" t="str">
        <f t="shared" si="31"/>
        <v>natural gas peaker</v>
      </c>
    </row>
    <row r="2031" spans="1:6" x14ac:dyDescent="0.25">
      <c r="A2031" t="s">
        <v>157</v>
      </c>
      <c r="B2031" t="s">
        <v>93</v>
      </c>
      <c r="C2031">
        <v>2019</v>
      </c>
      <c r="D2031">
        <v>5.3</v>
      </c>
      <c r="E2031">
        <v>5.6</v>
      </c>
      <c r="F2031" t="str">
        <f t="shared" si="31"/>
        <v>natural gas peaker</v>
      </c>
    </row>
    <row r="2032" spans="1:6" x14ac:dyDescent="0.25">
      <c r="A2032" t="s">
        <v>157</v>
      </c>
      <c r="B2032" t="s">
        <v>93</v>
      </c>
      <c r="C2032">
        <v>2024</v>
      </c>
      <c r="D2032">
        <v>324</v>
      </c>
      <c r="E2032">
        <v>402</v>
      </c>
      <c r="F2032" t="str">
        <f t="shared" si="31"/>
        <v>natural gas peaker</v>
      </c>
    </row>
    <row r="2033" spans="1:6" x14ac:dyDescent="0.25">
      <c r="A2033" t="s">
        <v>157</v>
      </c>
      <c r="B2033" t="s">
        <v>83</v>
      </c>
      <c r="C2033">
        <v>2012</v>
      </c>
      <c r="D2033">
        <v>844</v>
      </c>
      <c r="E2033">
        <v>909.5</v>
      </c>
      <c r="F2033" t="str">
        <f t="shared" si="31"/>
        <v>natural gas steam turbine</v>
      </c>
    </row>
    <row r="2034" spans="1:6" x14ac:dyDescent="0.25">
      <c r="A2034" t="s">
        <v>157</v>
      </c>
      <c r="B2034" t="s">
        <v>83</v>
      </c>
      <c r="C2034">
        <v>2019</v>
      </c>
      <c r="D2034">
        <v>1</v>
      </c>
      <c r="E2034">
        <v>1</v>
      </c>
      <c r="F2034" t="str">
        <f t="shared" si="31"/>
        <v>natural gas steam turbine</v>
      </c>
    </row>
    <row r="2035" spans="1:6" x14ac:dyDescent="0.25">
      <c r="A2035" t="s">
        <v>157</v>
      </c>
      <c r="B2035" t="s">
        <v>87</v>
      </c>
      <c r="C2035">
        <v>2016</v>
      </c>
      <c r="D2035">
        <v>208</v>
      </c>
      <c r="E2035">
        <v>208</v>
      </c>
      <c r="F2035" t="str">
        <f t="shared" si="31"/>
        <v>onshore wind</v>
      </c>
    </row>
    <row r="2036" spans="1:6" x14ac:dyDescent="0.25">
      <c r="A2036" t="s">
        <v>157</v>
      </c>
      <c r="B2036" t="s">
        <v>87</v>
      </c>
      <c r="C2036">
        <v>2024</v>
      </c>
      <c r="D2036">
        <v>189</v>
      </c>
      <c r="E2036">
        <v>189</v>
      </c>
      <c r="F2036" t="str">
        <f t="shared" si="31"/>
        <v>onshore wind</v>
      </c>
    </row>
    <row r="2037" spans="1:6" x14ac:dyDescent="0.25">
      <c r="A2037" t="s">
        <v>157</v>
      </c>
      <c r="B2037" t="s">
        <v>92</v>
      </c>
      <c r="C2037">
        <v>1990</v>
      </c>
      <c r="D2037">
        <v>151.19999999999999</v>
      </c>
      <c r="E2037">
        <v>180</v>
      </c>
      <c r="F2037" t="str">
        <f t="shared" si="31"/>
        <v>petroleum</v>
      </c>
    </row>
    <row r="2038" spans="1:6" x14ac:dyDescent="0.25">
      <c r="A2038" t="s">
        <v>157</v>
      </c>
      <c r="B2038" t="s">
        <v>92</v>
      </c>
      <c r="C2038">
        <v>1991</v>
      </c>
      <c r="D2038">
        <v>18</v>
      </c>
      <c r="E2038">
        <v>18</v>
      </c>
      <c r="F2038" t="str">
        <f t="shared" si="31"/>
        <v>petroleum</v>
      </c>
    </row>
    <row r="2039" spans="1:6" x14ac:dyDescent="0.25">
      <c r="A2039" t="s">
        <v>157</v>
      </c>
      <c r="B2039" t="s">
        <v>92</v>
      </c>
      <c r="C2039">
        <v>1992</v>
      </c>
      <c r="D2039">
        <v>1.3</v>
      </c>
      <c r="E2039">
        <v>1.6</v>
      </c>
      <c r="F2039" t="str">
        <f t="shared" si="31"/>
        <v>petroleum</v>
      </c>
    </row>
    <row r="2040" spans="1:6" x14ac:dyDescent="0.25">
      <c r="A2040" t="s">
        <v>157</v>
      </c>
      <c r="B2040" t="s">
        <v>92</v>
      </c>
      <c r="C2040">
        <v>1993</v>
      </c>
      <c r="D2040">
        <v>12</v>
      </c>
      <c r="E2040">
        <v>12</v>
      </c>
      <c r="F2040" t="str">
        <f t="shared" si="31"/>
        <v>petroleum</v>
      </c>
    </row>
    <row r="2041" spans="1:6" x14ac:dyDescent="0.25">
      <c r="A2041" t="s">
        <v>157</v>
      </c>
      <c r="B2041" t="s">
        <v>92</v>
      </c>
      <c r="C2041">
        <v>1994</v>
      </c>
      <c r="D2041">
        <v>1.4</v>
      </c>
      <c r="E2041">
        <v>1.4</v>
      </c>
      <c r="F2041" t="str">
        <f t="shared" si="31"/>
        <v>petroleum</v>
      </c>
    </row>
    <row r="2042" spans="1:6" x14ac:dyDescent="0.25">
      <c r="A2042" t="s">
        <v>157</v>
      </c>
      <c r="B2042" t="s">
        <v>92</v>
      </c>
      <c r="C2042">
        <v>1995</v>
      </c>
      <c r="D2042">
        <v>10.5</v>
      </c>
      <c r="E2042">
        <v>10.5</v>
      </c>
      <c r="F2042" t="str">
        <f t="shared" si="31"/>
        <v>petroleum</v>
      </c>
    </row>
    <row r="2043" spans="1:6" x14ac:dyDescent="0.25">
      <c r="A2043" t="s">
        <v>157</v>
      </c>
      <c r="B2043" t="s">
        <v>92</v>
      </c>
      <c r="C2043">
        <v>1998</v>
      </c>
      <c r="D2043">
        <v>13.5</v>
      </c>
      <c r="E2043">
        <v>13.5</v>
      </c>
      <c r="F2043" t="str">
        <f t="shared" si="31"/>
        <v>petroleum</v>
      </c>
    </row>
    <row r="2044" spans="1:6" x14ac:dyDescent="0.25">
      <c r="A2044" t="s">
        <v>157</v>
      </c>
      <c r="B2044" t="s">
        <v>92</v>
      </c>
      <c r="C2044">
        <v>1999</v>
      </c>
      <c r="D2044">
        <v>3</v>
      </c>
      <c r="E2044">
        <v>3</v>
      </c>
      <c r="F2044" t="str">
        <f t="shared" si="31"/>
        <v>petroleum</v>
      </c>
    </row>
    <row r="2045" spans="1:6" x14ac:dyDescent="0.25">
      <c r="A2045" t="s">
        <v>157</v>
      </c>
      <c r="B2045" t="s">
        <v>92</v>
      </c>
      <c r="C2045">
        <v>2002</v>
      </c>
      <c r="D2045">
        <v>20.6</v>
      </c>
      <c r="E2045">
        <v>20.8</v>
      </c>
      <c r="F2045" t="str">
        <f t="shared" si="31"/>
        <v>petroleum</v>
      </c>
    </row>
    <row r="2046" spans="1:6" x14ac:dyDescent="0.25">
      <c r="A2046" t="s">
        <v>157</v>
      </c>
      <c r="B2046" t="s">
        <v>92</v>
      </c>
      <c r="C2046">
        <v>2003</v>
      </c>
      <c r="D2046">
        <v>1.2</v>
      </c>
      <c r="E2046">
        <v>1.2</v>
      </c>
      <c r="F2046" t="str">
        <f t="shared" si="31"/>
        <v>petroleum</v>
      </c>
    </row>
    <row r="2047" spans="1:6" x14ac:dyDescent="0.25">
      <c r="A2047" t="s">
        <v>157</v>
      </c>
      <c r="B2047" t="s">
        <v>92</v>
      </c>
      <c r="C2047">
        <v>2004</v>
      </c>
      <c r="D2047">
        <v>5.4</v>
      </c>
      <c r="E2047">
        <v>5.4</v>
      </c>
      <c r="F2047" t="str">
        <f t="shared" si="31"/>
        <v>petroleum</v>
      </c>
    </row>
    <row r="2048" spans="1:6" x14ac:dyDescent="0.25">
      <c r="A2048" t="s">
        <v>157</v>
      </c>
      <c r="B2048" t="s">
        <v>92</v>
      </c>
      <c r="C2048">
        <v>2005</v>
      </c>
      <c r="D2048">
        <v>14.4</v>
      </c>
      <c r="E2048">
        <v>14.4</v>
      </c>
      <c r="F2048" t="str">
        <f t="shared" si="31"/>
        <v>petroleum</v>
      </c>
    </row>
    <row r="2049" spans="1:6" x14ac:dyDescent="0.25">
      <c r="A2049" t="s">
        <v>157</v>
      </c>
      <c r="B2049" t="s">
        <v>92</v>
      </c>
      <c r="C2049">
        <v>2006</v>
      </c>
      <c r="D2049">
        <v>18</v>
      </c>
      <c r="E2049">
        <v>18</v>
      </c>
      <c r="F2049" t="str">
        <f t="shared" si="31"/>
        <v>petroleum</v>
      </c>
    </row>
    <row r="2050" spans="1:6" x14ac:dyDescent="0.25">
      <c r="A2050" t="s">
        <v>157</v>
      </c>
      <c r="B2050" t="s">
        <v>92</v>
      </c>
      <c r="C2050">
        <v>2007</v>
      </c>
      <c r="D2050">
        <v>18.399999999999999</v>
      </c>
      <c r="E2050">
        <v>20</v>
      </c>
      <c r="F2050" t="str">
        <f t="shared" ref="F2050:F2113" si="32">LOWER($B2050)</f>
        <v>petroleum</v>
      </c>
    </row>
    <row r="2051" spans="1:6" x14ac:dyDescent="0.25">
      <c r="A2051" t="s">
        <v>157</v>
      </c>
      <c r="B2051" t="s">
        <v>92</v>
      </c>
      <c r="C2051">
        <v>2008</v>
      </c>
      <c r="D2051">
        <v>4</v>
      </c>
      <c r="E2051">
        <v>4.5999999999999996</v>
      </c>
      <c r="F2051" t="str">
        <f t="shared" si="32"/>
        <v>petroleum</v>
      </c>
    </row>
    <row r="2052" spans="1:6" x14ac:dyDescent="0.25">
      <c r="A2052" t="s">
        <v>157</v>
      </c>
      <c r="B2052" t="s">
        <v>92</v>
      </c>
      <c r="C2052">
        <v>2009</v>
      </c>
      <c r="D2052">
        <v>1.1000000000000001</v>
      </c>
      <c r="E2052">
        <v>1.3</v>
      </c>
      <c r="F2052" t="str">
        <f t="shared" si="32"/>
        <v>petroleum</v>
      </c>
    </row>
    <row r="2053" spans="1:6" x14ac:dyDescent="0.25">
      <c r="A2053" t="s">
        <v>157</v>
      </c>
      <c r="B2053" t="s">
        <v>92</v>
      </c>
      <c r="C2053">
        <v>2012</v>
      </c>
      <c r="D2053">
        <v>3.6</v>
      </c>
      <c r="E2053">
        <v>3.6</v>
      </c>
      <c r="F2053" t="str">
        <f t="shared" si="32"/>
        <v>petroleum</v>
      </c>
    </row>
    <row r="2054" spans="1:6" x14ac:dyDescent="0.25">
      <c r="A2054" t="s">
        <v>157</v>
      </c>
      <c r="B2054" t="s">
        <v>92</v>
      </c>
      <c r="C2054">
        <v>2013</v>
      </c>
      <c r="D2054">
        <v>14.5</v>
      </c>
      <c r="E2054">
        <v>14.6</v>
      </c>
      <c r="F2054" t="str">
        <f t="shared" si="32"/>
        <v>petroleum</v>
      </c>
    </row>
    <row r="2055" spans="1:6" x14ac:dyDescent="0.25">
      <c r="A2055" t="s">
        <v>157</v>
      </c>
      <c r="B2055" t="s">
        <v>92</v>
      </c>
      <c r="C2055">
        <v>2014</v>
      </c>
      <c r="D2055">
        <v>1.2</v>
      </c>
      <c r="E2055">
        <v>1.2</v>
      </c>
      <c r="F2055" t="str">
        <f t="shared" si="32"/>
        <v>petroleum</v>
      </c>
    </row>
    <row r="2056" spans="1:6" x14ac:dyDescent="0.25">
      <c r="A2056" t="s">
        <v>157</v>
      </c>
      <c r="B2056" t="s">
        <v>92</v>
      </c>
      <c r="C2056">
        <v>2015</v>
      </c>
      <c r="D2056">
        <v>0.4</v>
      </c>
      <c r="E2056">
        <v>0.4</v>
      </c>
      <c r="F2056" t="str">
        <f t="shared" si="32"/>
        <v>petroleum</v>
      </c>
    </row>
    <row r="2057" spans="1:6" x14ac:dyDescent="0.25">
      <c r="A2057" t="s">
        <v>157</v>
      </c>
      <c r="B2057" t="s">
        <v>249</v>
      </c>
      <c r="C2057">
        <v>2008</v>
      </c>
      <c r="D2057">
        <v>3.1</v>
      </c>
      <c r="E2057">
        <v>3</v>
      </c>
      <c r="F2057" t="str">
        <f t="shared" si="32"/>
        <v>solar pv</v>
      </c>
    </row>
    <row r="2058" spans="1:6" x14ac:dyDescent="0.25">
      <c r="A2058" t="s">
        <v>157</v>
      </c>
      <c r="B2058" t="s">
        <v>249</v>
      </c>
      <c r="C2058">
        <v>2010</v>
      </c>
      <c r="D2058">
        <v>13.24</v>
      </c>
      <c r="E2058">
        <v>16.100000000000001</v>
      </c>
      <c r="F2058" t="str">
        <f t="shared" si="32"/>
        <v>solar pv</v>
      </c>
    </row>
    <row r="2059" spans="1:6" x14ac:dyDescent="0.25">
      <c r="A2059" t="s">
        <v>157</v>
      </c>
      <c r="B2059" t="s">
        <v>249</v>
      </c>
      <c r="C2059">
        <v>2011</v>
      </c>
      <c r="D2059">
        <v>22.4</v>
      </c>
      <c r="E2059">
        <v>23.5</v>
      </c>
      <c r="F2059" t="str">
        <f t="shared" si="32"/>
        <v>solar pv</v>
      </c>
    </row>
    <row r="2060" spans="1:6" x14ac:dyDescent="0.25">
      <c r="A2060" t="s">
        <v>157</v>
      </c>
      <c r="B2060" t="s">
        <v>249</v>
      </c>
      <c r="C2060">
        <v>2012</v>
      </c>
      <c r="D2060">
        <v>93.4</v>
      </c>
      <c r="E2060">
        <v>94</v>
      </c>
      <c r="F2060" t="str">
        <f t="shared" si="32"/>
        <v>solar pv</v>
      </c>
    </row>
    <row r="2061" spans="1:6" x14ac:dyDescent="0.25">
      <c r="A2061" t="s">
        <v>157</v>
      </c>
      <c r="B2061" t="s">
        <v>249</v>
      </c>
      <c r="C2061">
        <v>2013</v>
      </c>
      <c r="D2061">
        <v>221.4</v>
      </c>
      <c r="E2061">
        <v>226</v>
      </c>
      <c r="F2061" t="str">
        <f t="shared" si="32"/>
        <v>solar pv</v>
      </c>
    </row>
    <row r="2062" spans="1:6" x14ac:dyDescent="0.25">
      <c r="A2062" t="s">
        <v>157</v>
      </c>
      <c r="B2062" t="s">
        <v>249</v>
      </c>
      <c r="C2062">
        <v>2014</v>
      </c>
      <c r="D2062">
        <v>375.5</v>
      </c>
      <c r="E2062">
        <v>383.7</v>
      </c>
      <c r="F2062" t="str">
        <f t="shared" si="32"/>
        <v>solar pv</v>
      </c>
    </row>
    <row r="2063" spans="1:6" x14ac:dyDescent="0.25">
      <c r="A2063" t="s">
        <v>157</v>
      </c>
      <c r="B2063" t="s">
        <v>249</v>
      </c>
      <c r="C2063">
        <v>2015</v>
      </c>
      <c r="D2063">
        <v>910.3</v>
      </c>
      <c r="E2063">
        <v>912.2</v>
      </c>
      <c r="F2063" t="str">
        <f t="shared" si="32"/>
        <v>solar pv</v>
      </c>
    </row>
    <row r="2064" spans="1:6" x14ac:dyDescent="0.25">
      <c r="A2064" t="s">
        <v>157</v>
      </c>
      <c r="B2064" t="s">
        <v>249</v>
      </c>
      <c r="C2064">
        <v>2016</v>
      </c>
      <c r="D2064">
        <v>766.9</v>
      </c>
      <c r="E2064">
        <v>766.3</v>
      </c>
      <c r="F2064" t="str">
        <f t="shared" si="32"/>
        <v>solar pv</v>
      </c>
    </row>
    <row r="2065" spans="1:6" x14ac:dyDescent="0.25">
      <c r="A2065" t="s">
        <v>157</v>
      </c>
      <c r="B2065" t="s">
        <v>249</v>
      </c>
      <c r="C2065">
        <v>2017</v>
      </c>
      <c r="D2065">
        <v>994.1</v>
      </c>
      <c r="E2065">
        <v>1002.1</v>
      </c>
      <c r="F2065" t="str">
        <f t="shared" si="32"/>
        <v>solar pv</v>
      </c>
    </row>
    <row r="2066" spans="1:6" x14ac:dyDescent="0.25">
      <c r="A2066" t="s">
        <v>157</v>
      </c>
      <c r="B2066" t="s">
        <v>249</v>
      </c>
      <c r="C2066">
        <v>2018</v>
      </c>
      <c r="D2066">
        <v>727</v>
      </c>
      <c r="E2066">
        <v>725.9</v>
      </c>
      <c r="F2066" t="str">
        <f t="shared" si="32"/>
        <v>solar pv</v>
      </c>
    </row>
    <row r="2067" spans="1:6" x14ac:dyDescent="0.25">
      <c r="A2067" t="s">
        <v>157</v>
      </c>
      <c r="B2067" t="s">
        <v>249</v>
      </c>
      <c r="C2067">
        <v>2019</v>
      </c>
      <c r="D2067">
        <v>505.7</v>
      </c>
      <c r="E2067">
        <v>506.4</v>
      </c>
      <c r="F2067" t="str">
        <f t="shared" si="32"/>
        <v>solar pv</v>
      </c>
    </row>
    <row r="2068" spans="1:6" x14ac:dyDescent="0.25">
      <c r="A2068" t="s">
        <v>157</v>
      </c>
      <c r="B2068" t="s">
        <v>249</v>
      </c>
      <c r="C2068">
        <v>2020</v>
      </c>
      <c r="D2068">
        <v>620.79999999999995</v>
      </c>
      <c r="E2068">
        <v>611.1</v>
      </c>
      <c r="F2068" t="str">
        <f t="shared" si="32"/>
        <v>solar pv</v>
      </c>
    </row>
    <row r="2069" spans="1:6" x14ac:dyDescent="0.25">
      <c r="A2069" t="s">
        <v>157</v>
      </c>
      <c r="B2069" t="s">
        <v>249</v>
      </c>
      <c r="C2069">
        <v>2021</v>
      </c>
      <c r="D2069">
        <v>607.6</v>
      </c>
      <c r="E2069">
        <v>607.6</v>
      </c>
      <c r="F2069" t="str">
        <f t="shared" si="32"/>
        <v>solar pv</v>
      </c>
    </row>
    <row r="2070" spans="1:6" x14ac:dyDescent="0.25">
      <c r="A2070" t="s">
        <v>157</v>
      </c>
      <c r="B2070" t="s">
        <v>249</v>
      </c>
      <c r="C2070">
        <v>2022</v>
      </c>
      <c r="D2070">
        <v>277.10000000000002</v>
      </c>
      <c r="E2070">
        <v>277.5</v>
      </c>
      <c r="F2070" t="str">
        <f t="shared" si="32"/>
        <v>solar pv</v>
      </c>
    </row>
    <row r="2071" spans="1:6" x14ac:dyDescent="0.25">
      <c r="A2071" t="s">
        <v>157</v>
      </c>
      <c r="B2071" t="s">
        <v>249</v>
      </c>
      <c r="C2071">
        <v>2023</v>
      </c>
      <c r="D2071">
        <v>525.79999999999995</v>
      </c>
      <c r="E2071">
        <v>525.79999999999995</v>
      </c>
      <c r="F2071" t="str">
        <f t="shared" si="32"/>
        <v>solar pv</v>
      </c>
    </row>
    <row r="2072" spans="1:6" x14ac:dyDescent="0.25">
      <c r="A2072" t="s">
        <v>157</v>
      </c>
      <c r="B2072" t="s">
        <v>249</v>
      </c>
      <c r="C2072">
        <v>2024</v>
      </c>
      <c r="D2072">
        <v>122.4</v>
      </c>
      <c r="E2072">
        <v>122.4</v>
      </c>
      <c r="F2072" t="str">
        <f t="shared" si="32"/>
        <v>solar pv</v>
      </c>
    </row>
    <row r="2073" spans="1:6" x14ac:dyDescent="0.25">
      <c r="A2073" t="s">
        <v>157</v>
      </c>
      <c r="B2073" t="s">
        <v>249</v>
      </c>
      <c r="C2073">
        <v>2025</v>
      </c>
      <c r="D2073">
        <v>246.41</v>
      </c>
      <c r="E2073">
        <v>244.3</v>
      </c>
      <c r="F2073" t="str">
        <f t="shared" si="32"/>
        <v>solar pv</v>
      </c>
    </row>
    <row r="2074" spans="1:6" x14ac:dyDescent="0.25">
      <c r="A2074" t="s">
        <v>159</v>
      </c>
      <c r="B2074" t="s">
        <v>81</v>
      </c>
      <c r="C2074">
        <v>1990</v>
      </c>
      <c r="D2074">
        <v>13.3</v>
      </c>
      <c r="E2074">
        <v>13.3</v>
      </c>
      <c r="F2074" t="str">
        <f t="shared" si="32"/>
        <v>hard coal</v>
      </c>
    </row>
    <row r="2075" spans="1:6" x14ac:dyDescent="0.25">
      <c r="A2075" t="s">
        <v>159</v>
      </c>
      <c r="B2075" t="s">
        <v>81</v>
      </c>
      <c r="C2075">
        <v>2000</v>
      </c>
      <c r="D2075">
        <v>2</v>
      </c>
      <c r="E2075">
        <v>2</v>
      </c>
      <c r="F2075" t="str">
        <f t="shared" si="32"/>
        <v>hard coal</v>
      </c>
    </row>
    <row r="2076" spans="1:6" x14ac:dyDescent="0.25">
      <c r="A2076" t="s">
        <v>159</v>
      </c>
      <c r="B2076" t="s">
        <v>93</v>
      </c>
      <c r="C2076">
        <v>2013</v>
      </c>
      <c r="D2076">
        <v>82</v>
      </c>
      <c r="E2076">
        <v>121</v>
      </c>
      <c r="F2076" t="str">
        <f t="shared" si="32"/>
        <v>natural gas peaker</v>
      </c>
    </row>
    <row r="2077" spans="1:6" x14ac:dyDescent="0.25">
      <c r="A2077" t="s">
        <v>159</v>
      </c>
      <c r="B2077" t="s">
        <v>93</v>
      </c>
      <c r="C2077">
        <v>2014</v>
      </c>
      <c r="D2077">
        <v>172</v>
      </c>
      <c r="E2077">
        <v>209</v>
      </c>
      <c r="F2077" t="str">
        <f t="shared" si="32"/>
        <v>natural gas peaker</v>
      </c>
    </row>
    <row r="2078" spans="1:6" x14ac:dyDescent="0.25">
      <c r="A2078" t="s">
        <v>159</v>
      </c>
      <c r="B2078" t="s">
        <v>93</v>
      </c>
      <c r="C2078">
        <v>2015</v>
      </c>
      <c r="D2078">
        <v>80</v>
      </c>
      <c r="E2078">
        <v>121</v>
      </c>
      <c r="F2078" t="str">
        <f t="shared" si="32"/>
        <v>natural gas peaker</v>
      </c>
    </row>
    <row r="2079" spans="1:6" x14ac:dyDescent="0.25">
      <c r="A2079" t="s">
        <v>159</v>
      </c>
      <c r="B2079" t="s">
        <v>93</v>
      </c>
      <c r="C2079">
        <v>2017</v>
      </c>
      <c r="D2079">
        <v>186.8</v>
      </c>
      <c r="E2079">
        <v>232.6</v>
      </c>
      <c r="F2079" t="str">
        <f t="shared" si="32"/>
        <v>natural gas peaker</v>
      </c>
    </row>
    <row r="2080" spans="1:6" x14ac:dyDescent="0.25">
      <c r="A2080" t="s">
        <v>159</v>
      </c>
      <c r="B2080" t="s">
        <v>93</v>
      </c>
      <c r="C2080">
        <v>2021</v>
      </c>
      <c r="D2080">
        <v>40</v>
      </c>
      <c r="E2080">
        <v>60.5</v>
      </c>
      <c r="F2080" t="str">
        <f t="shared" si="32"/>
        <v>natural gas peaker</v>
      </c>
    </row>
    <row r="2081" spans="1:6" x14ac:dyDescent="0.25">
      <c r="A2081" t="s">
        <v>159</v>
      </c>
      <c r="B2081" t="s">
        <v>93</v>
      </c>
      <c r="C2081">
        <v>2024</v>
      </c>
      <c r="D2081">
        <v>91.88</v>
      </c>
      <c r="E2081">
        <v>91.9</v>
      </c>
      <c r="F2081" t="str">
        <f t="shared" si="32"/>
        <v>natural gas peaker</v>
      </c>
    </row>
    <row r="2082" spans="1:6" x14ac:dyDescent="0.25">
      <c r="A2082" t="s">
        <v>159</v>
      </c>
      <c r="B2082" t="s">
        <v>93</v>
      </c>
      <c r="C2082">
        <v>2025</v>
      </c>
      <c r="D2082">
        <v>530.20000000000005</v>
      </c>
      <c r="E2082">
        <v>604.20000000000005</v>
      </c>
      <c r="F2082" t="str">
        <f t="shared" si="32"/>
        <v>natural gas peaker</v>
      </c>
    </row>
    <row r="2083" spans="1:6" x14ac:dyDescent="0.25">
      <c r="A2083" t="s">
        <v>159</v>
      </c>
      <c r="B2083" t="s">
        <v>83</v>
      </c>
      <c r="C2083">
        <v>2014</v>
      </c>
      <c r="D2083">
        <v>94.1</v>
      </c>
      <c r="E2083">
        <v>106.2</v>
      </c>
      <c r="F2083" t="str">
        <f t="shared" si="32"/>
        <v>natural gas steam turbine</v>
      </c>
    </row>
    <row r="2084" spans="1:6" x14ac:dyDescent="0.25">
      <c r="A2084" t="s">
        <v>159</v>
      </c>
      <c r="B2084" t="s">
        <v>87</v>
      </c>
      <c r="C2084">
        <v>2003</v>
      </c>
      <c r="D2084">
        <v>64.099999999999994</v>
      </c>
      <c r="E2084">
        <v>64.099999999999994</v>
      </c>
      <c r="F2084" t="str">
        <f t="shared" si="32"/>
        <v>onshore wind</v>
      </c>
    </row>
    <row r="2085" spans="1:6" x14ac:dyDescent="0.25">
      <c r="A2085" t="s">
        <v>159</v>
      </c>
      <c r="B2085" t="s">
        <v>87</v>
      </c>
      <c r="C2085">
        <v>2005</v>
      </c>
      <c r="D2085">
        <v>43.4</v>
      </c>
      <c r="E2085">
        <v>43.4</v>
      </c>
      <c r="F2085" t="str">
        <f t="shared" si="32"/>
        <v>onshore wind</v>
      </c>
    </row>
    <row r="2086" spans="1:6" x14ac:dyDescent="0.25">
      <c r="A2086" t="s">
        <v>159</v>
      </c>
      <c r="B2086" t="s">
        <v>87</v>
      </c>
      <c r="C2086">
        <v>2006</v>
      </c>
      <c r="D2086">
        <v>68.599999999999994</v>
      </c>
      <c r="E2086">
        <v>68.599999999999994</v>
      </c>
      <c r="F2086" t="str">
        <f t="shared" si="32"/>
        <v>onshore wind</v>
      </c>
    </row>
    <row r="2087" spans="1:6" x14ac:dyDescent="0.25">
      <c r="A2087" t="s">
        <v>159</v>
      </c>
      <c r="B2087" t="s">
        <v>87</v>
      </c>
      <c r="C2087">
        <v>2007</v>
      </c>
      <c r="D2087">
        <v>207</v>
      </c>
      <c r="E2087">
        <v>207</v>
      </c>
      <c r="F2087" t="str">
        <f t="shared" si="32"/>
        <v>onshore wind</v>
      </c>
    </row>
    <row r="2088" spans="1:6" x14ac:dyDescent="0.25">
      <c r="A2088" t="s">
        <v>159</v>
      </c>
      <c r="B2088" t="s">
        <v>87</v>
      </c>
      <c r="C2088">
        <v>2008</v>
      </c>
      <c r="D2088">
        <v>417</v>
      </c>
      <c r="E2088">
        <v>417</v>
      </c>
      <c r="F2088" t="str">
        <f t="shared" si="32"/>
        <v>onshore wind</v>
      </c>
    </row>
    <row r="2089" spans="1:6" x14ac:dyDescent="0.25">
      <c r="A2089" t="s">
        <v>159</v>
      </c>
      <c r="B2089" t="s">
        <v>87</v>
      </c>
      <c r="C2089">
        <v>2009</v>
      </c>
      <c r="D2089">
        <v>488</v>
      </c>
      <c r="E2089">
        <v>488</v>
      </c>
      <c r="F2089" t="str">
        <f t="shared" si="32"/>
        <v>onshore wind</v>
      </c>
    </row>
    <row r="2090" spans="1:6" x14ac:dyDescent="0.25">
      <c r="A2090" t="s">
        <v>159</v>
      </c>
      <c r="B2090" t="s">
        <v>87</v>
      </c>
      <c r="C2090">
        <v>2010</v>
      </c>
      <c r="D2090">
        <v>221.1</v>
      </c>
      <c r="E2090">
        <v>221.1</v>
      </c>
      <c r="F2090" t="str">
        <f t="shared" si="32"/>
        <v>onshore wind</v>
      </c>
    </row>
    <row r="2091" spans="1:6" x14ac:dyDescent="0.25">
      <c r="A2091" t="s">
        <v>159</v>
      </c>
      <c r="B2091" t="s">
        <v>87</v>
      </c>
      <c r="C2091">
        <v>2012</v>
      </c>
      <c r="D2091">
        <v>255</v>
      </c>
      <c r="E2091">
        <v>255</v>
      </c>
      <c r="F2091" t="str">
        <f t="shared" si="32"/>
        <v>onshore wind</v>
      </c>
    </row>
    <row r="2092" spans="1:6" x14ac:dyDescent="0.25">
      <c r="A2092" t="s">
        <v>159</v>
      </c>
      <c r="B2092" t="s">
        <v>87</v>
      </c>
      <c r="C2092">
        <v>2015</v>
      </c>
      <c r="D2092">
        <v>459.3</v>
      </c>
      <c r="E2092">
        <v>462.5</v>
      </c>
      <c r="F2092" t="str">
        <f t="shared" si="32"/>
        <v>onshore wind</v>
      </c>
    </row>
    <row r="2093" spans="1:6" x14ac:dyDescent="0.25">
      <c r="A2093" t="s">
        <v>159</v>
      </c>
      <c r="B2093" t="s">
        <v>87</v>
      </c>
      <c r="C2093">
        <v>2016</v>
      </c>
      <c r="D2093">
        <v>604</v>
      </c>
      <c r="E2093">
        <v>604</v>
      </c>
      <c r="F2093" t="str">
        <f t="shared" si="32"/>
        <v>onshore wind</v>
      </c>
    </row>
    <row r="2094" spans="1:6" x14ac:dyDescent="0.25">
      <c r="A2094" t="s">
        <v>159</v>
      </c>
      <c r="B2094" t="s">
        <v>87</v>
      </c>
      <c r="C2094">
        <v>2017</v>
      </c>
      <c r="D2094">
        <v>249.3</v>
      </c>
      <c r="E2094">
        <v>249.3</v>
      </c>
      <c r="F2094" t="str">
        <f t="shared" si="32"/>
        <v>onshore wind</v>
      </c>
    </row>
    <row r="2095" spans="1:6" x14ac:dyDescent="0.25">
      <c r="A2095" t="s">
        <v>159</v>
      </c>
      <c r="B2095" t="s">
        <v>87</v>
      </c>
      <c r="C2095">
        <v>2018</v>
      </c>
      <c r="D2095">
        <v>148</v>
      </c>
      <c r="E2095">
        <v>148</v>
      </c>
      <c r="F2095" t="str">
        <f t="shared" si="32"/>
        <v>onshore wind</v>
      </c>
    </row>
    <row r="2096" spans="1:6" x14ac:dyDescent="0.25">
      <c r="A2096" t="s">
        <v>159</v>
      </c>
      <c r="B2096" t="s">
        <v>87</v>
      </c>
      <c r="C2096">
        <v>2019</v>
      </c>
      <c r="D2096">
        <v>306.7</v>
      </c>
      <c r="E2096">
        <v>306.7</v>
      </c>
      <c r="F2096" t="str">
        <f t="shared" si="32"/>
        <v>onshore wind</v>
      </c>
    </row>
    <row r="2097" spans="1:6" x14ac:dyDescent="0.25">
      <c r="A2097" t="s">
        <v>159</v>
      </c>
      <c r="B2097" t="s">
        <v>87</v>
      </c>
      <c r="C2097">
        <v>2020</v>
      </c>
      <c r="D2097">
        <v>499.4</v>
      </c>
      <c r="E2097">
        <v>499.4</v>
      </c>
      <c r="F2097" t="str">
        <f t="shared" si="32"/>
        <v>onshore wind</v>
      </c>
    </row>
    <row r="2098" spans="1:6" x14ac:dyDescent="0.25">
      <c r="A2098" t="s">
        <v>159</v>
      </c>
      <c r="B2098" t="s">
        <v>87</v>
      </c>
      <c r="C2098">
        <v>2021</v>
      </c>
      <c r="D2098">
        <v>298.8</v>
      </c>
      <c r="E2098">
        <v>298.8</v>
      </c>
      <c r="F2098" t="str">
        <f t="shared" si="32"/>
        <v>onshore wind</v>
      </c>
    </row>
    <row r="2099" spans="1:6" x14ac:dyDescent="0.25">
      <c r="A2099" t="s">
        <v>159</v>
      </c>
      <c r="B2099" t="s">
        <v>87</v>
      </c>
      <c r="C2099">
        <v>2024</v>
      </c>
      <c r="D2099">
        <v>198.8</v>
      </c>
      <c r="E2099">
        <v>198.8</v>
      </c>
      <c r="F2099" t="str">
        <f t="shared" si="32"/>
        <v>onshore wind</v>
      </c>
    </row>
    <row r="2100" spans="1:6" x14ac:dyDescent="0.25">
      <c r="A2100" t="s">
        <v>159</v>
      </c>
      <c r="B2100" t="s">
        <v>87</v>
      </c>
      <c r="C2100">
        <v>2025</v>
      </c>
      <c r="D2100">
        <v>200</v>
      </c>
      <c r="E2100">
        <v>200</v>
      </c>
      <c r="F2100" t="str">
        <f t="shared" si="32"/>
        <v>onshore wind</v>
      </c>
    </row>
    <row r="2101" spans="1:6" x14ac:dyDescent="0.25">
      <c r="A2101" t="s">
        <v>159</v>
      </c>
      <c r="B2101" t="s">
        <v>92</v>
      </c>
      <c r="C2101">
        <v>1996</v>
      </c>
      <c r="D2101">
        <v>1</v>
      </c>
      <c r="E2101">
        <v>1</v>
      </c>
      <c r="F2101" t="str">
        <f t="shared" si="32"/>
        <v>petroleum</v>
      </c>
    </row>
    <row r="2102" spans="1:6" x14ac:dyDescent="0.25">
      <c r="A2102" t="s">
        <v>159</v>
      </c>
      <c r="B2102" t="s">
        <v>92</v>
      </c>
      <c r="C2102">
        <v>2000</v>
      </c>
      <c r="D2102">
        <v>1.5</v>
      </c>
      <c r="E2102">
        <v>1.5</v>
      </c>
      <c r="F2102" t="str">
        <f t="shared" si="32"/>
        <v>petroleum</v>
      </c>
    </row>
    <row r="2103" spans="1:6" x14ac:dyDescent="0.25">
      <c r="A2103" t="s">
        <v>159</v>
      </c>
      <c r="B2103" t="s">
        <v>92</v>
      </c>
      <c r="C2103">
        <v>2001</v>
      </c>
      <c r="D2103">
        <v>2</v>
      </c>
      <c r="E2103">
        <v>2</v>
      </c>
      <c r="F2103" t="str">
        <f t="shared" si="32"/>
        <v>petroleum</v>
      </c>
    </row>
    <row r="2104" spans="1:6" x14ac:dyDescent="0.25">
      <c r="A2104" t="s">
        <v>159</v>
      </c>
      <c r="B2104" t="s">
        <v>92</v>
      </c>
      <c r="C2104">
        <v>2002</v>
      </c>
      <c r="D2104">
        <v>4</v>
      </c>
      <c r="E2104">
        <v>4</v>
      </c>
      <c r="F2104" t="str">
        <f t="shared" si="32"/>
        <v>petroleum</v>
      </c>
    </row>
    <row r="2105" spans="1:6" x14ac:dyDescent="0.25">
      <c r="A2105" t="s">
        <v>159</v>
      </c>
      <c r="B2105" t="s">
        <v>92</v>
      </c>
      <c r="C2105">
        <v>2016</v>
      </c>
      <c r="D2105">
        <v>6</v>
      </c>
      <c r="E2105">
        <v>6</v>
      </c>
      <c r="F2105" t="str">
        <f t="shared" si="32"/>
        <v>petroleum</v>
      </c>
    </row>
    <row r="2106" spans="1:6" x14ac:dyDescent="0.25">
      <c r="A2106" t="s">
        <v>161</v>
      </c>
      <c r="B2106" t="s">
        <v>90</v>
      </c>
      <c r="C2106">
        <v>2001</v>
      </c>
      <c r="D2106">
        <v>1</v>
      </c>
      <c r="E2106">
        <v>1</v>
      </c>
      <c r="F2106" t="str">
        <f t="shared" si="32"/>
        <v>biomass</v>
      </c>
    </row>
    <row r="2107" spans="1:6" x14ac:dyDescent="0.25">
      <c r="A2107" t="s">
        <v>161</v>
      </c>
      <c r="B2107" t="s">
        <v>90</v>
      </c>
      <c r="C2107">
        <v>2002</v>
      </c>
      <c r="D2107">
        <v>3.1</v>
      </c>
      <c r="E2107">
        <v>3.2</v>
      </c>
      <c r="F2107" t="str">
        <f t="shared" si="32"/>
        <v>biomass</v>
      </c>
    </row>
    <row r="2108" spans="1:6" x14ac:dyDescent="0.25">
      <c r="A2108" t="s">
        <v>161</v>
      </c>
      <c r="B2108" t="s">
        <v>90</v>
      </c>
      <c r="C2108">
        <v>2006</v>
      </c>
      <c r="D2108">
        <v>3.2</v>
      </c>
      <c r="E2108">
        <v>3.2</v>
      </c>
      <c r="F2108" t="str">
        <f t="shared" si="32"/>
        <v>biomass</v>
      </c>
    </row>
    <row r="2109" spans="1:6" x14ac:dyDescent="0.25">
      <c r="A2109" t="s">
        <v>161</v>
      </c>
      <c r="B2109" t="s">
        <v>90</v>
      </c>
      <c r="C2109">
        <v>2014</v>
      </c>
      <c r="D2109">
        <v>4.8</v>
      </c>
      <c r="E2109">
        <v>4.8</v>
      </c>
      <c r="F2109" t="str">
        <f t="shared" si="32"/>
        <v>biomass</v>
      </c>
    </row>
    <row r="2110" spans="1:6" x14ac:dyDescent="0.25">
      <c r="A2110" t="s">
        <v>161</v>
      </c>
      <c r="B2110" t="s">
        <v>81</v>
      </c>
      <c r="C2110">
        <v>2009</v>
      </c>
      <c r="D2110">
        <v>687.2</v>
      </c>
      <c r="E2110">
        <v>738</v>
      </c>
      <c r="F2110" t="str">
        <f t="shared" si="32"/>
        <v>hard coal</v>
      </c>
    </row>
    <row r="2111" spans="1:6" x14ac:dyDescent="0.25">
      <c r="A2111" t="s">
        <v>161</v>
      </c>
      <c r="B2111" t="s">
        <v>81</v>
      </c>
      <c r="C2111">
        <v>2010</v>
      </c>
      <c r="D2111">
        <v>61</v>
      </c>
      <c r="E2111">
        <v>71.400000000000006</v>
      </c>
      <c r="F2111" t="str">
        <f t="shared" si="32"/>
        <v>hard coal</v>
      </c>
    </row>
    <row r="2112" spans="1:6" x14ac:dyDescent="0.25">
      <c r="A2112" t="s">
        <v>161</v>
      </c>
      <c r="B2112" t="s">
        <v>81</v>
      </c>
      <c r="C2112">
        <v>2011</v>
      </c>
      <c r="D2112">
        <v>220</v>
      </c>
      <c r="E2112">
        <v>248</v>
      </c>
      <c r="F2112" t="str">
        <f t="shared" si="32"/>
        <v>hard coal</v>
      </c>
    </row>
    <row r="2113" spans="1:6" x14ac:dyDescent="0.25">
      <c r="A2113" t="s">
        <v>161</v>
      </c>
      <c r="B2113" t="s">
        <v>84</v>
      </c>
      <c r="C2113">
        <v>2003</v>
      </c>
      <c r="D2113">
        <v>47.3</v>
      </c>
      <c r="E2113">
        <v>60.5</v>
      </c>
      <c r="F2113" t="str">
        <f t="shared" si="32"/>
        <v>natural gas combined cycle</v>
      </c>
    </row>
    <row r="2114" spans="1:6" x14ac:dyDescent="0.25">
      <c r="A2114" t="s">
        <v>161</v>
      </c>
      <c r="B2114" t="s">
        <v>84</v>
      </c>
      <c r="C2114">
        <v>2004</v>
      </c>
      <c r="D2114">
        <v>74.5</v>
      </c>
      <c r="E2114">
        <v>88.7</v>
      </c>
      <c r="F2114" t="str">
        <f t="shared" ref="F2114:F2177" si="33">LOWER($B2114)</f>
        <v>natural gas combined cycle</v>
      </c>
    </row>
    <row r="2115" spans="1:6" x14ac:dyDescent="0.25">
      <c r="A2115" t="s">
        <v>161</v>
      </c>
      <c r="B2115" t="s">
        <v>84</v>
      </c>
      <c r="C2115">
        <v>2005</v>
      </c>
      <c r="D2115">
        <v>219.5</v>
      </c>
      <c r="E2115">
        <v>247.1</v>
      </c>
      <c r="F2115" t="str">
        <f t="shared" si="33"/>
        <v>natural gas combined cycle</v>
      </c>
    </row>
    <row r="2116" spans="1:6" x14ac:dyDescent="0.25">
      <c r="A2116" t="s">
        <v>161</v>
      </c>
      <c r="B2116" t="s">
        <v>93</v>
      </c>
      <c r="C2116">
        <v>1992</v>
      </c>
      <c r="D2116">
        <v>1.1000000000000001</v>
      </c>
      <c r="E2116">
        <v>1.3</v>
      </c>
      <c r="F2116" t="str">
        <f t="shared" si="33"/>
        <v>natural gas peaker</v>
      </c>
    </row>
    <row r="2117" spans="1:6" x14ac:dyDescent="0.25">
      <c r="A2117" t="s">
        <v>161</v>
      </c>
      <c r="B2117" t="s">
        <v>93</v>
      </c>
      <c r="C2117">
        <v>1993</v>
      </c>
      <c r="D2117">
        <v>6.1</v>
      </c>
      <c r="E2117">
        <v>6.1</v>
      </c>
      <c r="F2117" t="str">
        <f t="shared" si="33"/>
        <v>natural gas peaker</v>
      </c>
    </row>
    <row r="2118" spans="1:6" x14ac:dyDescent="0.25">
      <c r="A2118" t="s">
        <v>161</v>
      </c>
      <c r="B2118" t="s">
        <v>93</v>
      </c>
      <c r="C2118">
        <v>1996</v>
      </c>
      <c r="D2118">
        <v>106.6</v>
      </c>
      <c r="E2118">
        <v>106.3</v>
      </c>
      <c r="F2118" t="str">
        <f t="shared" si="33"/>
        <v>natural gas peaker</v>
      </c>
    </row>
    <row r="2119" spans="1:6" x14ac:dyDescent="0.25">
      <c r="A2119" t="s">
        <v>161</v>
      </c>
      <c r="B2119" t="s">
        <v>93</v>
      </c>
      <c r="C2119">
        <v>1997</v>
      </c>
      <c r="D2119">
        <v>90.3</v>
      </c>
      <c r="E2119">
        <v>95.4</v>
      </c>
      <c r="F2119" t="str">
        <f t="shared" si="33"/>
        <v>natural gas peaker</v>
      </c>
    </row>
    <row r="2120" spans="1:6" x14ac:dyDescent="0.25">
      <c r="A2120" t="s">
        <v>161</v>
      </c>
      <c r="B2120" t="s">
        <v>93</v>
      </c>
      <c r="C2120">
        <v>1998</v>
      </c>
      <c r="D2120">
        <v>8</v>
      </c>
      <c r="E2120">
        <v>9</v>
      </c>
      <c r="F2120" t="str">
        <f t="shared" si="33"/>
        <v>natural gas peaker</v>
      </c>
    </row>
    <row r="2121" spans="1:6" x14ac:dyDescent="0.25">
      <c r="A2121" t="s">
        <v>161</v>
      </c>
      <c r="B2121" t="s">
        <v>93</v>
      </c>
      <c r="C2121">
        <v>2000</v>
      </c>
      <c r="D2121">
        <v>93.9</v>
      </c>
      <c r="E2121">
        <v>117.8</v>
      </c>
      <c r="F2121" t="str">
        <f t="shared" si="33"/>
        <v>natural gas peaker</v>
      </c>
    </row>
    <row r="2122" spans="1:6" x14ac:dyDescent="0.25">
      <c r="A2122" t="s">
        <v>161</v>
      </c>
      <c r="B2122" t="s">
        <v>93</v>
      </c>
      <c r="C2122">
        <v>2001</v>
      </c>
      <c r="D2122">
        <v>94.5</v>
      </c>
      <c r="E2122">
        <v>95.4</v>
      </c>
      <c r="F2122" t="str">
        <f t="shared" si="33"/>
        <v>natural gas peaker</v>
      </c>
    </row>
    <row r="2123" spans="1:6" x14ac:dyDescent="0.25">
      <c r="A2123" t="s">
        <v>161</v>
      </c>
      <c r="B2123" t="s">
        <v>93</v>
      </c>
      <c r="C2123">
        <v>2003</v>
      </c>
      <c r="D2123">
        <v>477.4</v>
      </c>
      <c r="E2123">
        <v>572.29999999999995</v>
      </c>
      <c r="F2123" t="str">
        <f t="shared" si="33"/>
        <v>natural gas peaker</v>
      </c>
    </row>
    <row r="2124" spans="1:6" x14ac:dyDescent="0.25">
      <c r="A2124" t="s">
        <v>161</v>
      </c>
      <c r="B2124" t="s">
        <v>93</v>
      </c>
      <c r="C2124">
        <v>2018</v>
      </c>
      <c r="D2124">
        <v>9.3000000000000007</v>
      </c>
      <c r="E2124">
        <v>9.3000000000000007</v>
      </c>
      <c r="F2124" t="str">
        <f t="shared" si="33"/>
        <v>natural gas peaker</v>
      </c>
    </row>
    <row r="2125" spans="1:6" x14ac:dyDescent="0.25">
      <c r="A2125" t="s">
        <v>161</v>
      </c>
      <c r="B2125" t="s">
        <v>93</v>
      </c>
      <c r="C2125">
        <v>2025</v>
      </c>
      <c r="D2125">
        <v>593.4</v>
      </c>
      <c r="E2125">
        <v>690.9</v>
      </c>
      <c r="F2125" t="str">
        <f t="shared" si="33"/>
        <v>natural gas peaker</v>
      </c>
    </row>
    <row r="2126" spans="1:6" x14ac:dyDescent="0.25">
      <c r="A2126" t="s">
        <v>161</v>
      </c>
      <c r="B2126" t="s">
        <v>83</v>
      </c>
      <c r="C2126">
        <v>2023</v>
      </c>
      <c r="D2126">
        <v>5.6</v>
      </c>
      <c r="E2126">
        <v>7.1</v>
      </c>
      <c r="F2126" t="str">
        <f t="shared" si="33"/>
        <v>natural gas steam turbine</v>
      </c>
    </row>
    <row r="2127" spans="1:6" x14ac:dyDescent="0.25">
      <c r="A2127" t="s">
        <v>161</v>
      </c>
      <c r="B2127" t="s">
        <v>87</v>
      </c>
      <c r="C2127">
        <v>1998</v>
      </c>
      <c r="D2127">
        <v>2.1</v>
      </c>
      <c r="E2127">
        <v>2</v>
      </c>
      <c r="F2127" t="str">
        <f t="shared" si="33"/>
        <v>onshore wind</v>
      </c>
    </row>
    <row r="2128" spans="1:6" x14ac:dyDescent="0.25">
      <c r="A2128" t="s">
        <v>161</v>
      </c>
      <c r="B2128" t="s">
        <v>87</v>
      </c>
      <c r="C2128">
        <v>1999</v>
      </c>
      <c r="D2128">
        <v>0.7</v>
      </c>
      <c r="E2128">
        <v>0.6</v>
      </c>
      <c r="F2128" t="str">
        <f t="shared" si="33"/>
        <v>onshore wind</v>
      </c>
    </row>
    <row r="2129" spans="1:6" x14ac:dyDescent="0.25">
      <c r="A2129" t="s">
        <v>161</v>
      </c>
      <c r="B2129" t="s">
        <v>87</v>
      </c>
      <c r="C2129">
        <v>2002</v>
      </c>
      <c r="D2129">
        <v>10.5</v>
      </c>
      <c r="E2129">
        <v>10.5</v>
      </c>
      <c r="F2129" t="str">
        <f t="shared" si="33"/>
        <v>onshore wind</v>
      </c>
    </row>
    <row r="2130" spans="1:6" x14ac:dyDescent="0.25">
      <c r="A2130" t="s">
        <v>161</v>
      </c>
      <c r="B2130" t="s">
        <v>87</v>
      </c>
      <c r="C2130">
        <v>2005</v>
      </c>
      <c r="D2130">
        <v>59.4</v>
      </c>
      <c r="E2130">
        <v>59.4</v>
      </c>
      <c r="F2130" t="str">
        <f t="shared" si="33"/>
        <v>onshore wind</v>
      </c>
    </row>
    <row r="2131" spans="1:6" x14ac:dyDescent="0.25">
      <c r="A2131" t="s">
        <v>161</v>
      </c>
      <c r="B2131" t="s">
        <v>87</v>
      </c>
      <c r="C2131">
        <v>2009</v>
      </c>
      <c r="D2131">
        <v>81</v>
      </c>
      <c r="E2131">
        <v>81</v>
      </c>
      <c r="F2131" t="str">
        <f t="shared" si="33"/>
        <v>onshore wind</v>
      </c>
    </row>
    <row r="2132" spans="1:6" x14ac:dyDescent="0.25">
      <c r="A2132" t="s">
        <v>161</v>
      </c>
      <c r="B2132" t="s">
        <v>87</v>
      </c>
      <c r="C2132">
        <v>2010</v>
      </c>
      <c r="D2132">
        <v>60</v>
      </c>
      <c r="E2132">
        <v>60</v>
      </c>
      <c r="F2132" t="str">
        <f t="shared" si="33"/>
        <v>onshore wind</v>
      </c>
    </row>
    <row r="2133" spans="1:6" x14ac:dyDescent="0.25">
      <c r="A2133" t="s">
        <v>161</v>
      </c>
      <c r="B2133" t="s">
        <v>87</v>
      </c>
      <c r="C2133">
        <v>2011</v>
      </c>
      <c r="D2133">
        <v>123.4</v>
      </c>
      <c r="E2133">
        <v>123.4</v>
      </c>
      <c r="F2133" t="str">
        <f t="shared" si="33"/>
        <v>onshore wind</v>
      </c>
    </row>
    <row r="2134" spans="1:6" x14ac:dyDescent="0.25">
      <c r="A2134" t="s">
        <v>161</v>
      </c>
      <c r="B2134" t="s">
        <v>87</v>
      </c>
      <c r="C2134">
        <v>2012</v>
      </c>
      <c r="D2134">
        <v>119.9</v>
      </c>
      <c r="E2134">
        <v>119.9</v>
      </c>
      <c r="F2134" t="str">
        <f t="shared" si="33"/>
        <v>onshore wind</v>
      </c>
    </row>
    <row r="2135" spans="1:6" x14ac:dyDescent="0.25">
      <c r="A2135" t="s">
        <v>161</v>
      </c>
      <c r="B2135" t="s">
        <v>87</v>
      </c>
      <c r="C2135">
        <v>2013</v>
      </c>
      <c r="D2135">
        <v>78.8</v>
      </c>
      <c r="E2135">
        <v>78.8</v>
      </c>
      <c r="F2135" t="str">
        <f t="shared" si="33"/>
        <v>onshore wind</v>
      </c>
    </row>
    <row r="2136" spans="1:6" x14ac:dyDescent="0.25">
      <c r="A2136" t="s">
        <v>161</v>
      </c>
      <c r="B2136" t="s">
        <v>87</v>
      </c>
      <c r="C2136">
        <v>2014</v>
      </c>
      <c r="D2136">
        <v>286.22000000000003</v>
      </c>
      <c r="E2136">
        <v>281.5</v>
      </c>
      <c r="F2136" t="str">
        <f t="shared" si="33"/>
        <v>onshore wind</v>
      </c>
    </row>
    <row r="2137" spans="1:6" x14ac:dyDescent="0.25">
      <c r="A2137" t="s">
        <v>161</v>
      </c>
      <c r="B2137" t="s">
        <v>87</v>
      </c>
      <c r="C2137">
        <v>2015</v>
      </c>
      <c r="D2137">
        <v>80.2</v>
      </c>
      <c r="E2137">
        <v>80.2</v>
      </c>
      <c r="F2137" t="str">
        <f t="shared" si="33"/>
        <v>onshore wind</v>
      </c>
    </row>
    <row r="2138" spans="1:6" x14ac:dyDescent="0.25">
      <c r="A2138" t="s">
        <v>161</v>
      </c>
      <c r="B2138" t="s">
        <v>87</v>
      </c>
      <c r="C2138">
        <v>2016</v>
      </c>
      <c r="D2138">
        <v>437.5</v>
      </c>
      <c r="E2138">
        <v>437.5</v>
      </c>
      <c r="F2138" t="str">
        <f t="shared" si="33"/>
        <v>onshore wind</v>
      </c>
    </row>
    <row r="2139" spans="1:6" x14ac:dyDescent="0.25">
      <c r="A2139" t="s">
        <v>161</v>
      </c>
      <c r="B2139" t="s">
        <v>87</v>
      </c>
      <c r="C2139">
        <v>2017</v>
      </c>
      <c r="D2139">
        <v>98.3</v>
      </c>
      <c r="E2139">
        <v>98.3</v>
      </c>
      <c r="F2139" t="str">
        <f t="shared" si="33"/>
        <v>onshore wind</v>
      </c>
    </row>
    <row r="2140" spans="1:6" x14ac:dyDescent="0.25">
      <c r="A2140" t="s">
        <v>161</v>
      </c>
      <c r="B2140" t="s">
        <v>87</v>
      </c>
      <c r="C2140">
        <v>2018</v>
      </c>
      <c r="D2140">
        <v>560</v>
      </c>
      <c r="E2140">
        <v>560</v>
      </c>
      <c r="F2140" t="str">
        <f t="shared" si="33"/>
        <v>onshore wind</v>
      </c>
    </row>
    <row r="2141" spans="1:6" x14ac:dyDescent="0.25">
      <c r="A2141" t="s">
        <v>161</v>
      </c>
      <c r="B2141" t="s">
        <v>87</v>
      </c>
      <c r="C2141">
        <v>2019</v>
      </c>
      <c r="D2141">
        <v>162.5</v>
      </c>
      <c r="E2141">
        <v>162.5</v>
      </c>
      <c r="F2141" t="str">
        <f t="shared" si="33"/>
        <v>onshore wind</v>
      </c>
    </row>
    <row r="2142" spans="1:6" x14ac:dyDescent="0.25">
      <c r="A2142" t="s">
        <v>161</v>
      </c>
      <c r="B2142" t="s">
        <v>87</v>
      </c>
      <c r="C2142">
        <v>2020</v>
      </c>
      <c r="D2142">
        <v>395</v>
      </c>
      <c r="E2142">
        <v>395</v>
      </c>
      <c r="F2142" t="str">
        <f t="shared" si="33"/>
        <v>onshore wind</v>
      </c>
    </row>
    <row r="2143" spans="1:6" x14ac:dyDescent="0.25">
      <c r="A2143" t="s">
        <v>161</v>
      </c>
      <c r="B2143" t="s">
        <v>87</v>
      </c>
      <c r="C2143">
        <v>2021</v>
      </c>
      <c r="D2143">
        <v>385.7</v>
      </c>
      <c r="E2143">
        <v>385.7</v>
      </c>
      <c r="F2143" t="str">
        <f t="shared" si="33"/>
        <v>onshore wind</v>
      </c>
    </row>
    <row r="2144" spans="1:6" x14ac:dyDescent="0.25">
      <c r="A2144" t="s">
        <v>161</v>
      </c>
      <c r="B2144" t="s">
        <v>87</v>
      </c>
      <c r="C2144">
        <v>2022</v>
      </c>
      <c r="D2144">
        <v>603.6</v>
      </c>
      <c r="E2144">
        <v>603.6</v>
      </c>
      <c r="F2144" t="str">
        <f t="shared" si="33"/>
        <v>onshore wind</v>
      </c>
    </row>
    <row r="2145" spans="1:6" x14ac:dyDescent="0.25">
      <c r="A2145" t="s">
        <v>161</v>
      </c>
      <c r="B2145" t="s">
        <v>92</v>
      </c>
      <c r="C2145">
        <v>1994</v>
      </c>
      <c r="D2145">
        <v>0.5</v>
      </c>
      <c r="E2145">
        <v>0.5</v>
      </c>
      <c r="F2145" t="str">
        <f t="shared" si="33"/>
        <v>petroleum</v>
      </c>
    </row>
    <row r="2146" spans="1:6" x14ac:dyDescent="0.25">
      <c r="A2146" t="s">
        <v>161</v>
      </c>
      <c r="B2146" t="s">
        <v>92</v>
      </c>
      <c r="C2146">
        <v>1996</v>
      </c>
      <c r="D2146">
        <v>8.9</v>
      </c>
      <c r="E2146">
        <v>9.9</v>
      </c>
      <c r="F2146" t="str">
        <f t="shared" si="33"/>
        <v>petroleum</v>
      </c>
    </row>
    <row r="2147" spans="1:6" x14ac:dyDescent="0.25">
      <c r="A2147" t="s">
        <v>161</v>
      </c>
      <c r="B2147" t="s">
        <v>92</v>
      </c>
      <c r="C2147">
        <v>1997</v>
      </c>
      <c r="D2147">
        <v>8.4</v>
      </c>
      <c r="E2147">
        <v>8.3000000000000007</v>
      </c>
      <c r="F2147" t="str">
        <f t="shared" si="33"/>
        <v>petroleum</v>
      </c>
    </row>
    <row r="2148" spans="1:6" x14ac:dyDescent="0.25">
      <c r="A2148" t="s">
        <v>161</v>
      </c>
      <c r="B2148" t="s">
        <v>92</v>
      </c>
      <c r="C2148">
        <v>1998</v>
      </c>
      <c r="D2148">
        <v>10.8</v>
      </c>
      <c r="E2148">
        <v>11.5</v>
      </c>
      <c r="F2148" t="str">
        <f t="shared" si="33"/>
        <v>petroleum</v>
      </c>
    </row>
    <row r="2149" spans="1:6" x14ac:dyDescent="0.25">
      <c r="A2149" t="s">
        <v>161</v>
      </c>
      <c r="B2149" t="s">
        <v>92</v>
      </c>
      <c r="C2149">
        <v>1999</v>
      </c>
      <c r="D2149">
        <v>1.1000000000000001</v>
      </c>
      <c r="E2149">
        <v>1.1000000000000001</v>
      </c>
      <c r="F2149" t="str">
        <f t="shared" si="33"/>
        <v>petroleum</v>
      </c>
    </row>
    <row r="2150" spans="1:6" x14ac:dyDescent="0.25">
      <c r="A2150" t="s">
        <v>161</v>
      </c>
      <c r="B2150" t="s">
        <v>92</v>
      </c>
      <c r="C2150">
        <v>2001</v>
      </c>
      <c r="D2150">
        <v>0.3</v>
      </c>
      <c r="E2150">
        <v>0.3</v>
      </c>
      <c r="F2150" t="str">
        <f t="shared" si="33"/>
        <v>petroleum</v>
      </c>
    </row>
    <row r="2151" spans="1:6" x14ac:dyDescent="0.25">
      <c r="A2151" t="s">
        <v>161</v>
      </c>
      <c r="B2151" t="s">
        <v>92</v>
      </c>
      <c r="C2151">
        <v>2004</v>
      </c>
      <c r="D2151">
        <v>1.6</v>
      </c>
      <c r="E2151">
        <v>1.8</v>
      </c>
      <c r="F2151" t="str">
        <f t="shared" si="33"/>
        <v>petroleum</v>
      </c>
    </row>
    <row r="2152" spans="1:6" x14ac:dyDescent="0.25">
      <c r="A2152" t="s">
        <v>161</v>
      </c>
      <c r="B2152" t="s">
        <v>92</v>
      </c>
      <c r="C2152">
        <v>2005</v>
      </c>
      <c r="D2152">
        <v>4</v>
      </c>
      <c r="E2152">
        <v>4</v>
      </c>
      <c r="F2152" t="str">
        <f t="shared" si="33"/>
        <v>petroleum</v>
      </c>
    </row>
    <row r="2153" spans="1:6" x14ac:dyDescent="0.25">
      <c r="A2153" t="s">
        <v>161</v>
      </c>
      <c r="B2153" t="s">
        <v>92</v>
      </c>
      <c r="C2153">
        <v>2006</v>
      </c>
      <c r="D2153">
        <v>1</v>
      </c>
      <c r="E2153">
        <v>1.4</v>
      </c>
      <c r="F2153" t="str">
        <f t="shared" si="33"/>
        <v>petroleum</v>
      </c>
    </row>
    <row r="2154" spans="1:6" x14ac:dyDescent="0.25">
      <c r="A2154" t="s">
        <v>161</v>
      </c>
      <c r="B2154" t="s">
        <v>92</v>
      </c>
      <c r="C2154">
        <v>2010</v>
      </c>
      <c r="D2154">
        <v>3</v>
      </c>
      <c r="E2154">
        <v>3</v>
      </c>
      <c r="F2154" t="str">
        <f t="shared" si="33"/>
        <v>petroleum</v>
      </c>
    </row>
    <row r="2155" spans="1:6" x14ac:dyDescent="0.25">
      <c r="A2155" t="s">
        <v>161</v>
      </c>
      <c r="B2155" t="s">
        <v>92</v>
      </c>
      <c r="C2155">
        <v>2020</v>
      </c>
      <c r="D2155">
        <v>4</v>
      </c>
      <c r="E2155">
        <v>4</v>
      </c>
      <c r="F2155" t="str">
        <f t="shared" si="33"/>
        <v>petroleum</v>
      </c>
    </row>
    <row r="2156" spans="1:6" x14ac:dyDescent="0.25">
      <c r="A2156" t="s">
        <v>161</v>
      </c>
      <c r="B2156" t="s">
        <v>92</v>
      </c>
      <c r="C2156">
        <v>2023</v>
      </c>
      <c r="D2156">
        <v>1.6</v>
      </c>
      <c r="E2156">
        <v>1.6</v>
      </c>
      <c r="F2156" t="str">
        <f t="shared" si="33"/>
        <v>petroleum</v>
      </c>
    </row>
    <row r="2157" spans="1:6" x14ac:dyDescent="0.25">
      <c r="A2157" t="s">
        <v>161</v>
      </c>
      <c r="B2157" t="s">
        <v>92</v>
      </c>
      <c r="C2157">
        <v>2025</v>
      </c>
      <c r="D2157">
        <v>9</v>
      </c>
      <c r="E2157">
        <v>9.9</v>
      </c>
      <c r="F2157" t="str">
        <f t="shared" si="33"/>
        <v>petroleum</v>
      </c>
    </row>
    <row r="2158" spans="1:6" x14ac:dyDescent="0.25">
      <c r="A2158" t="s">
        <v>161</v>
      </c>
      <c r="B2158" t="s">
        <v>249</v>
      </c>
      <c r="C2158">
        <v>2016</v>
      </c>
      <c r="D2158">
        <v>6.3</v>
      </c>
      <c r="E2158">
        <v>6.3</v>
      </c>
      <c r="F2158" t="str">
        <f t="shared" si="33"/>
        <v>solar pv</v>
      </c>
    </row>
    <row r="2159" spans="1:6" x14ac:dyDescent="0.25">
      <c r="A2159" t="s">
        <v>161</v>
      </c>
      <c r="B2159" t="s">
        <v>249</v>
      </c>
      <c r="C2159">
        <v>2017</v>
      </c>
      <c r="D2159">
        <v>9.4</v>
      </c>
      <c r="E2159">
        <v>9.3000000000000007</v>
      </c>
      <c r="F2159" t="str">
        <f t="shared" si="33"/>
        <v>solar pv</v>
      </c>
    </row>
    <row r="2160" spans="1:6" x14ac:dyDescent="0.25">
      <c r="A2160" t="s">
        <v>161</v>
      </c>
      <c r="B2160" t="s">
        <v>249</v>
      </c>
      <c r="C2160">
        <v>2018</v>
      </c>
      <c r="D2160">
        <v>3.3</v>
      </c>
      <c r="E2160">
        <v>3.3</v>
      </c>
      <c r="F2160" t="str">
        <f t="shared" si="33"/>
        <v>solar pv</v>
      </c>
    </row>
    <row r="2161" spans="1:6" x14ac:dyDescent="0.25">
      <c r="A2161" t="s">
        <v>161</v>
      </c>
      <c r="B2161" t="s">
        <v>249</v>
      </c>
      <c r="C2161">
        <v>2019</v>
      </c>
      <c r="D2161">
        <v>5.3</v>
      </c>
      <c r="E2161">
        <v>6.5</v>
      </c>
      <c r="F2161" t="str">
        <f t="shared" si="33"/>
        <v>solar pv</v>
      </c>
    </row>
    <row r="2162" spans="1:6" x14ac:dyDescent="0.25">
      <c r="A2162" t="s">
        <v>161</v>
      </c>
      <c r="B2162" t="s">
        <v>249</v>
      </c>
      <c r="C2162">
        <v>2020</v>
      </c>
      <c r="D2162">
        <v>4.4000000000000004</v>
      </c>
      <c r="E2162">
        <v>4.4000000000000004</v>
      </c>
      <c r="F2162" t="str">
        <f t="shared" si="33"/>
        <v>solar pv</v>
      </c>
    </row>
    <row r="2163" spans="1:6" x14ac:dyDescent="0.25">
      <c r="A2163" t="s">
        <v>161</v>
      </c>
      <c r="B2163" t="s">
        <v>249</v>
      </c>
      <c r="C2163">
        <v>2021</v>
      </c>
      <c r="D2163">
        <v>4.4000000000000004</v>
      </c>
      <c r="E2163">
        <v>4.4000000000000004</v>
      </c>
      <c r="F2163" t="str">
        <f t="shared" si="33"/>
        <v>solar pv</v>
      </c>
    </row>
    <row r="2164" spans="1:6" x14ac:dyDescent="0.25">
      <c r="A2164" t="s">
        <v>161</v>
      </c>
      <c r="B2164" t="s">
        <v>249</v>
      </c>
      <c r="C2164">
        <v>2022</v>
      </c>
      <c r="D2164">
        <v>8.5</v>
      </c>
      <c r="E2164">
        <v>8.5</v>
      </c>
      <c r="F2164" t="str">
        <f t="shared" si="33"/>
        <v>solar pv</v>
      </c>
    </row>
    <row r="2165" spans="1:6" x14ac:dyDescent="0.25">
      <c r="A2165" t="s">
        <v>161</v>
      </c>
      <c r="B2165" t="s">
        <v>249</v>
      </c>
      <c r="C2165">
        <v>2023</v>
      </c>
      <c r="D2165">
        <v>5</v>
      </c>
      <c r="E2165">
        <v>5</v>
      </c>
      <c r="F2165" t="str">
        <f t="shared" si="33"/>
        <v>solar pv</v>
      </c>
    </row>
    <row r="2166" spans="1:6" x14ac:dyDescent="0.25">
      <c r="A2166" t="s">
        <v>161</v>
      </c>
      <c r="B2166" t="s">
        <v>249</v>
      </c>
      <c r="C2166">
        <v>2024</v>
      </c>
      <c r="D2166">
        <v>90.9</v>
      </c>
      <c r="E2166">
        <v>90.9</v>
      </c>
      <c r="F2166" t="str">
        <f t="shared" si="33"/>
        <v>solar pv</v>
      </c>
    </row>
    <row r="2167" spans="1:6" x14ac:dyDescent="0.25">
      <c r="A2167" t="s">
        <v>161</v>
      </c>
      <c r="B2167" t="s">
        <v>249</v>
      </c>
      <c r="C2167">
        <v>2025</v>
      </c>
      <c r="D2167">
        <v>2</v>
      </c>
      <c r="E2167">
        <v>2</v>
      </c>
      <c r="F2167" t="str">
        <f t="shared" si="33"/>
        <v>solar pv</v>
      </c>
    </row>
    <row r="2168" spans="1:6" x14ac:dyDescent="0.25">
      <c r="A2168" t="s">
        <v>163</v>
      </c>
      <c r="B2168" t="s">
        <v>90</v>
      </c>
      <c r="C2168">
        <v>1992</v>
      </c>
      <c r="D2168">
        <v>2.4</v>
      </c>
      <c r="E2168">
        <v>2.4</v>
      </c>
      <c r="F2168" t="str">
        <f t="shared" si="33"/>
        <v>biomass</v>
      </c>
    </row>
    <row r="2169" spans="1:6" x14ac:dyDescent="0.25">
      <c r="A2169" t="s">
        <v>163</v>
      </c>
      <c r="B2169" t="s">
        <v>90</v>
      </c>
      <c r="C2169">
        <v>1993</v>
      </c>
      <c r="D2169">
        <v>0.8</v>
      </c>
      <c r="E2169">
        <v>0.8</v>
      </c>
      <c r="F2169" t="str">
        <f t="shared" si="33"/>
        <v>biomass</v>
      </c>
    </row>
    <row r="2170" spans="1:6" x14ac:dyDescent="0.25">
      <c r="A2170" t="s">
        <v>163</v>
      </c>
      <c r="B2170" t="s">
        <v>90</v>
      </c>
      <c r="C2170">
        <v>1996</v>
      </c>
      <c r="D2170">
        <v>2.7</v>
      </c>
      <c r="E2170">
        <v>3</v>
      </c>
      <c r="F2170" t="str">
        <f t="shared" si="33"/>
        <v>biomass</v>
      </c>
    </row>
    <row r="2171" spans="1:6" x14ac:dyDescent="0.25">
      <c r="A2171" t="s">
        <v>163</v>
      </c>
      <c r="B2171" t="s">
        <v>90</v>
      </c>
      <c r="C2171">
        <v>1997</v>
      </c>
      <c r="D2171">
        <v>5.8</v>
      </c>
      <c r="E2171">
        <v>6</v>
      </c>
      <c r="F2171" t="str">
        <f t="shared" si="33"/>
        <v>biomass</v>
      </c>
    </row>
    <row r="2172" spans="1:6" x14ac:dyDescent="0.25">
      <c r="A2172" t="s">
        <v>163</v>
      </c>
      <c r="B2172" t="s">
        <v>90</v>
      </c>
      <c r="C2172">
        <v>2006</v>
      </c>
      <c r="D2172">
        <v>7.9</v>
      </c>
      <c r="E2172">
        <v>7.9</v>
      </c>
      <c r="F2172" t="str">
        <f t="shared" si="33"/>
        <v>biomass</v>
      </c>
    </row>
    <row r="2173" spans="1:6" x14ac:dyDescent="0.25">
      <c r="A2173" t="s">
        <v>163</v>
      </c>
      <c r="B2173" t="s">
        <v>90</v>
      </c>
      <c r="C2173">
        <v>2013</v>
      </c>
      <c r="D2173">
        <v>67.5</v>
      </c>
      <c r="E2173">
        <v>75</v>
      </c>
      <c r="F2173" t="str">
        <f t="shared" si="33"/>
        <v>biomass</v>
      </c>
    </row>
    <row r="2174" spans="1:6" x14ac:dyDescent="0.25">
      <c r="A2174" t="s">
        <v>163</v>
      </c>
      <c r="B2174" t="s">
        <v>90</v>
      </c>
      <c r="C2174">
        <v>2016</v>
      </c>
      <c r="D2174">
        <v>1.5</v>
      </c>
      <c r="E2174">
        <v>1.6</v>
      </c>
      <c r="F2174" t="str">
        <f t="shared" si="33"/>
        <v>biomass</v>
      </c>
    </row>
    <row r="2175" spans="1:6" x14ac:dyDescent="0.25">
      <c r="A2175" t="s">
        <v>163</v>
      </c>
      <c r="B2175" t="s">
        <v>97</v>
      </c>
      <c r="C2175">
        <v>1992</v>
      </c>
      <c r="D2175">
        <v>3</v>
      </c>
      <c r="E2175">
        <v>3</v>
      </c>
      <c r="F2175" t="str">
        <f t="shared" si="33"/>
        <v>heavy or residual fuel oil</v>
      </c>
    </row>
    <row r="2176" spans="1:6" x14ac:dyDescent="0.25">
      <c r="A2176" t="s">
        <v>163</v>
      </c>
      <c r="B2176" t="s">
        <v>86</v>
      </c>
      <c r="C2176">
        <v>1990</v>
      </c>
      <c r="D2176">
        <v>5</v>
      </c>
      <c r="E2176">
        <v>5</v>
      </c>
      <c r="F2176" t="str">
        <f t="shared" si="33"/>
        <v>hydro</v>
      </c>
    </row>
    <row r="2177" spans="1:6" x14ac:dyDescent="0.25">
      <c r="A2177" t="s">
        <v>163</v>
      </c>
      <c r="B2177" t="s">
        <v>86</v>
      </c>
      <c r="C2177">
        <v>1995</v>
      </c>
      <c r="D2177">
        <v>1.9</v>
      </c>
      <c r="E2177">
        <v>1.9</v>
      </c>
      <c r="F2177" t="str">
        <f t="shared" si="33"/>
        <v>hydro</v>
      </c>
    </row>
    <row r="2178" spans="1:6" x14ac:dyDescent="0.25">
      <c r="A2178" t="s">
        <v>163</v>
      </c>
      <c r="B2178" t="s">
        <v>86</v>
      </c>
      <c r="C2178">
        <v>2023</v>
      </c>
      <c r="D2178">
        <v>4.5999999999999996</v>
      </c>
      <c r="E2178">
        <v>4.5999999999999996</v>
      </c>
      <c r="F2178" t="str">
        <f t="shared" ref="F2178:F2241" si="34">LOWER($B2178)</f>
        <v>hydro</v>
      </c>
    </row>
    <row r="2179" spans="1:6" x14ac:dyDescent="0.25">
      <c r="A2179" t="s">
        <v>163</v>
      </c>
      <c r="B2179" t="s">
        <v>84</v>
      </c>
      <c r="C2179">
        <v>2002</v>
      </c>
      <c r="D2179">
        <v>560.5</v>
      </c>
      <c r="E2179">
        <v>605.5</v>
      </c>
      <c r="F2179" t="str">
        <f t="shared" si="34"/>
        <v>natural gas combined cycle</v>
      </c>
    </row>
    <row r="2180" spans="1:6" x14ac:dyDescent="0.25">
      <c r="A2180" t="s">
        <v>163</v>
      </c>
      <c r="B2180" t="s">
        <v>84</v>
      </c>
      <c r="C2180">
        <v>2003</v>
      </c>
      <c r="D2180">
        <v>668</v>
      </c>
      <c r="E2180">
        <v>790</v>
      </c>
      <c r="F2180" t="str">
        <f t="shared" si="34"/>
        <v>natural gas combined cycle</v>
      </c>
    </row>
    <row r="2181" spans="1:6" x14ac:dyDescent="0.25">
      <c r="A2181" t="s">
        <v>163</v>
      </c>
      <c r="B2181" t="s">
        <v>93</v>
      </c>
      <c r="C2181">
        <v>2000</v>
      </c>
      <c r="D2181">
        <v>3.8</v>
      </c>
      <c r="E2181">
        <v>5</v>
      </c>
      <c r="F2181" t="str">
        <f t="shared" si="34"/>
        <v>natural gas peaker</v>
      </c>
    </row>
    <row r="2182" spans="1:6" x14ac:dyDescent="0.25">
      <c r="A2182" t="s">
        <v>163</v>
      </c>
      <c r="B2182" t="s">
        <v>85</v>
      </c>
      <c r="C2182">
        <v>1990</v>
      </c>
      <c r="D2182">
        <v>1247</v>
      </c>
      <c r="E2182">
        <v>1242</v>
      </c>
      <c r="F2182" t="str">
        <f t="shared" si="34"/>
        <v>nuclear</v>
      </c>
    </row>
    <row r="2183" spans="1:6" x14ac:dyDescent="0.25">
      <c r="A2183" t="s">
        <v>163</v>
      </c>
      <c r="B2183" t="s">
        <v>87</v>
      </c>
      <c r="C2183">
        <v>2008</v>
      </c>
      <c r="D2183">
        <v>24</v>
      </c>
      <c r="E2183">
        <v>24</v>
      </c>
      <c r="F2183" t="str">
        <f t="shared" si="34"/>
        <v>onshore wind</v>
      </c>
    </row>
    <row r="2184" spans="1:6" x14ac:dyDescent="0.25">
      <c r="A2184" t="s">
        <v>163</v>
      </c>
      <c r="B2184" t="s">
        <v>87</v>
      </c>
      <c r="C2184">
        <v>2012</v>
      </c>
      <c r="D2184">
        <v>147</v>
      </c>
      <c r="E2184">
        <v>147</v>
      </c>
      <c r="F2184" t="str">
        <f t="shared" si="34"/>
        <v>onshore wind</v>
      </c>
    </row>
    <row r="2185" spans="1:6" x14ac:dyDescent="0.25">
      <c r="A2185" t="s">
        <v>163</v>
      </c>
      <c r="B2185" t="s">
        <v>87</v>
      </c>
      <c r="C2185">
        <v>2016</v>
      </c>
      <c r="D2185">
        <v>12.1</v>
      </c>
      <c r="E2185">
        <v>14.3</v>
      </c>
      <c r="F2185" t="str">
        <f t="shared" si="34"/>
        <v>onshore wind</v>
      </c>
    </row>
    <row r="2186" spans="1:6" x14ac:dyDescent="0.25">
      <c r="A2186" t="s">
        <v>163</v>
      </c>
      <c r="B2186" t="s">
        <v>87</v>
      </c>
      <c r="C2186">
        <v>2019</v>
      </c>
      <c r="D2186">
        <v>28.8</v>
      </c>
      <c r="E2186">
        <v>28.8</v>
      </c>
      <c r="F2186" t="str">
        <f t="shared" si="34"/>
        <v>onshore wind</v>
      </c>
    </row>
    <row r="2187" spans="1:6" x14ac:dyDescent="0.25">
      <c r="A2187" t="s">
        <v>163</v>
      </c>
      <c r="B2187" t="s">
        <v>92</v>
      </c>
      <c r="C2187">
        <v>1990</v>
      </c>
      <c r="D2187">
        <v>2.8</v>
      </c>
      <c r="E2187">
        <v>2.8</v>
      </c>
      <c r="F2187" t="str">
        <f t="shared" si="34"/>
        <v>petroleum</v>
      </c>
    </row>
    <row r="2188" spans="1:6" x14ac:dyDescent="0.25">
      <c r="A2188" t="s">
        <v>163</v>
      </c>
      <c r="B2188" t="s">
        <v>92</v>
      </c>
      <c r="C2188">
        <v>1994</v>
      </c>
      <c r="D2188">
        <v>1.2</v>
      </c>
      <c r="E2188">
        <v>1.2</v>
      </c>
      <c r="F2188" t="str">
        <f t="shared" si="34"/>
        <v>petroleum</v>
      </c>
    </row>
    <row r="2189" spans="1:6" x14ac:dyDescent="0.25">
      <c r="A2189" t="s">
        <v>163</v>
      </c>
      <c r="B2189" t="s">
        <v>92</v>
      </c>
      <c r="C2189">
        <v>2000</v>
      </c>
      <c r="D2189">
        <v>1.6</v>
      </c>
      <c r="E2189">
        <v>1.6</v>
      </c>
      <c r="F2189" t="str">
        <f t="shared" si="34"/>
        <v>petroleum</v>
      </c>
    </row>
    <row r="2190" spans="1:6" x14ac:dyDescent="0.25">
      <c r="A2190" t="s">
        <v>163</v>
      </c>
      <c r="B2190" t="s">
        <v>249</v>
      </c>
      <c r="C2190">
        <v>2019</v>
      </c>
      <c r="D2190">
        <v>2.4</v>
      </c>
      <c r="E2190">
        <v>2.4</v>
      </c>
      <c r="F2190" t="str">
        <f t="shared" si="34"/>
        <v>solar pv</v>
      </c>
    </row>
    <row r="2191" spans="1:6" x14ac:dyDescent="0.25">
      <c r="A2191" t="s">
        <v>163</v>
      </c>
      <c r="B2191" t="s">
        <v>249</v>
      </c>
      <c r="C2191">
        <v>2025</v>
      </c>
      <c r="D2191">
        <v>2</v>
      </c>
      <c r="E2191">
        <v>2</v>
      </c>
      <c r="F2191" t="str">
        <f t="shared" si="34"/>
        <v>solar pv</v>
      </c>
    </row>
    <row r="2192" spans="1:6" x14ac:dyDescent="0.25">
      <c r="A2192" t="s">
        <v>165</v>
      </c>
      <c r="B2192" t="s">
        <v>90</v>
      </c>
      <c r="C2192">
        <v>1997</v>
      </c>
      <c r="D2192">
        <v>4.8</v>
      </c>
      <c r="E2192">
        <v>4.8</v>
      </c>
      <c r="F2192" t="str">
        <f t="shared" si="34"/>
        <v>biomass</v>
      </c>
    </row>
    <row r="2193" spans="1:6" x14ac:dyDescent="0.25">
      <c r="A2193" t="s">
        <v>165</v>
      </c>
      <c r="B2193" t="s">
        <v>90</v>
      </c>
      <c r="C2193">
        <v>2001</v>
      </c>
      <c r="D2193">
        <v>8.1999999999999993</v>
      </c>
      <c r="E2193">
        <v>12</v>
      </c>
      <c r="F2193" t="str">
        <f t="shared" si="34"/>
        <v>biomass</v>
      </c>
    </row>
    <row r="2194" spans="1:6" x14ac:dyDescent="0.25">
      <c r="A2194" t="s">
        <v>165</v>
      </c>
      <c r="B2194" t="s">
        <v>90</v>
      </c>
      <c r="C2194">
        <v>2004</v>
      </c>
      <c r="D2194">
        <v>2.7</v>
      </c>
      <c r="E2194">
        <v>2.7</v>
      </c>
      <c r="F2194" t="str">
        <f t="shared" si="34"/>
        <v>biomass</v>
      </c>
    </row>
    <row r="2195" spans="1:6" x14ac:dyDescent="0.25">
      <c r="A2195" t="s">
        <v>165</v>
      </c>
      <c r="B2195" t="s">
        <v>90</v>
      </c>
      <c r="C2195">
        <v>2006</v>
      </c>
      <c r="D2195">
        <v>11</v>
      </c>
      <c r="E2195">
        <v>11.6</v>
      </c>
      <c r="F2195" t="str">
        <f t="shared" si="34"/>
        <v>biomass</v>
      </c>
    </row>
    <row r="2196" spans="1:6" x14ac:dyDescent="0.25">
      <c r="A2196" t="s">
        <v>165</v>
      </c>
      <c r="B2196" t="s">
        <v>90</v>
      </c>
      <c r="C2196">
        <v>2008</v>
      </c>
      <c r="D2196">
        <v>4.8</v>
      </c>
      <c r="E2196">
        <v>4.8</v>
      </c>
      <c r="F2196" t="str">
        <f t="shared" si="34"/>
        <v>biomass</v>
      </c>
    </row>
    <row r="2197" spans="1:6" x14ac:dyDescent="0.25">
      <c r="A2197" t="s">
        <v>165</v>
      </c>
      <c r="B2197" t="s">
        <v>90</v>
      </c>
      <c r="C2197">
        <v>2011</v>
      </c>
      <c r="D2197">
        <v>6</v>
      </c>
      <c r="E2197">
        <v>9.6</v>
      </c>
      <c r="F2197" t="str">
        <f t="shared" si="34"/>
        <v>biomass</v>
      </c>
    </row>
    <row r="2198" spans="1:6" x14ac:dyDescent="0.25">
      <c r="A2198" t="s">
        <v>165</v>
      </c>
      <c r="B2198" t="s">
        <v>90</v>
      </c>
      <c r="C2198">
        <v>2013</v>
      </c>
      <c r="D2198">
        <v>3</v>
      </c>
      <c r="E2198">
        <v>3.3</v>
      </c>
      <c r="F2198" t="str">
        <f t="shared" si="34"/>
        <v>biomass</v>
      </c>
    </row>
    <row r="2199" spans="1:6" x14ac:dyDescent="0.25">
      <c r="A2199" t="s">
        <v>165</v>
      </c>
      <c r="B2199" t="s">
        <v>98</v>
      </c>
      <c r="C2199">
        <v>1990</v>
      </c>
      <c r="D2199">
        <v>72</v>
      </c>
      <c r="E2199">
        <v>83.8</v>
      </c>
      <c r="F2199" t="str">
        <f t="shared" si="34"/>
        <v>municipal solid waste</v>
      </c>
    </row>
    <row r="2200" spans="1:6" x14ac:dyDescent="0.25">
      <c r="A2200" t="s">
        <v>165</v>
      </c>
      <c r="B2200" t="s">
        <v>98</v>
      </c>
      <c r="C2200">
        <v>1991</v>
      </c>
      <c r="D2200">
        <v>33</v>
      </c>
      <c r="E2200">
        <v>35</v>
      </c>
      <c r="F2200" t="str">
        <f t="shared" si="34"/>
        <v>municipal solid waste</v>
      </c>
    </row>
    <row r="2201" spans="1:6" x14ac:dyDescent="0.25">
      <c r="A2201" t="s">
        <v>165</v>
      </c>
      <c r="B2201" t="s">
        <v>98</v>
      </c>
      <c r="C2201">
        <v>1994</v>
      </c>
      <c r="D2201">
        <v>37.5</v>
      </c>
      <c r="E2201">
        <v>45</v>
      </c>
      <c r="F2201" t="str">
        <f t="shared" si="34"/>
        <v>municipal solid waste</v>
      </c>
    </row>
    <row r="2202" spans="1:6" x14ac:dyDescent="0.25">
      <c r="A2202" t="s">
        <v>165</v>
      </c>
      <c r="B2202" t="s">
        <v>84</v>
      </c>
      <c r="C2202">
        <v>1990</v>
      </c>
      <c r="D2202">
        <v>170</v>
      </c>
      <c r="E2202">
        <v>180</v>
      </c>
      <c r="F2202" t="str">
        <f t="shared" si="34"/>
        <v>natural gas combined cycle</v>
      </c>
    </row>
    <row r="2203" spans="1:6" x14ac:dyDescent="0.25">
      <c r="A2203" t="s">
        <v>165</v>
      </c>
      <c r="B2203" t="s">
        <v>84</v>
      </c>
      <c r="C2203">
        <v>1991</v>
      </c>
      <c r="D2203">
        <v>339</v>
      </c>
      <c r="E2203">
        <v>475.2</v>
      </c>
      <c r="F2203" t="str">
        <f t="shared" si="34"/>
        <v>natural gas combined cycle</v>
      </c>
    </row>
    <row r="2204" spans="1:6" x14ac:dyDescent="0.25">
      <c r="A2204" t="s">
        <v>165</v>
      </c>
      <c r="B2204" t="s">
        <v>84</v>
      </c>
      <c r="C2204">
        <v>1992</v>
      </c>
      <c r="D2204">
        <v>748.2</v>
      </c>
      <c r="E2204">
        <v>761.6</v>
      </c>
      <c r="F2204" t="str">
        <f t="shared" si="34"/>
        <v>natural gas combined cycle</v>
      </c>
    </row>
    <row r="2205" spans="1:6" x14ac:dyDescent="0.25">
      <c r="A2205" t="s">
        <v>165</v>
      </c>
      <c r="B2205" t="s">
        <v>84</v>
      </c>
      <c r="C2205">
        <v>1993</v>
      </c>
      <c r="D2205">
        <v>418.7</v>
      </c>
      <c r="E2205">
        <v>352.1</v>
      </c>
      <c r="F2205" t="str">
        <f t="shared" si="34"/>
        <v>natural gas combined cycle</v>
      </c>
    </row>
    <row r="2206" spans="1:6" x14ac:dyDescent="0.25">
      <c r="A2206" t="s">
        <v>165</v>
      </c>
      <c r="B2206" t="s">
        <v>84</v>
      </c>
      <c r="C2206">
        <v>1994</v>
      </c>
      <c r="D2206">
        <v>265</v>
      </c>
      <c r="E2206">
        <v>288.2</v>
      </c>
      <c r="F2206" t="str">
        <f t="shared" si="34"/>
        <v>natural gas combined cycle</v>
      </c>
    </row>
    <row r="2207" spans="1:6" x14ac:dyDescent="0.25">
      <c r="A2207" t="s">
        <v>165</v>
      </c>
      <c r="B2207" t="s">
        <v>84</v>
      </c>
      <c r="C2207">
        <v>1995</v>
      </c>
      <c r="D2207">
        <v>460</v>
      </c>
      <c r="E2207">
        <v>450</v>
      </c>
      <c r="F2207" t="str">
        <f t="shared" si="34"/>
        <v>natural gas combined cycle</v>
      </c>
    </row>
    <row r="2208" spans="1:6" x14ac:dyDescent="0.25">
      <c r="A2208" t="s">
        <v>165</v>
      </c>
      <c r="B2208" t="s">
        <v>84</v>
      </c>
      <c r="C2208">
        <v>2002</v>
      </c>
      <c r="D2208">
        <v>1534</v>
      </c>
      <c r="E2208">
        <v>1659.2</v>
      </c>
      <c r="F2208" t="str">
        <f t="shared" si="34"/>
        <v>natural gas combined cycle</v>
      </c>
    </row>
    <row r="2209" spans="1:6" x14ac:dyDescent="0.25">
      <c r="A2209" t="s">
        <v>165</v>
      </c>
      <c r="B2209" t="s">
        <v>84</v>
      </c>
      <c r="C2209">
        <v>2006</v>
      </c>
      <c r="D2209">
        <v>1300</v>
      </c>
      <c r="E2209">
        <v>1355.6</v>
      </c>
      <c r="F2209" t="str">
        <f t="shared" si="34"/>
        <v>natural gas combined cycle</v>
      </c>
    </row>
    <row r="2210" spans="1:6" x14ac:dyDescent="0.25">
      <c r="A2210" t="s">
        <v>165</v>
      </c>
      <c r="B2210" t="s">
        <v>84</v>
      </c>
      <c r="C2210">
        <v>2014</v>
      </c>
      <c r="D2210">
        <v>735.8</v>
      </c>
      <c r="E2210">
        <v>754.6</v>
      </c>
      <c r="F2210" t="str">
        <f t="shared" si="34"/>
        <v>natural gas combined cycle</v>
      </c>
    </row>
    <row r="2211" spans="1:6" x14ac:dyDescent="0.25">
      <c r="A2211" t="s">
        <v>165</v>
      </c>
      <c r="B2211" t="s">
        <v>84</v>
      </c>
      <c r="C2211">
        <v>2015</v>
      </c>
      <c r="D2211">
        <v>1431.3</v>
      </c>
      <c r="E2211">
        <v>1507.9</v>
      </c>
      <c r="F2211" t="str">
        <f t="shared" si="34"/>
        <v>natural gas combined cycle</v>
      </c>
    </row>
    <row r="2212" spans="1:6" x14ac:dyDescent="0.25">
      <c r="A2212" t="s">
        <v>165</v>
      </c>
      <c r="B2212" t="s">
        <v>84</v>
      </c>
      <c r="C2212">
        <v>2016</v>
      </c>
      <c r="D2212">
        <v>27</v>
      </c>
      <c r="E2212">
        <v>26.8</v>
      </c>
      <c r="F2212" t="str">
        <f t="shared" si="34"/>
        <v>natural gas combined cycle</v>
      </c>
    </row>
    <row r="2213" spans="1:6" x14ac:dyDescent="0.25">
      <c r="A2213" t="s">
        <v>165</v>
      </c>
      <c r="B2213" t="s">
        <v>84</v>
      </c>
      <c r="C2213">
        <v>2018</v>
      </c>
      <c r="D2213">
        <v>541</v>
      </c>
      <c r="E2213">
        <v>609.5</v>
      </c>
      <c r="F2213" t="str">
        <f t="shared" si="34"/>
        <v>natural gas combined cycle</v>
      </c>
    </row>
    <row r="2214" spans="1:6" x14ac:dyDescent="0.25">
      <c r="A2214" t="s">
        <v>165</v>
      </c>
      <c r="B2214" t="s">
        <v>93</v>
      </c>
      <c r="C2214">
        <v>1990</v>
      </c>
      <c r="D2214">
        <v>86.9</v>
      </c>
      <c r="E2214">
        <v>99.4</v>
      </c>
      <c r="F2214" t="str">
        <f t="shared" si="34"/>
        <v>natural gas peaker</v>
      </c>
    </row>
    <row r="2215" spans="1:6" x14ac:dyDescent="0.25">
      <c r="A2215" t="s">
        <v>165</v>
      </c>
      <c r="B2215" t="s">
        <v>93</v>
      </c>
      <c r="C2215">
        <v>1991</v>
      </c>
      <c r="D2215">
        <v>113.9</v>
      </c>
      <c r="E2215">
        <v>143.30000000000001</v>
      </c>
      <c r="F2215" t="str">
        <f t="shared" si="34"/>
        <v>natural gas peaker</v>
      </c>
    </row>
    <row r="2216" spans="1:6" x14ac:dyDescent="0.25">
      <c r="A2216" t="s">
        <v>165</v>
      </c>
      <c r="B2216" t="s">
        <v>93</v>
      </c>
      <c r="C2216">
        <v>1992</v>
      </c>
      <c r="D2216">
        <v>8.8000000000000007</v>
      </c>
      <c r="E2216">
        <v>9.5</v>
      </c>
      <c r="F2216" t="str">
        <f t="shared" si="34"/>
        <v>natural gas peaker</v>
      </c>
    </row>
    <row r="2217" spans="1:6" x14ac:dyDescent="0.25">
      <c r="A2217" t="s">
        <v>165</v>
      </c>
      <c r="B2217" t="s">
        <v>93</v>
      </c>
      <c r="C2217">
        <v>1993</v>
      </c>
      <c r="D2217">
        <v>2.7</v>
      </c>
      <c r="E2217">
        <v>3.7</v>
      </c>
      <c r="F2217" t="str">
        <f t="shared" si="34"/>
        <v>natural gas peaker</v>
      </c>
    </row>
    <row r="2218" spans="1:6" x14ac:dyDescent="0.25">
      <c r="A2218" t="s">
        <v>165</v>
      </c>
      <c r="B2218" t="s">
        <v>93</v>
      </c>
      <c r="C2218">
        <v>1995</v>
      </c>
      <c r="D2218">
        <v>181.2</v>
      </c>
      <c r="E2218">
        <v>209.5</v>
      </c>
      <c r="F2218" t="str">
        <f t="shared" si="34"/>
        <v>natural gas peaker</v>
      </c>
    </row>
    <row r="2219" spans="1:6" x14ac:dyDescent="0.25">
      <c r="A2219" t="s">
        <v>165</v>
      </c>
      <c r="B2219" t="s">
        <v>93</v>
      </c>
      <c r="C2219">
        <v>1996</v>
      </c>
      <c r="D2219">
        <v>172.4</v>
      </c>
      <c r="E2219">
        <v>182.7</v>
      </c>
      <c r="F2219" t="str">
        <f t="shared" si="34"/>
        <v>natural gas peaker</v>
      </c>
    </row>
    <row r="2220" spans="1:6" x14ac:dyDescent="0.25">
      <c r="A2220" t="s">
        <v>165</v>
      </c>
      <c r="B2220" t="s">
        <v>93</v>
      </c>
      <c r="C2220">
        <v>2000</v>
      </c>
      <c r="D2220">
        <v>343.6</v>
      </c>
      <c r="E2220">
        <v>434.2</v>
      </c>
      <c r="F2220" t="str">
        <f t="shared" si="34"/>
        <v>natural gas peaker</v>
      </c>
    </row>
    <row r="2221" spans="1:6" x14ac:dyDescent="0.25">
      <c r="A2221" t="s">
        <v>165</v>
      </c>
      <c r="B2221" t="s">
        <v>93</v>
      </c>
      <c r="C2221">
        <v>2001</v>
      </c>
      <c r="D2221">
        <v>176.5</v>
      </c>
      <c r="E2221">
        <v>242</v>
      </c>
      <c r="F2221" t="str">
        <f t="shared" si="34"/>
        <v>natural gas peaker</v>
      </c>
    </row>
    <row r="2222" spans="1:6" x14ac:dyDescent="0.25">
      <c r="A2222" t="s">
        <v>165</v>
      </c>
      <c r="B2222" t="s">
        <v>93</v>
      </c>
      <c r="C2222">
        <v>2002</v>
      </c>
      <c r="D2222">
        <v>4.0999999999999996</v>
      </c>
      <c r="E2222">
        <v>5</v>
      </c>
      <c r="F2222" t="str">
        <f t="shared" si="34"/>
        <v>natural gas peaker</v>
      </c>
    </row>
    <row r="2223" spans="1:6" x14ac:dyDescent="0.25">
      <c r="A2223" t="s">
        <v>165</v>
      </c>
      <c r="B2223" t="s">
        <v>93</v>
      </c>
      <c r="C2223">
        <v>2003</v>
      </c>
      <c r="D2223">
        <v>338.8</v>
      </c>
      <c r="E2223">
        <v>404</v>
      </c>
      <c r="F2223" t="str">
        <f t="shared" si="34"/>
        <v>natural gas peaker</v>
      </c>
    </row>
    <row r="2224" spans="1:6" x14ac:dyDescent="0.25">
      <c r="A2224" t="s">
        <v>165</v>
      </c>
      <c r="B2224" t="s">
        <v>93</v>
      </c>
      <c r="C2224">
        <v>2004</v>
      </c>
      <c r="D2224">
        <v>16.2</v>
      </c>
      <c r="E2224">
        <v>18.600000000000001</v>
      </c>
      <c r="F2224" t="str">
        <f t="shared" si="34"/>
        <v>natural gas peaker</v>
      </c>
    </row>
    <row r="2225" spans="1:6" x14ac:dyDescent="0.25">
      <c r="A2225" t="s">
        <v>165</v>
      </c>
      <c r="B2225" t="s">
        <v>93</v>
      </c>
      <c r="C2225">
        <v>2009</v>
      </c>
      <c r="D2225">
        <v>103</v>
      </c>
      <c r="E2225">
        <v>134.80000000000001</v>
      </c>
      <c r="F2225" t="str">
        <f t="shared" si="34"/>
        <v>natural gas peaker</v>
      </c>
    </row>
    <row r="2226" spans="1:6" x14ac:dyDescent="0.25">
      <c r="A2226" t="s">
        <v>165</v>
      </c>
      <c r="B2226" t="s">
        <v>93</v>
      </c>
      <c r="C2226">
        <v>2010</v>
      </c>
      <c r="D2226">
        <v>7.1</v>
      </c>
      <c r="E2226">
        <v>7.5</v>
      </c>
      <c r="F2226" t="str">
        <f t="shared" si="34"/>
        <v>natural gas peaker</v>
      </c>
    </row>
    <row r="2227" spans="1:6" x14ac:dyDescent="0.25">
      <c r="A2227" t="s">
        <v>165</v>
      </c>
      <c r="B2227" t="s">
        <v>93</v>
      </c>
      <c r="C2227">
        <v>2012</v>
      </c>
      <c r="D2227">
        <v>829.5</v>
      </c>
      <c r="E2227">
        <v>958.8</v>
      </c>
      <c r="F2227" t="str">
        <f t="shared" si="34"/>
        <v>natural gas peaker</v>
      </c>
    </row>
    <row r="2228" spans="1:6" x14ac:dyDescent="0.25">
      <c r="A2228" t="s">
        <v>165</v>
      </c>
      <c r="B2228" t="s">
        <v>93</v>
      </c>
      <c r="C2228">
        <v>2013</v>
      </c>
      <c r="D2228">
        <v>5.4</v>
      </c>
      <c r="E2228">
        <v>6.4</v>
      </c>
      <c r="F2228" t="str">
        <f t="shared" si="34"/>
        <v>natural gas peaker</v>
      </c>
    </row>
    <row r="2229" spans="1:6" x14ac:dyDescent="0.25">
      <c r="A2229" t="s">
        <v>165</v>
      </c>
      <c r="B2229" t="s">
        <v>93</v>
      </c>
      <c r="C2229">
        <v>2015</v>
      </c>
      <c r="D2229">
        <v>61</v>
      </c>
      <c r="E2229">
        <v>79</v>
      </c>
      <c r="F2229" t="str">
        <f t="shared" si="34"/>
        <v>natural gas peaker</v>
      </c>
    </row>
    <row r="2230" spans="1:6" x14ac:dyDescent="0.25">
      <c r="A2230" t="s">
        <v>165</v>
      </c>
      <c r="B2230" t="s">
        <v>93</v>
      </c>
      <c r="C2230">
        <v>2018</v>
      </c>
      <c r="D2230">
        <v>129.19999999999999</v>
      </c>
      <c r="E2230">
        <v>141.9</v>
      </c>
      <c r="F2230" t="str">
        <f t="shared" si="34"/>
        <v>natural gas peaker</v>
      </c>
    </row>
    <row r="2231" spans="1:6" x14ac:dyDescent="0.25">
      <c r="A2231" t="s">
        <v>165</v>
      </c>
      <c r="B2231" t="s">
        <v>93</v>
      </c>
      <c r="C2231">
        <v>2019</v>
      </c>
      <c r="D2231">
        <v>7.3</v>
      </c>
      <c r="E2231">
        <v>7.3</v>
      </c>
      <c r="F2231" t="str">
        <f t="shared" si="34"/>
        <v>natural gas peaker</v>
      </c>
    </row>
    <row r="2232" spans="1:6" x14ac:dyDescent="0.25">
      <c r="A2232" t="s">
        <v>165</v>
      </c>
      <c r="B2232" t="s">
        <v>93</v>
      </c>
      <c r="C2232">
        <v>2021</v>
      </c>
      <c r="D2232">
        <v>7.4</v>
      </c>
      <c r="E2232">
        <v>7.6</v>
      </c>
      <c r="F2232" t="str">
        <f t="shared" si="34"/>
        <v>natural gas peaker</v>
      </c>
    </row>
    <row r="2233" spans="1:6" x14ac:dyDescent="0.25">
      <c r="A2233" t="s">
        <v>165</v>
      </c>
      <c r="B2233" t="s">
        <v>93</v>
      </c>
      <c r="C2233">
        <v>2022</v>
      </c>
      <c r="D2233">
        <v>3.4</v>
      </c>
      <c r="E2233">
        <v>4.5999999999999996</v>
      </c>
      <c r="F2233" t="str">
        <f t="shared" si="34"/>
        <v>natural gas peaker</v>
      </c>
    </row>
    <row r="2234" spans="1:6" x14ac:dyDescent="0.25">
      <c r="A2234" t="s">
        <v>165</v>
      </c>
      <c r="B2234" t="s">
        <v>93</v>
      </c>
      <c r="C2234">
        <v>2025</v>
      </c>
      <c r="D2234">
        <v>2.65</v>
      </c>
      <c r="E2234">
        <v>2.6</v>
      </c>
      <c r="F2234" t="str">
        <f t="shared" si="34"/>
        <v>natural gas peaker</v>
      </c>
    </row>
    <row r="2235" spans="1:6" x14ac:dyDescent="0.25">
      <c r="A2235" t="s">
        <v>165</v>
      </c>
      <c r="B2235" t="s">
        <v>83</v>
      </c>
      <c r="C2235">
        <v>1999</v>
      </c>
      <c r="D2235">
        <v>0.6</v>
      </c>
      <c r="E2235">
        <v>1</v>
      </c>
      <c r="F2235" t="str">
        <f t="shared" si="34"/>
        <v>natural gas steam turbine</v>
      </c>
    </row>
    <row r="2236" spans="1:6" x14ac:dyDescent="0.25">
      <c r="A2236" t="s">
        <v>165</v>
      </c>
      <c r="B2236" t="s">
        <v>83</v>
      </c>
      <c r="C2236">
        <v>2004</v>
      </c>
      <c r="D2236">
        <v>10.8</v>
      </c>
      <c r="E2236">
        <v>10.8</v>
      </c>
      <c r="F2236" t="str">
        <f t="shared" si="34"/>
        <v>natural gas steam turbine</v>
      </c>
    </row>
    <row r="2237" spans="1:6" x14ac:dyDescent="0.25">
      <c r="A2237" t="s">
        <v>165</v>
      </c>
      <c r="B2237" t="s">
        <v>83</v>
      </c>
      <c r="C2237">
        <v>2017</v>
      </c>
      <c r="D2237">
        <v>5.0999999999999996</v>
      </c>
      <c r="E2237">
        <v>4.5</v>
      </c>
      <c r="F2237" t="str">
        <f t="shared" si="34"/>
        <v>natural gas steam turbine</v>
      </c>
    </row>
    <row r="2238" spans="1:6" x14ac:dyDescent="0.25">
      <c r="A2238" t="s">
        <v>165</v>
      </c>
      <c r="B2238" t="s">
        <v>87</v>
      </c>
      <c r="C2238">
        <v>2006</v>
      </c>
      <c r="D2238">
        <v>7.5</v>
      </c>
      <c r="E2238">
        <v>7.5</v>
      </c>
      <c r="F2238" t="str">
        <f t="shared" si="34"/>
        <v>onshore wind</v>
      </c>
    </row>
    <row r="2239" spans="1:6" x14ac:dyDescent="0.25">
      <c r="A2239" t="s">
        <v>165</v>
      </c>
      <c r="B2239" t="s">
        <v>87</v>
      </c>
      <c r="C2239">
        <v>2012</v>
      </c>
      <c r="D2239">
        <v>0.1</v>
      </c>
      <c r="E2239">
        <v>1.5</v>
      </c>
      <c r="F2239" t="str">
        <f t="shared" si="34"/>
        <v>onshore wind</v>
      </c>
    </row>
    <row r="2240" spans="1:6" x14ac:dyDescent="0.25">
      <c r="A2240" t="s">
        <v>165</v>
      </c>
      <c r="B2240" t="s">
        <v>92</v>
      </c>
      <c r="C2240">
        <v>1991</v>
      </c>
      <c r="D2240">
        <v>0.9</v>
      </c>
      <c r="E2240">
        <v>1.2</v>
      </c>
      <c r="F2240" t="str">
        <f t="shared" si="34"/>
        <v>petroleum</v>
      </c>
    </row>
    <row r="2241" spans="1:6" x14ac:dyDescent="0.25">
      <c r="A2241" t="s">
        <v>165</v>
      </c>
      <c r="B2241" t="s">
        <v>92</v>
      </c>
      <c r="C2241">
        <v>2001</v>
      </c>
      <c r="D2241">
        <v>2.2000000000000002</v>
      </c>
      <c r="E2241">
        <v>2.2000000000000002</v>
      </c>
      <c r="F2241" t="str">
        <f t="shared" si="34"/>
        <v>petroleum</v>
      </c>
    </row>
    <row r="2242" spans="1:6" x14ac:dyDescent="0.25">
      <c r="A2242" t="s">
        <v>165</v>
      </c>
      <c r="B2242" t="s">
        <v>92</v>
      </c>
      <c r="C2242">
        <v>2002</v>
      </c>
      <c r="D2242">
        <v>6</v>
      </c>
      <c r="E2242">
        <v>6</v>
      </c>
      <c r="F2242" t="str">
        <f t="shared" ref="F2242:F2305" si="35">LOWER($B2242)</f>
        <v>petroleum</v>
      </c>
    </row>
    <row r="2243" spans="1:6" x14ac:dyDescent="0.25">
      <c r="A2243" t="s">
        <v>165</v>
      </c>
      <c r="B2243" t="s">
        <v>92</v>
      </c>
      <c r="C2243">
        <v>2006</v>
      </c>
      <c r="D2243">
        <v>11.6</v>
      </c>
      <c r="E2243">
        <v>18</v>
      </c>
      <c r="F2243" t="str">
        <f t="shared" si="35"/>
        <v>petroleum</v>
      </c>
    </row>
    <row r="2244" spans="1:6" x14ac:dyDescent="0.25">
      <c r="A2244" t="s">
        <v>165</v>
      </c>
      <c r="B2244" t="s">
        <v>92</v>
      </c>
      <c r="C2244">
        <v>2011</v>
      </c>
      <c r="D2244">
        <v>3.9</v>
      </c>
      <c r="E2244">
        <v>3.9</v>
      </c>
      <c r="F2244" t="str">
        <f t="shared" si="35"/>
        <v>petroleum</v>
      </c>
    </row>
    <row r="2245" spans="1:6" x14ac:dyDescent="0.25">
      <c r="A2245" t="s">
        <v>165</v>
      </c>
      <c r="B2245" t="s">
        <v>92</v>
      </c>
      <c r="C2245">
        <v>2012</v>
      </c>
      <c r="D2245">
        <v>14</v>
      </c>
      <c r="E2245">
        <v>14</v>
      </c>
      <c r="F2245" t="str">
        <f t="shared" si="35"/>
        <v>petroleum</v>
      </c>
    </row>
    <row r="2246" spans="1:6" x14ac:dyDescent="0.25">
      <c r="A2246" t="s">
        <v>165</v>
      </c>
      <c r="B2246" t="s">
        <v>92</v>
      </c>
      <c r="C2246">
        <v>2018</v>
      </c>
      <c r="D2246">
        <v>7.8</v>
      </c>
      <c r="E2246">
        <v>8</v>
      </c>
      <c r="F2246" t="str">
        <f t="shared" si="35"/>
        <v>petroleum</v>
      </c>
    </row>
    <row r="2247" spans="1:6" x14ac:dyDescent="0.25">
      <c r="A2247" t="s">
        <v>165</v>
      </c>
      <c r="B2247" t="s">
        <v>249</v>
      </c>
      <c r="C2247">
        <v>2005</v>
      </c>
      <c r="D2247">
        <v>0.4</v>
      </c>
      <c r="E2247">
        <v>0.5</v>
      </c>
      <c r="F2247" t="str">
        <f t="shared" si="35"/>
        <v>solar pv</v>
      </c>
    </row>
    <row r="2248" spans="1:6" x14ac:dyDescent="0.25">
      <c r="A2248" t="s">
        <v>165</v>
      </c>
      <c r="B2248" t="s">
        <v>249</v>
      </c>
      <c r="C2248">
        <v>2006</v>
      </c>
      <c r="D2248">
        <v>0.9</v>
      </c>
      <c r="E2248">
        <v>0.9</v>
      </c>
      <c r="F2248" t="str">
        <f t="shared" si="35"/>
        <v>solar pv</v>
      </c>
    </row>
    <row r="2249" spans="1:6" x14ac:dyDescent="0.25">
      <c r="A2249" t="s">
        <v>165</v>
      </c>
      <c r="B2249" t="s">
        <v>249</v>
      </c>
      <c r="C2249">
        <v>2007</v>
      </c>
      <c r="D2249">
        <v>1.3</v>
      </c>
      <c r="E2249">
        <v>1.3</v>
      </c>
      <c r="F2249" t="str">
        <f t="shared" si="35"/>
        <v>solar pv</v>
      </c>
    </row>
    <row r="2250" spans="1:6" x14ac:dyDescent="0.25">
      <c r="A2250" t="s">
        <v>165</v>
      </c>
      <c r="B2250" t="s">
        <v>249</v>
      </c>
      <c r="C2250">
        <v>2008</v>
      </c>
      <c r="D2250">
        <v>2</v>
      </c>
      <c r="E2250">
        <v>2</v>
      </c>
      <c r="F2250" t="str">
        <f t="shared" si="35"/>
        <v>solar pv</v>
      </c>
    </row>
    <row r="2251" spans="1:6" x14ac:dyDescent="0.25">
      <c r="A2251" t="s">
        <v>165</v>
      </c>
      <c r="B2251" t="s">
        <v>249</v>
      </c>
      <c r="C2251">
        <v>2009</v>
      </c>
      <c r="D2251">
        <v>17.079999999999998</v>
      </c>
      <c r="E2251">
        <v>17.100000000000001</v>
      </c>
      <c r="F2251" t="str">
        <f t="shared" si="35"/>
        <v>solar pv</v>
      </c>
    </row>
    <row r="2252" spans="1:6" x14ac:dyDescent="0.25">
      <c r="A2252" t="s">
        <v>165</v>
      </c>
      <c r="B2252" t="s">
        <v>249</v>
      </c>
      <c r="C2252">
        <v>2010</v>
      </c>
      <c r="D2252">
        <v>26.2</v>
      </c>
      <c r="E2252">
        <v>26.3</v>
      </c>
      <c r="F2252" t="str">
        <f t="shared" si="35"/>
        <v>solar pv</v>
      </c>
    </row>
    <row r="2253" spans="1:6" x14ac:dyDescent="0.25">
      <c r="A2253" t="s">
        <v>165</v>
      </c>
      <c r="B2253" t="s">
        <v>249</v>
      </c>
      <c r="C2253">
        <v>2011</v>
      </c>
      <c r="D2253">
        <v>171.44</v>
      </c>
      <c r="E2253">
        <v>172.7</v>
      </c>
      <c r="F2253" t="str">
        <f t="shared" si="35"/>
        <v>solar pv</v>
      </c>
    </row>
    <row r="2254" spans="1:6" x14ac:dyDescent="0.25">
      <c r="A2254" t="s">
        <v>165</v>
      </c>
      <c r="B2254" t="s">
        <v>249</v>
      </c>
      <c r="C2254">
        <v>2012</v>
      </c>
      <c r="D2254">
        <v>92.54</v>
      </c>
      <c r="E2254">
        <v>92.6</v>
      </c>
      <c r="F2254" t="str">
        <f t="shared" si="35"/>
        <v>solar pv</v>
      </c>
    </row>
    <row r="2255" spans="1:6" x14ac:dyDescent="0.25">
      <c r="A2255" t="s">
        <v>165</v>
      </c>
      <c r="B2255" t="s">
        <v>249</v>
      </c>
      <c r="C2255">
        <v>2013</v>
      </c>
      <c r="D2255">
        <v>82.94</v>
      </c>
      <c r="E2255">
        <v>83.2</v>
      </c>
      <c r="F2255" t="str">
        <f t="shared" si="35"/>
        <v>solar pv</v>
      </c>
    </row>
    <row r="2256" spans="1:6" x14ac:dyDescent="0.25">
      <c r="A2256" t="s">
        <v>165</v>
      </c>
      <c r="B2256" t="s">
        <v>249</v>
      </c>
      <c r="C2256">
        <v>2014</v>
      </c>
      <c r="D2256">
        <v>64</v>
      </c>
      <c r="E2256">
        <v>64.099999999999994</v>
      </c>
      <c r="F2256" t="str">
        <f t="shared" si="35"/>
        <v>solar pv</v>
      </c>
    </row>
    <row r="2257" spans="1:6" x14ac:dyDescent="0.25">
      <c r="A2257" t="s">
        <v>165</v>
      </c>
      <c r="B2257" t="s">
        <v>249</v>
      </c>
      <c r="C2257">
        <v>2015</v>
      </c>
      <c r="D2257">
        <v>67.3</v>
      </c>
      <c r="E2257">
        <v>67.3</v>
      </c>
      <c r="F2257" t="str">
        <f t="shared" si="35"/>
        <v>solar pv</v>
      </c>
    </row>
    <row r="2258" spans="1:6" x14ac:dyDescent="0.25">
      <c r="A2258" t="s">
        <v>165</v>
      </c>
      <c r="B2258" t="s">
        <v>249</v>
      </c>
      <c r="C2258">
        <v>2016</v>
      </c>
      <c r="D2258">
        <v>105.3</v>
      </c>
      <c r="E2258">
        <v>105.2</v>
      </c>
      <c r="F2258" t="str">
        <f t="shared" si="35"/>
        <v>solar pv</v>
      </c>
    </row>
    <row r="2259" spans="1:6" x14ac:dyDescent="0.25">
      <c r="A2259" t="s">
        <v>165</v>
      </c>
      <c r="B2259" t="s">
        <v>249</v>
      </c>
      <c r="C2259">
        <v>2017</v>
      </c>
      <c r="D2259">
        <v>55.2</v>
      </c>
      <c r="E2259">
        <v>55.7</v>
      </c>
      <c r="F2259" t="str">
        <f t="shared" si="35"/>
        <v>solar pv</v>
      </c>
    </row>
    <row r="2260" spans="1:6" x14ac:dyDescent="0.25">
      <c r="A2260" t="s">
        <v>165</v>
      </c>
      <c r="B2260" t="s">
        <v>249</v>
      </c>
      <c r="C2260">
        <v>2018</v>
      </c>
      <c r="D2260">
        <v>84</v>
      </c>
      <c r="E2260">
        <v>84.1</v>
      </c>
      <c r="F2260" t="str">
        <f t="shared" si="35"/>
        <v>solar pv</v>
      </c>
    </row>
    <row r="2261" spans="1:6" x14ac:dyDescent="0.25">
      <c r="A2261" t="s">
        <v>165</v>
      </c>
      <c r="B2261" t="s">
        <v>249</v>
      </c>
      <c r="C2261">
        <v>2019</v>
      </c>
      <c r="D2261">
        <v>104.1</v>
      </c>
      <c r="E2261">
        <v>104.1</v>
      </c>
      <c r="F2261" t="str">
        <f t="shared" si="35"/>
        <v>solar pv</v>
      </c>
    </row>
    <row r="2262" spans="1:6" x14ac:dyDescent="0.25">
      <c r="A2262" t="s">
        <v>165</v>
      </c>
      <c r="B2262" t="s">
        <v>249</v>
      </c>
      <c r="C2262">
        <v>2020</v>
      </c>
      <c r="D2262">
        <v>96.7</v>
      </c>
      <c r="E2262">
        <v>96.7</v>
      </c>
      <c r="F2262" t="str">
        <f t="shared" si="35"/>
        <v>solar pv</v>
      </c>
    </row>
    <row r="2263" spans="1:6" x14ac:dyDescent="0.25">
      <c r="A2263" t="s">
        <v>165</v>
      </c>
      <c r="B2263" t="s">
        <v>249</v>
      </c>
      <c r="C2263">
        <v>2021</v>
      </c>
      <c r="D2263">
        <v>57.5</v>
      </c>
      <c r="E2263">
        <v>57.6</v>
      </c>
      <c r="F2263" t="str">
        <f t="shared" si="35"/>
        <v>solar pv</v>
      </c>
    </row>
    <row r="2264" spans="1:6" x14ac:dyDescent="0.25">
      <c r="A2264" t="s">
        <v>165</v>
      </c>
      <c r="B2264" t="s">
        <v>249</v>
      </c>
      <c r="C2264">
        <v>2022</v>
      </c>
      <c r="D2264">
        <v>66.8</v>
      </c>
      <c r="E2264">
        <v>67.2</v>
      </c>
      <c r="F2264" t="str">
        <f t="shared" si="35"/>
        <v>solar pv</v>
      </c>
    </row>
    <row r="2265" spans="1:6" x14ac:dyDescent="0.25">
      <c r="A2265" t="s">
        <v>165</v>
      </c>
      <c r="B2265" t="s">
        <v>249</v>
      </c>
      <c r="C2265">
        <v>2023</v>
      </c>
      <c r="D2265">
        <v>73.2</v>
      </c>
      <c r="E2265">
        <v>73.2</v>
      </c>
      <c r="F2265" t="str">
        <f t="shared" si="35"/>
        <v>solar pv</v>
      </c>
    </row>
    <row r="2266" spans="1:6" x14ac:dyDescent="0.25">
      <c r="A2266" t="s">
        <v>165</v>
      </c>
      <c r="B2266" t="s">
        <v>249</v>
      </c>
      <c r="C2266">
        <v>2024</v>
      </c>
      <c r="D2266">
        <v>18</v>
      </c>
      <c r="E2266">
        <v>18</v>
      </c>
      <c r="F2266" t="str">
        <f t="shared" si="35"/>
        <v>solar pv</v>
      </c>
    </row>
    <row r="2267" spans="1:6" x14ac:dyDescent="0.25">
      <c r="A2267" t="s">
        <v>165</v>
      </c>
      <c r="B2267" t="s">
        <v>249</v>
      </c>
      <c r="C2267">
        <v>2025</v>
      </c>
      <c r="D2267">
        <v>54.7</v>
      </c>
      <c r="E2267">
        <v>56.1</v>
      </c>
      <c r="F2267" t="str">
        <f t="shared" si="35"/>
        <v>solar pv</v>
      </c>
    </row>
    <row r="2268" spans="1:6" x14ac:dyDescent="0.25">
      <c r="A2268" t="s">
        <v>167</v>
      </c>
      <c r="B2268" t="s">
        <v>90</v>
      </c>
      <c r="C2268">
        <v>2002</v>
      </c>
      <c r="D2268">
        <v>2.1</v>
      </c>
      <c r="E2268">
        <v>2.2000000000000002</v>
      </c>
      <c r="F2268" t="str">
        <f t="shared" si="35"/>
        <v>biomass</v>
      </c>
    </row>
    <row r="2269" spans="1:6" x14ac:dyDescent="0.25">
      <c r="A2269" t="s">
        <v>167</v>
      </c>
      <c r="B2269" t="s">
        <v>90</v>
      </c>
      <c r="C2269">
        <v>2008</v>
      </c>
      <c r="D2269">
        <v>3.2</v>
      </c>
      <c r="E2269">
        <v>3.2</v>
      </c>
      <c r="F2269" t="str">
        <f t="shared" si="35"/>
        <v>biomass</v>
      </c>
    </row>
    <row r="2270" spans="1:6" x14ac:dyDescent="0.25">
      <c r="A2270" t="s">
        <v>167</v>
      </c>
      <c r="B2270" t="s">
        <v>91</v>
      </c>
      <c r="C2270">
        <v>2013</v>
      </c>
      <c r="D2270">
        <v>1.6</v>
      </c>
      <c r="E2270">
        <v>4</v>
      </c>
      <c r="F2270" t="str">
        <f t="shared" si="35"/>
        <v>geothermal</v>
      </c>
    </row>
    <row r="2271" spans="1:6" x14ac:dyDescent="0.25">
      <c r="A2271" t="s">
        <v>167</v>
      </c>
      <c r="B2271" t="s">
        <v>91</v>
      </c>
      <c r="C2271">
        <v>2018</v>
      </c>
      <c r="D2271">
        <v>7</v>
      </c>
      <c r="E2271">
        <v>15.2</v>
      </c>
      <c r="F2271" t="str">
        <f t="shared" si="35"/>
        <v>geothermal</v>
      </c>
    </row>
    <row r="2272" spans="1:6" x14ac:dyDescent="0.25">
      <c r="A2272" t="s">
        <v>167</v>
      </c>
      <c r="B2272" t="s">
        <v>86</v>
      </c>
      <c r="C2272">
        <v>2011</v>
      </c>
      <c r="D2272">
        <v>3</v>
      </c>
      <c r="E2272">
        <v>3</v>
      </c>
      <c r="F2272" t="str">
        <f t="shared" si="35"/>
        <v>hydro</v>
      </c>
    </row>
    <row r="2273" spans="1:6" x14ac:dyDescent="0.25">
      <c r="A2273" t="s">
        <v>167</v>
      </c>
      <c r="B2273" t="s">
        <v>84</v>
      </c>
      <c r="C2273">
        <v>2001</v>
      </c>
      <c r="D2273">
        <v>35</v>
      </c>
      <c r="E2273">
        <v>37.5</v>
      </c>
      <c r="F2273" t="str">
        <f t="shared" si="35"/>
        <v>natural gas combined cycle</v>
      </c>
    </row>
    <row r="2274" spans="1:6" x14ac:dyDescent="0.25">
      <c r="A2274" t="s">
        <v>167</v>
      </c>
      <c r="B2274" t="s">
        <v>84</v>
      </c>
      <c r="C2274">
        <v>2002</v>
      </c>
      <c r="D2274">
        <v>144</v>
      </c>
      <c r="E2274">
        <v>177</v>
      </c>
      <c r="F2274" t="str">
        <f t="shared" si="35"/>
        <v>natural gas combined cycle</v>
      </c>
    </row>
    <row r="2275" spans="1:6" x14ac:dyDescent="0.25">
      <c r="A2275" t="s">
        <v>167</v>
      </c>
      <c r="B2275" t="s">
        <v>84</v>
      </c>
      <c r="C2275">
        <v>2005</v>
      </c>
      <c r="D2275">
        <v>58</v>
      </c>
      <c r="E2275">
        <v>67</v>
      </c>
      <c r="F2275" t="str">
        <f t="shared" si="35"/>
        <v>natural gas combined cycle</v>
      </c>
    </row>
    <row r="2276" spans="1:6" x14ac:dyDescent="0.25">
      <c r="A2276" t="s">
        <v>167</v>
      </c>
      <c r="B2276" t="s">
        <v>84</v>
      </c>
      <c r="C2276">
        <v>2006</v>
      </c>
      <c r="D2276">
        <v>559</v>
      </c>
      <c r="E2276">
        <v>650</v>
      </c>
      <c r="F2276" t="str">
        <f t="shared" si="35"/>
        <v>natural gas combined cycle</v>
      </c>
    </row>
    <row r="2277" spans="1:6" x14ac:dyDescent="0.25">
      <c r="A2277" t="s">
        <v>167</v>
      </c>
      <c r="B2277" t="s">
        <v>84</v>
      </c>
      <c r="C2277">
        <v>2007</v>
      </c>
      <c r="D2277">
        <v>94.6</v>
      </c>
      <c r="E2277">
        <v>110</v>
      </c>
      <c r="F2277" t="str">
        <f t="shared" si="35"/>
        <v>natural gas combined cycle</v>
      </c>
    </row>
    <row r="2278" spans="1:6" x14ac:dyDescent="0.25">
      <c r="A2278" t="s">
        <v>167</v>
      </c>
      <c r="B2278" t="s">
        <v>84</v>
      </c>
      <c r="C2278">
        <v>2008</v>
      </c>
      <c r="D2278">
        <v>573.79999999999995</v>
      </c>
      <c r="E2278">
        <v>674.3</v>
      </c>
      <c r="F2278" t="str">
        <f t="shared" si="35"/>
        <v>natural gas combined cycle</v>
      </c>
    </row>
    <row r="2279" spans="1:6" x14ac:dyDescent="0.25">
      <c r="A2279" t="s">
        <v>167</v>
      </c>
      <c r="B2279" t="s">
        <v>93</v>
      </c>
      <c r="C2279">
        <v>1994</v>
      </c>
      <c r="D2279">
        <v>17</v>
      </c>
      <c r="E2279">
        <v>18.600000000000001</v>
      </c>
      <c r="F2279" t="str">
        <f t="shared" si="35"/>
        <v>natural gas peaker</v>
      </c>
    </row>
    <row r="2280" spans="1:6" x14ac:dyDescent="0.25">
      <c r="A2280" t="s">
        <v>167</v>
      </c>
      <c r="B2280" t="s">
        <v>93</v>
      </c>
      <c r="C2280">
        <v>1996</v>
      </c>
      <c r="D2280">
        <v>65.3</v>
      </c>
      <c r="E2280">
        <v>65.5</v>
      </c>
      <c r="F2280" t="str">
        <f t="shared" si="35"/>
        <v>natural gas peaker</v>
      </c>
    </row>
    <row r="2281" spans="1:6" x14ac:dyDescent="0.25">
      <c r="A2281" t="s">
        <v>167</v>
      </c>
      <c r="B2281" t="s">
        <v>93</v>
      </c>
      <c r="C2281">
        <v>1998</v>
      </c>
      <c r="D2281">
        <v>207</v>
      </c>
      <c r="E2281">
        <v>253.8</v>
      </c>
      <c r="F2281" t="str">
        <f t="shared" si="35"/>
        <v>natural gas peaker</v>
      </c>
    </row>
    <row r="2282" spans="1:6" x14ac:dyDescent="0.25">
      <c r="A2282" t="s">
        <v>167</v>
      </c>
      <c r="B2282" t="s">
        <v>93</v>
      </c>
      <c r="C2282">
        <v>2000</v>
      </c>
      <c r="D2282">
        <v>140.69999999999999</v>
      </c>
      <c r="E2282">
        <v>150</v>
      </c>
      <c r="F2282" t="str">
        <f t="shared" si="35"/>
        <v>natural gas peaker</v>
      </c>
    </row>
    <row r="2283" spans="1:6" x14ac:dyDescent="0.25">
      <c r="A2283" t="s">
        <v>167</v>
      </c>
      <c r="B2283" t="s">
        <v>93</v>
      </c>
      <c r="C2283">
        <v>2002</v>
      </c>
      <c r="D2283">
        <v>84.7</v>
      </c>
      <c r="E2283">
        <v>90.2</v>
      </c>
      <c r="F2283" t="str">
        <f t="shared" si="35"/>
        <v>natural gas peaker</v>
      </c>
    </row>
    <row r="2284" spans="1:6" x14ac:dyDescent="0.25">
      <c r="A2284" t="s">
        <v>167</v>
      </c>
      <c r="B2284" t="s">
        <v>93</v>
      </c>
      <c r="C2284">
        <v>2003</v>
      </c>
      <c r="D2284">
        <v>158</v>
      </c>
      <c r="E2284">
        <v>186</v>
      </c>
      <c r="F2284" t="str">
        <f t="shared" si="35"/>
        <v>natural gas peaker</v>
      </c>
    </row>
    <row r="2285" spans="1:6" x14ac:dyDescent="0.25">
      <c r="A2285" t="s">
        <v>167</v>
      </c>
      <c r="B2285" t="s">
        <v>93</v>
      </c>
      <c r="C2285">
        <v>2005</v>
      </c>
      <c r="D2285">
        <v>6</v>
      </c>
      <c r="E2285">
        <v>7</v>
      </c>
      <c r="F2285" t="str">
        <f t="shared" si="35"/>
        <v>natural gas peaker</v>
      </c>
    </row>
    <row r="2286" spans="1:6" x14ac:dyDescent="0.25">
      <c r="A2286" t="s">
        <v>167</v>
      </c>
      <c r="B2286" t="s">
        <v>93</v>
      </c>
      <c r="C2286">
        <v>2008</v>
      </c>
      <c r="D2286">
        <v>148.6</v>
      </c>
      <c r="E2286">
        <v>166.7</v>
      </c>
      <c r="F2286" t="str">
        <f t="shared" si="35"/>
        <v>natural gas peaker</v>
      </c>
    </row>
    <row r="2287" spans="1:6" x14ac:dyDescent="0.25">
      <c r="A2287" t="s">
        <v>167</v>
      </c>
      <c r="B2287" t="s">
        <v>93</v>
      </c>
      <c r="C2287">
        <v>2012</v>
      </c>
      <c r="D2287">
        <v>43.5</v>
      </c>
      <c r="E2287">
        <v>46.5</v>
      </c>
      <c r="F2287" t="str">
        <f t="shared" si="35"/>
        <v>natural gas peaker</v>
      </c>
    </row>
    <row r="2288" spans="1:6" x14ac:dyDescent="0.25">
      <c r="A2288" t="s">
        <v>167</v>
      </c>
      <c r="B2288" t="s">
        <v>93</v>
      </c>
      <c r="C2288">
        <v>2013</v>
      </c>
      <c r="D2288">
        <v>83</v>
      </c>
      <c r="E2288">
        <v>131.80000000000001</v>
      </c>
      <c r="F2288" t="str">
        <f t="shared" si="35"/>
        <v>natural gas peaker</v>
      </c>
    </row>
    <row r="2289" spans="1:6" x14ac:dyDescent="0.25">
      <c r="A2289" t="s">
        <v>167</v>
      </c>
      <c r="B2289" t="s">
        <v>93</v>
      </c>
      <c r="C2289">
        <v>2014</v>
      </c>
      <c r="D2289">
        <v>6.2</v>
      </c>
      <c r="E2289">
        <v>6.7</v>
      </c>
      <c r="F2289" t="str">
        <f t="shared" si="35"/>
        <v>natural gas peaker</v>
      </c>
    </row>
    <row r="2290" spans="1:6" x14ac:dyDescent="0.25">
      <c r="A2290" t="s">
        <v>167</v>
      </c>
      <c r="B2290" t="s">
        <v>93</v>
      </c>
      <c r="C2290">
        <v>2015</v>
      </c>
      <c r="D2290">
        <v>40</v>
      </c>
      <c r="E2290">
        <v>42.3</v>
      </c>
      <c r="F2290" t="str">
        <f t="shared" si="35"/>
        <v>natural gas peaker</v>
      </c>
    </row>
    <row r="2291" spans="1:6" x14ac:dyDescent="0.25">
      <c r="A2291" t="s">
        <v>167</v>
      </c>
      <c r="B2291" t="s">
        <v>93</v>
      </c>
      <c r="C2291">
        <v>2025</v>
      </c>
      <c r="D2291">
        <v>18</v>
      </c>
      <c r="E2291">
        <v>18.8</v>
      </c>
      <c r="F2291" t="str">
        <f t="shared" si="35"/>
        <v>natural gas peaker</v>
      </c>
    </row>
    <row r="2292" spans="1:6" x14ac:dyDescent="0.25">
      <c r="A2292" t="s">
        <v>167</v>
      </c>
      <c r="B2292" t="s">
        <v>87</v>
      </c>
      <c r="C2292">
        <v>2003</v>
      </c>
      <c r="D2292">
        <v>204</v>
      </c>
      <c r="E2292">
        <v>204</v>
      </c>
      <c r="F2292" t="str">
        <f t="shared" si="35"/>
        <v>onshore wind</v>
      </c>
    </row>
    <row r="2293" spans="1:6" x14ac:dyDescent="0.25">
      <c r="A2293" t="s">
        <v>167</v>
      </c>
      <c r="B2293" t="s">
        <v>87</v>
      </c>
      <c r="C2293">
        <v>2004</v>
      </c>
      <c r="D2293">
        <v>80</v>
      </c>
      <c r="E2293">
        <v>80</v>
      </c>
      <c r="F2293" t="str">
        <f t="shared" si="35"/>
        <v>onshore wind</v>
      </c>
    </row>
    <row r="2294" spans="1:6" x14ac:dyDescent="0.25">
      <c r="A2294" t="s">
        <v>167</v>
      </c>
      <c r="B2294" t="s">
        <v>87</v>
      </c>
      <c r="C2294">
        <v>2005</v>
      </c>
      <c r="D2294">
        <v>140</v>
      </c>
      <c r="E2294">
        <v>140</v>
      </c>
      <c r="F2294" t="str">
        <f t="shared" si="35"/>
        <v>onshore wind</v>
      </c>
    </row>
    <row r="2295" spans="1:6" x14ac:dyDescent="0.25">
      <c r="A2295" t="s">
        <v>167</v>
      </c>
      <c r="B2295" t="s">
        <v>87</v>
      </c>
      <c r="C2295">
        <v>2006</v>
      </c>
      <c r="D2295">
        <v>90</v>
      </c>
      <c r="E2295">
        <v>90</v>
      </c>
      <c r="F2295" t="str">
        <f t="shared" si="35"/>
        <v>onshore wind</v>
      </c>
    </row>
    <row r="2296" spans="1:6" x14ac:dyDescent="0.25">
      <c r="A2296" t="s">
        <v>167</v>
      </c>
      <c r="B2296" t="s">
        <v>87</v>
      </c>
      <c r="C2296">
        <v>2008</v>
      </c>
      <c r="D2296">
        <v>1.5</v>
      </c>
      <c r="E2296">
        <v>1.5</v>
      </c>
      <c r="F2296" t="str">
        <f t="shared" si="35"/>
        <v>onshore wind</v>
      </c>
    </row>
    <row r="2297" spans="1:6" x14ac:dyDescent="0.25">
      <c r="A2297" t="s">
        <v>167</v>
      </c>
      <c r="B2297" t="s">
        <v>87</v>
      </c>
      <c r="C2297">
        <v>2009</v>
      </c>
      <c r="D2297">
        <v>100</v>
      </c>
      <c r="E2297">
        <v>100</v>
      </c>
      <c r="F2297" t="str">
        <f t="shared" si="35"/>
        <v>onshore wind</v>
      </c>
    </row>
    <row r="2298" spans="1:6" x14ac:dyDescent="0.25">
      <c r="A2298" t="s">
        <v>167</v>
      </c>
      <c r="B2298" t="s">
        <v>87</v>
      </c>
      <c r="C2298">
        <v>2010</v>
      </c>
      <c r="D2298">
        <v>102.4</v>
      </c>
      <c r="E2298">
        <v>102.4</v>
      </c>
      <c r="F2298" t="str">
        <f t="shared" si="35"/>
        <v>onshore wind</v>
      </c>
    </row>
    <row r="2299" spans="1:6" x14ac:dyDescent="0.25">
      <c r="A2299" t="s">
        <v>167</v>
      </c>
      <c r="B2299" t="s">
        <v>87</v>
      </c>
      <c r="C2299">
        <v>2011</v>
      </c>
      <c r="D2299">
        <v>50.4</v>
      </c>
      <c r="E2299">
        <v>50.4</v>
      </c>
      <c r="F2299" t="str">
        <f t="shared" si="35"/>
        <v>onshore wind</v>
      </c>
    </row>
    <row r="2300" spans="1:6" x14ac:dyDescent="0.25">
      <c r="A2300" t="s">
        <v>167</v>
      </c>
      <c r="B2300" t="s">
        <v>87</v>
      </c>
      <c r="C2300">
        <v>2012</v>
      </c>
      <c r="D2300">
        <v>27.3</v>
      </c>
      <c r="E2300">
        <v>27.3</v>
      </c>
      <c r="F2300" t="str">
        <f t="shared" si="35"/>
        <v>onshore wind</v>
      </c>
    </row>
    <row r="2301" spans="1:6" x14ac:dyDescent="0.25">
      <c r="A2301" t="s">
        <v>167</v>
      </c>
      <c r="B2301" t="s">
        <v>87</v>
      </c>
      <c r="C2301">
        <v>2014</v>
      </c>
      <c r="D2301">
        <v>34.799999999999997</v>
      </c>
      <c r="E2301">
        <v>34.799999999999997</v>
      </c>
      <c r="F2301" t="str">
        <f t="shared" si="35"/>
        <v>onshore wind</v>
      </c>
    </row>
    <row r="2302" spans="1:6" x14ac:dyDescent="0.25">
      <c r="A2302" t="s">
        <v>167</v>
      </c>
      <c r="B2302" t="s">
        <v>87</v>
      </c>
      <c r="C2302">
        <v>2015</v>
      </c>
      <c r="D2302">
        <v>250</v>
      </c>
      <c r="E2302">
        <v>250</v>
      </c>
      <c r="F2302" t="str">
        <f t="shared" si="35"/>
        <v>onshore wind</v>
      </c>
    </row>
    <row r="2303" spans="1:6" x14ac:dyDescent="0.25">
      <c r="A2303" t="s">
        <v>167</v>
      </c>
      <c r="B2303" t="s">
        <v>87</v>
      </c>
      <c r="C2303">
        <v>2016</v>
      </c>
      <c r="D2303">
        <v>50</v>
      </c>
      <c r="E2303">
        <v>50</v>
      </c>
      <c r="F2303" t="str">
        <f t="shared" si="35"/>
        <v>onshore wind</v>
      </c>
    </row>
    <row r="2304" spans="1:6" x14ac:dyDescent="0.25">
      <c r="A2304" t="s">
        <v>167</v>
      </c>
      <c r="B2304" t="s">
        <v>87</v>
      </c>
      <c r="C2304">
        <v>2017</v>
      </c>
      <c r="D2304">
        <v>652.20000000000005</v>
      </c>
      <c r="E2304">
        <v>652.20000000000005</v>
      </c>
      <c r="F2304" t="str">
        <f t="shared" si="35"/>
        <v>onshore wind</v>
      </c>
    </row>
    <row r="2305" spans="1:6" x14ac:dyDescent="0.25">
      <c r="A2305" t="s">
        <v>167</v>
      </c>
      <c r="B2305" t="s">
        <v>87</v>
      </c>
      <c r="C2305">
        <v>2018</v>
      </c>
      <c r="D2305">
        <v>50.9</v>
      </c>
      <c r="E2305">
        <v>50.9</v>
      </c>
      <c r="F2305" t="str">
        <f t="shared" si="35"/>
        <v>onshore wind</v>
      </c>
    </row>
    <row r="2306" spans="1:6" x14ac:dyDescent="0.25">
      <c r="A2306" t="s">
        <v>167</v>
      </c>
      <c r="B2306" t="s">
        <v>87</v>
      </c>
      <c r="C2306">
        <v>2019</v>
      </c>
      <c r="D2306">
        <v>220.5</v>
      </c>
      <c r="E2306">
        <v>220.5</v>
      </c>
      <c r="F2306" t="str">
        <f t="shared" ref="F2306:F2369" si="36">LOWER($B2306)</f>
        <v>onshore wind</v>
      </c>
    </row>
    <row r="2307" spans="1:6" x14ac:dyDescent="0.25">
      <c r="A2307" t="s">
        <v>167</v>
      </c>
      <c r="B2307" t="s">
        <v>87</v>
      </c>
      <c r="C2307">
        <v>2020</v>
      </c>
      <c r="D2307">
        <v>522</v>
      </c>
      <c r="E2307">
        <v>522</v>
      </c>
      <c r="F2307" t="str">
        <f t="shared" si="36"/>
        <v>onshore wind</v>
      </c>
    </row>
    <row r="2308" spans="1:6" x14ac:dyDescent="0.25">
      <c r="A2308" t="s">
        <v>167</v>
      </c>
      <c r="B2308" t="s">
        <v>87</v>
      </c>
      <c r="C2308">
        <v>2021</v>
      </c>
      <c r="D2308">
        <v>1708</v>
      </c>
      <c r="E2308">
        <v>1708</v>
      </c>
      <c r="F2308" t="str">
        <f t="shared" si="36"/>
        <v>onshore wind</v>
      </c>
    </row>
    <row r="2309" spans="1:6" x14ac:dyDescent="0.25">
      <c r="A2309" t="s">
        <v>167</v>
      </c>
      <c r="B2309" t="s">
        <v>87</v>
      </c>
      <c r="C2309">
        <v>2022</v>
      </c>
      <c r="D2309">
        <v>145</v>
      </c>
      <c r="E2309">
        <v>145</v>
      </c>
      <c r="F2309" t="str">
        <f t="shared" si="36"/>
        <v>onshore wind</v>
      </c>
    </row>
    <row r="2310" spans="1:6" x14ac:dyDescent="0.25">
      <c r="A2310" t="s">
        <v>167</v>
      </c>
      <c r="B2310" t="s">
        <v>92</v>
      </c>
      <c r="C2310">
        <v>2013</v>
      </c>
      <c r="D2310">
        <v>17</v>
      </c>
      <c r="E2310">
        <v>27</v>
      </c>
      <c r="F2310" t="str">
        <f t="shared" si="36"/>
        <v>petroleum</v>
      </c>
    </row>
    <row r="2311" spans="1:6" x14ac:dyDescent="0.25">
      <c r="A2311" t="s">
        <v>167</v>
      </c>
      <c r="B2311" t="s">
        <v>249</v>
      </c>
      <c r="C2311">
        <v>2010</v>
      </c>
      <c r="D2311">
        <v>30.6</v>
      </c>
      <c r="E2311">
        <v>30.6</v>
      </c>
      <c r="F2311" t="str">
        <f t="shared" si="36"/>
        <v>solar pv</v>
      </c>
    </row>
    <row r="2312" spans="1:6" x14ac:dyDescent="0.25">
      <c r="A2312" t="s">
        <v>167</v>
      </c>
      <c r="B2312" t="s">
        <v>249</v>
      </c>
      <c r="C2312">
        <v>2011</v>
      </c>
      <c r="D2312">
        <v>101.3</v>
      </c>
      <c r="E2312">
        <v>102.2</v>
      </c>
      <c r="F2312" t="str">
        <f t="shared" si="36"/>
        <v>solar pv</v>
      </c>
    </row>
    <row r="2313" spans="1:6" x14ac:dyDescent="0.25">
      <c r="A2313" t="s">
        <v>167</v>
      </c>
      <c r="B2313" t="s">
        <v>249</v>
      </c>
      <c r="C2313">
        <v>2012</v>
      </c>
      <c r="D2313">
        <v>31.7</v>
      </c>
      <c r="E2313">
        <v>29.7</v>
      </c>
      <c r="F2313" t="str">
        <f t="shared" si="36"/>
        <v>solar pv</v>
      </c>
    </row>
    <row r="2314" spans="1:6" x14ac:dyDescent="0.25">
      <c r="A2314" t="s">
        <v>167</v>
      </c>
      <c r="B2314" t="s">
        <v>249</v>
      </c>
      <c r="C2314">
        <v>2013</v>
      </c>
      <c r="D2314">
        <v>28.8</v>
      </c>
      <c r="E2314">
        <v>29.4</v>
      </c>
      <c r="F2314" t="str">
        <f t="shared" si="36"/>
        <v>solar pv</v>
      </c>
    </row>
    <row r="2315" spans="1:6" x14ac:dyDescent="0.25">
      <c r="A2315" t="s">
        <v>167</v>
      </c>
      <c r="B2315" t="s">
        <v>249</v>
      </c>
      <c r="C2315">
        <v>2014</v>
      </c>
      <c r="D2315">
        <v>59.8</v>
      </c>
      <c r="E2315">
        <v>62.6</v>
      </c>
      <c r="F2315" t="str">
        <f t="shared" si="36"/>
        <v>solar pv</v>
      </c>
    </row>
    <row r="2316" spans="1:6" x14ac:dyDescent="0.25">
      <c r="A2316" t="s">
        <v>167</v>
      </c>
      <c r="B2316" t="s">
        <v>249</v>
      </c>
      <c r="C2316">
        <v>2015</v>
      </c>
      <c r="D2316">
        <v>60</v>
      </c>
      <c r="E2316">
        <v>60.6</v>
      </c>
      <c r="F2316" t="str">
        <f t="shared" si="36"/>
        <v>solar pv</v>
      </c>
    </row>
    <row r="2317" spans="1:6" x14ac:dyDescent="0.25">
      <c r="A2317" t="s">
        <v>167</v>
      </c>
      <c r="B2317" t="s">
        <v>249</v>
      </c>
      <c r="C2317">
        <v>2016</v>
      </c>
      <c r="D2317">
        <v>164.4</v>
      </c>
      <c r="E2317">
        <v>165</v>
      </c>
      <c r="F2317" t="str">
        <f t="shared" si="36"/>
        <v>solar pv</v>
      </c>
    </row>
    <row r="2318" spans="1:6" x14ac:dyDescent="0.25">
      <c r="A2318" t="s">
        <v>167</v>
      </c>
      <c r="B2318" t="s">
        <v>249</v>
      </c>
      <c r="C2318">
        <v>2017</v>
      </c>
      <c r="D2318">
        <v>45</v>
      </c>
      <c r="E2318">
        <v>45</v>
      </c>
      <c r="F2318" t="str">
        <f t="shared" si="36"/>
        <v>solar pv</v>
      </c>
    </row>
    <row r="2319" spans="1:6" x14ac:dyDescent="0.25">
      <c r="A2319" t="s">
        <v>167</v>
      </c>
      <c r="B2319" t="s">
        <v>249</v>
      </c>
      <c r="C2319">
        <v>2018</v>
      </c>
      <c r="D2319">
        <v>39</v>
      </c>
      <c r="E2319">
        <v>39</v>
      </c>
      <c r="F2319" t="str">
        <f t="shared" si="36"/>
        <v>solar pv</v>
      </c>
    </row>
    <row r="2320" spans="1:6" x14ac:dyDescent="0.25">
      <c r="A2320" t="s">
        <v>167</v>
      </c>
      <c r="B2320" t="s">
        <v>249</v>
      </c>
      <c r="C2320">
        <v>2019</v>
      </c>
      <c r="D2320">
        <v>109.7</v>
      </c>
      <c r="E2320">
        <v>109.7</v>
      </c>
      <c r="F2320" t="str">
        <f t="shared" si="36"/>
        <v>solar pv</v>
      </c>
    </row>
    <row r="2321" spans="1:6" x14ac:dyDescent="0.25">
      <c r="A2321" t="s">
        <v>167</v>
      </c>
      <c r="B2321" t="s">
        <v>249</v>
      </c>
      <c r="C2321">
        <v>2020</v>
      </c>
      <c r="D2321">
        <v>62.1</v>
      </c>
      <c r="E2321">
        <v>62.1</v>
      </c>
      <c r="F2321" t="str">
        <f t="shared" si="36"/>
        <v>solar pv</v>
      </c>
    </row>
    <row r="2322" spans="1:6" x14ac:dyDescent="0.25">
      <c r="A2322" t="s">
        <v>167</v>
      </c>
      <c r="B2322" t="s">
        <v>249</v>
      </c>
      <c r="C2322">
        <v>2021</v>
      </c>
      <c r="D2322">
        <v>5</v>
      </c>
      <c r="E2322">
        <v>5</v>
      </c>
      <c r="F2322" t="str">
        <f t="shared" si="36"/>
        <v>solar pv</v>
      </c>
    </row>
    <row r="2323" spans="1:6" x14ac:dyDescent="0.25">
      <c r="A2323" t="s">
        <v>167</v>
      </c>
      <c r="B2323" t="s">
        <v>249</v>
      </c>
      <c r="C2323">
        <v>2022</v>
      </c>
      <c r="D2323">
        <v>67</v>
      </c>
      <c r="E2323">
        <v>67</v>
      </c>
      <c r="F2323" t="str">
        <f t="shared" si="36"/>
        <v>solar pv</v>
      </c>
    </row>
    <row r="2324" spans="1:6" x14ac:dyDescent="0.25">
      <c r="A2324" t="s">
        <v>167</v>
      </c>
      <c r="B2324" t="s">
        <v>249</v>
      </c>
      <c r="C2324">
        <v>2023</v>
      </c>
      <c r="D2324">
        <v>327.5</v>
      </c>
      <c r="E2324">
        <v>327.5</v>
      </c>
      <c r="F2324" t="str">
        <f t="shared" si="36"/>
        <v>solar pv</v>
      </c>
    </row>
    <row r="2325" spans="1:6" x14ac:dyDescent="0.25">
      <c r="A2325" t="s">
        <v>167</v>
      </c>
      <c r="B2325" t="s">
        <v>249</v>
      </c>
      <c r="C2325">
        <v>2024</v>
      </c>
      <c r="D2325">
        <v>1190</v>
      </c>
      <c r="E2325">
        <v>1190</v>
      </c>
      <c r="F2325" t="str">
        <f t="shared" si="36"/>
        <v>solar pv</v>
      </c>
    </row>
    <row r="2326" spans="1:6" x14ac:dyDescent="0.25">
      <c r="A2326" t="s">
        <v>167</v>
      </c>
      <c r="B2326" t="s">
        <v>249</v>
      </c>
      <c r="C2326">
        <v>2025</v>
      </c>
      <c r="D2326">
        <v>588.42999999999995</v>
      </c>
      <c r="E2326">
        <v>588.4</v>
      </c>
      <c r="F2326" t="str">
        <f t="shared" si="36"/>
        <v>solar pv</v>
      </c>
    </row>
    <row r="2327" spans="1:6" x14ac:dyDescent="0.25">
      <c r="A2327" t="s">
        <v>169</v>
      </c>
      <c r="B2327" t="s">
        <v>90</v>
      </c>
      <c r="C2327">
        <v>2012</v>
      </c>
      <c r="D2327">
        <v>9.8000000000000007</v>
      </c>
      <c r="E2327">
        <v>15.2</v>
      </c>
      <c r="F2327" t="str">
        <f t="shared" si="36"/>
        <v>biomass</v>
      </c>
    </row>
    <row r="2328" spans="1:6" x14ac:dyDescent="0.25">
      <c r="A2328" t="s">
        <v>169</v>
      </c>
      <c r="B2328" t="s">
        <v>91</v>
      </c>
      <c r="C2328">
        <v>1992</v>
      </c>
      <c r="D2328">
        <v>48.9</v>
      </c>
      <c r="E2328">
        <v>67.599999999999994</v>
      </c>
      <c r="F2328" t="str">
        <f t="shared" si="36"/>
        <v>geothermal</v>
      </c>
    </row>
    <row r="2329" spans="1:6" x14ac:dyDescent="0.25">
      <c r="A2329" t="s">
        <v>169</v>
      </c>
      <c r="B2329" t="s">
        <v>91</v>
      </c>
      <c r="C2329">
        <v>2002</v>
      </c>
      <c r="D2329">
        <v>4.3</v>
      </c>
      <c r="E2329">
        <v>6.5</v>
      </c>
      <c r="F2329" t="str">
        <f t="shared" si="36"/>
        <v>geothermal</v>
      </c>
    </row>
    <row r="2330" spans="1:6" x14ac:dyDescent="0.25">
      <c r="A2330" t="s">
        <v>169</v>
      </c>
      <c r="B2330" t="s">
        <v>91</v>
      </c>
      <c r="C2330">
        <v>2005</v>
      </c>
      <c r="D2330">
        <v>20</v>
      </c>
      <c r="E2330">
        <v>26</v>
      </c>
      <c r="F2330" t="str">
        <f t="shared" si="36"/>
        <v>geothermal</v>
      </c>
    </row>
    <row r="2331" spans="1:6" x14ac:dyDescent="0.25">
      <c r="A2331" t="s">
        <v>169</v>
      </c>
      <c r="B2331" t="s">
        <v>91</v>
      </c>
      <c r="C2331">
        <v>2006</v>
      </c>
      <c r="D2331">
        <v>17.3</v>
      </c>
      <c r="E2331">
        <v>26</v>
      </c>
      <c r="F2331" t="str">
        <f t="shared" si="36"/>
        <v>geothermal</v>
      </c>
    </row>
    <row r="2332" spans="1:6" x14ac:dyDescent="0.25">
      <c r="A2332" t="s">
        <v>169</v>
      </c>
      <c r="B2332" t="s">
        <v>91</v>
      </c>
      <c r="C2332">
        <v>2007</v>
      </c>
      <c r="D2332">
        <v>12.7</v>
      </c>
      <c r="E2332">
        <v>19</v>
      </c>
      <c r="F2332" t="str">
        <f t="shared" si="36"/>
        <v>geothermal</v>
      </c>
    </row>
    <row r="2333" spans="1:6" x14ac:dyDescent="0.25">
      <c r="A2333" t="s">
        <v>169</v>
      </c>
      <c r="B2333" t="s">
        <v>91</v>
      </c>
      <c r="C2333">
        <v>2008</v>
      </c>
      <c r="D2333">
        <v>20</v>
      </c>
      <c r="E2333">
        <v>30</v>
      </c>
      <c r="F2333" t="str">
        <f t="shared" si="36"/>
        <v>geothermal</v>
      </c>
    </row>
    <row r="2334" spans="1:6" x14ac:dyDescent="0.25">
      <c r="A2334" t="s">
        <v>169</v>
      </c>
      <c r="B2334" t="s">
        <v>91</v>
      </c>
      <c r="C2334">
        <v>2009</v>
      </c>
      <c r="D2334">
        <v>90.6</v>
      </c>
      <c r="E2334">
        <v>115.8</v>
      </c>
      <c r="F2334" t="str">
        <f t="shared" si="36"/>
        <v>geothermal</v>
      </c>
    </row>
    <row r="2335" spans="1:6" x14ac:dyDescent="0.25">
      <c r="A2335" t="s">
        <v>169</v>
      </c>
      <c r="B2335" t="s">
        <v>91</v>
      </c>
      <c r="C2335">
        <v>2010</v>
      </c>
      <c r="D2335">
        <v>15.6</v>
      </c>
      <c r="E2335">
        <v>23.5</v>
      </c>
      <c r="F2335" t="str">
        <f t="shared" si="36"/>
        <v>geothermal</v>
      </c>
    </row>
    <row r="2336" spans="1:6" x14ac:dyDescent="0.25">
      <c r="A2336" t="s">
        <v>169</v>
      </c>
      <c r="B2336" t="s">
        <v>91</v>
      </c>
      <c r="C2336">
        <v>2011</v>
      </c>
      <c r="D2336">
        <v>1.3</v>
      </c>
      <c r="E2336">
        <v>3.6</v>
      </c>
      <c r="F2336" t="str">
        <f t="shared" si="36"/>
        <v>geothermal</v>
      </c>
    </row>
    <row r="2337" spans="1:6" x14ac:dyDescent="0.25">
      <c r="A2337" t="s">
        <v>169</v>
      </c>
      <c r="B2337" t="s">
        <v>91</v>
      </c>
      <c r="C2337">
        <v>2012</v>
      </c>
      <c r="D2337">
        <v>64.5</v>
      </c>
      <c r="E2337">
        <v>102</v>
      </c>
      <c r="F2337" t="str">
        <f t="shared" si="36"/>
        <v>geothermal</v>
      </c>
    </row>
    <row r="2338" spans="1:6" x14ac:dyDescent="0.25">
      <c r="A2338" t="s">
        <v>169</v>
      </c>
      <c r="B2338" t="s">
        <v>91</v>
      </c>
      <c r="C2338">
        <v>2013</v>
      </c>
      <c r="D2338">
        <v>30</v>
      </c>
      <c r="E2338">
        <v>48</v>
      </c>
      <c r="F2338" t="str">
        <f t="shared" si="36"/>
        <v>geothermal</v>
      </c>
    </row>
    <row r="2339" spans="1:6" x14ac:dyDescent="0.25">
      <c r="A2339" t="s">
        <v>169</v>
      </c>
      <c r="B2339" t="s">
        <v>91</v>
      </c>
      <c r="C2339">
        <v>2014</v>
      </c>
      <c r="D2339">
        <v>13.3</v>
      </c>
      <c r="E2339">
        <v>20</v>
      </c>
      <c r="F2339" t="str">
        <f t="shared" si="36"/>
        <v>geothermal</v>
      </c>
    </row>
    <row r="2340" spans="1:6" x14ac:dyDescent="0.25">
      <c r="A2340" t="s">
        <v>169</v>
      </c>
      <c r="B2340" t="s">
        <v>91</v>
      </c>
      <c r="C2340">
        <v>2015</v>
      </c>
      <c r="D2340">
        <v>45.3</v>
      </c>
      <c r="E2340">
        <v>68</v>
      </c>
      <c r="F2340" t="str">
        <f t="shared" si="36"/>
        <v>geothermal</v>
      </c>
    </row>
    <row r="2341" spans="1:6" x14ac:dyDescent="0.25">
      <c r="A2341" t="s">
        <v>169</v>
      </c>
      <c r="B2341" t="s">
        <v>91</v>
      </c>
      <c r="C2341">
        <v>2017</v>
      </c>
      <c r="D2341">
        <v>24.4</v>
      </c>
      <c r="E2341">
        <v>37</v>
      </c>
      <c r="F2341" t="str">
        <f t="shared" si="36"/>
        <v>geothermal</v>
      </c>
    </row>
    <row r="2342" spans="1:6" x14ac:dyDescent="0.25">
      <c r="A2342" t="s">
        <v>169</v>
      </c>
      <c r="B2342" t="s">
        <v>91</v>
      </c>
      <c r="C2342">
        <v>2018</v>
      </c>
      <c r="D2342">
        <v>85.8</v>
      </c>
      <c r="E2342">
        <v>127</v>
      </c>
      <c r="F2342" t="str">
        <f t="shared" si="36"/>
        <v>geothermal</v>
      </c>
    </row>
    <row r="2343" spans="1:6" x14ac:dyDescent="0.25">
      <c r="A2343" t="s">
        <v>169</v>
      </c>
      <c r="B2343" t="s">
        <v>91</v>
      </c>
      <c r="C2343">
        <v>2019</v>
      </c>
      <c r="D2343">
        <v>20</v>
      </c>
      <c r="E2343">
        <v>26</v>
      </c>
      <c r="F2343" t="str">
        <f t="shared" si="36"/>
        <v>geothermal</v>
      </c>
    </row>
    <row r="2344" spans="1:6" x14ac:dyDescent="0.25">
      <c r="A2344" t="s">
        <v>169</v>
      </c>
      <c r="B2344" t="s">
        <v>91</v>
      </c>
      <c r="C2344">
        <v>2020</v>
      </c>
      <c r="D2344">
        <v>21.1</v>
      </c>
      <c r="E2344">
        <v>31.6</v>
      </c>
      <c r="F2344" t="str">
        <f t="shared" si="36"/>
        <v>geothermal</v>
      </c>
    </row>
    <row r="2345" spans="1:6" x14ac:dyDescent="0.25">
      <c r="A2345" t="s">
        <v>169</v>
      </c>
      <c r="B2345" t="s">
        <v>91</v>
      </c>
      <c r="C2345">
        <v>2021</v>
      </c>
      <c r="D2345">
        <v>24.8</v>
      </c>
      <c r="E2345">
        <v>24.8</v>
      </c>
      <c r="F2345" t="str">
        <f t="shared" si="36"/>
        <v>geothermal</v>
      </c>
    </row>
    <row r="2346" spans="1:6" x14ac:dyDescent="0.25">
      <c r="A2346" t="s">
        <v>169</v>
      </c>
      <c r="B2346" t="s">
        <v>91</v>
      </c>
      <c r="C2346">
        <v>2022</v>
      </c>
      <c r="D2346">
        <v>38.9</v>
      </c>
      <c r="E2346">
        <v>47.4</v>
      </c>
      <c r="F2346" t="str">
        <f t="shared" si="36"/>
        <v>geothermal</v>
      </c>
    </row>
    <row r="2347" spans="1:6" x14ac:dyDescent="0.25">
      <c r="A2347" t="s">
        <v>169</v>
      </c>
      <c r="B2347" t="s">
        <v>91</v>
      </c>
      <c r="C2347">
        <v>2023</v>
      </c>
      <c r="D2347">
        <v>33</v>
      </c>
      <c r="E2347">
        <v>47.5</v>
      </c>
      <c r="F2347" t="str">
        <f t="shared" si="36"/>
        <v>geothermal</v>
      </c>
    </row>
    <row r="2348" spans="1:6" x14ac:dyDescent="0.25">
      <c r="A2348" t="s">
        <v>169</v>
      </c>
      <c r="B2348" t="s">
        <v>91</v>
      </c>
      <c r="C2348">
        <v>2024</v>
      </c>
      <c r="D2348">
        <v>20</v>
      </c>
      <c r="E2348">
        <v>29.2</v>
      </c>
      <c r="F2348" t="str">
        <f t="shared" si="36"/>
        <v>geothermal</v>
      </c>
    </row>
    <row r="2349" spans="1:6" x14ac:dyDescent="0.25">
      <c r="A2349" t="s">
        <v>169</v>
      </c>
      <c r="B2349" t="s">
        <v>81</v>
      </c>
      <c r="C2349">
        <v>2008</v>
      </c>
      <c r="D2349">
        <v>218.4</v>
      </c>
      <c r="E2349">
        <v>242</v>
      </c>
      <c r="F2349" t="str">
        <f t="shared" si="36"/>
        <v>hard coal</v>
      </c>
    </row>
    <row r="2350" spans="1:6" x14ac:dyDescent="0.25">
      <c r="A2350" t="s">
        <v>169</v>
      </c>
      <c r="B2350" t="s">
        <v>84</v>
      </c>
      <c r="C2350">
        <v>1991</v>
      </c>
      <c r="D2350">
        <v>101</v>
      </c>
      <c r="E2350">
        <v>127.2</v>
      </c>
      <c r="F2350" t="str">
        <f t="shared" si="36"/>
        <v>natural gas combined cycle</v>
      </c>
    </row>
    <row r="2351" spans="1:6" x14ac:dyDescent="0.25">
      <c r="A2351" t="s">
        <v>169</v>
      </c>
      <c r="B2351" t="s">
        <v>84</v>
      </c>
      <c r="C2351">
        <v>1992</v>
      </c>
      <c r="D2351">
        <v>178.6</v>
      </c>
      <c r="E2351">
        <v>191.1</v>
      </c>
      <c r="F2351" t="str">
        <f t="shared" si="36"/>
        <v>natural gas combined cycle</v>
      </c>
    </row>
    <row r="2352" spans="1:6" x14ac:dyDescent="0.25">
      <c r="A2352" t="s">
        <v>169</v>
      </c>
      <c r="B2352" t="s">
        <v>84</v>
      </c>
      <c r="C2352">
        <v>1993</v>
      </c>
      <c r="D2352">
        <v>85</v>
      </c>
      <c r="E2352">
        <v>104.4</v>
      </c>
      <c r="F2352" t="str">
        <f t="shared" si="36"/>
        <v>natural gas combined cycle</v>
      </c>
    </row>
    <row r="2353" spans="1:6" x14ac:dyDescent="0.25">
      <c r="A2353" t="s">
        <v>169</v>
      </c>
      <c r="B2353" t="s">
        <v>84</v>
      </c>
      <c r="C2353">
        <v>1994</v>
      </c>
      <c r="D2353">
        <v>199</v>
      </c>
      <c r="E2353">
        <v>235.4</v>
      </c>
      <c r="F2353" t="str">
        <f t="shared" si="36"/>
        <v>natural gas combined cycle</v>
      </c>
    </row>
    <row r="2354" spans="1:6" x14ac:dyDescent="0.25">
      <c r="A2354" t="s">
        <v>169</v>
      </c>
      <c r="B2354" t="s">
        <v>84</v>
      </c>
      <c r="C2354">
        <v>1996</v>
      </c>
      <c r="D2354">
        <v>40</v>
      </c>
      <c r="E2354">
        <v>50.2</v>
      </c>
      <c r="F2354" t="str">
        <f t="shared" si="36"/>
        <v>natural gas combined cycle</v>
      </c>
    </row>
    <row r="2355" spans="1:6" x14ac:dyDescent="0.25">
      <c r="A2355" t="s">
        <v>169</v>
      </c>
      <c r="B2355" t="s">
        <v>84</v>
      </c>
      <c r="C2355">
        <v>2000</v>
      </c>
      <c r="D2355">
        <v>450</v>
      </c>
      <c r="E2355">
        <v>537.29999999999995</v>
      </c>
      <c r="F2355" t="str">
        <f t="shared" si="36"/>
        <v>natural gas combined cycle</v>
      </c>
    </row>
    <row r="2356" spans="1:6" x14ac:dyDescent="0.25">
      <c r="A2356" t="s">
        <v>169</v>
      </c>
      <c r="B2356" t="s">
        <v>84</v>
      </c>
      <c r="C2356">
        <v>2003</v>
      </c>
      <c r="D2356">
        <v>756.4</v>
      </c>
      <c r="E2356">
        <v>898.2</v>
      </c>
      <c r="F2356" t="str">
        <f t="shared" si="36"/>
        <v>natural gas combined cycle</v>
      </c>
    </row>
    <row r="2357" spans="1:6" x14ac:dyDescent="0.25">
      <c r="A2357" t="s">
        <v>169</v>
      </c>
      <c r="B2357" t="s">
        <v>84</v>
      </c>
      <c r="C2357">
        <v>2004</v>
      </c>
      <c r="D2357">
        <v>1240</v>
      </c>
      <c r="E2357">
        <v>1353.1</v>
      </c>
      <c r="F2357" t="str">
        <f t="shared" si="36"/>
        <v>natural gas combined cycle</v>
      </c>
    </row>
    <row r="2358" spans="1:6" x14ac:dyDescent="0.25">
      <c r="A2358" t="s">
        <v>169</v>
      </c>
      <c r="B2358" t="s">
        <v>84</v>
      </c>
      <c r="C2358">
        <v>2006</v>
      </c>
      <c r="D2358">
        <v>1242</v>
      </c>
      <c r="E2358">
        <v>1465.6</v>
      </c>
      <c r="F2358" t="str">
        <f t="shared" si="36"/>
        <v>natural gas combined cycle</v>
      </c>
    </row>
    <row r="2359" spans="1:6" x14ac:dyDescent="0.25">
      <c r="A2359" t="s">
        <v>169</v>
      </c>
      <c r="B2359" t="s">
        <v>84</v>
      </c>
      <c r="C2359">
        <v>2008</v>
      </c>
      <c r="D2359">
        <v>609</v>
      </c>
      <c r="E2359">
        <v>623.20000000000005</v>
      </c>
      <c r="F2359" t="str">
        <f t="shared" si="36"/>
        <v>natural gas combined cycle</v>
      </c>
    </row>
    <row r="2360" spans="1:6" x14ac:dyDescent="0.25">
      <c r="A2360" t="s">
        <v>169</v>
      </c>
      <c r="B2360" t="s">
        <v>84</v>
      </c>
      <c r="C2360">
        <v>2011</v>
      </c>
      <c r="D2360">
        <v>510</v>
      </c>
      <c r="E2360">
        <v>558.5</v>
      </c>
      <c r="F2360" t="str">
        <f t="shared" si="36"/>
        <v>natural gas combined cycle</v>
      </c>
    </row>
    <row r="2361" spans="1:6" x14ac:dyDescent="0.25">
      <c r="A2361" t="s">
        <v>169</v>
      </c>
      <c r="B2361" t="s">
        <v>93</v>
      </c>
      <c r="C2361">
        <v>1991</v>
      </c>
      <c r="D2361">
        <v>222</v>
      </c>
      <c r="E2361">
        <v>222</v>
      </c>
      <c r="F2361" t="str">
        <f t="shared" si="36"/>
        <v>natural gas peaker</v>
      </c>
    </row>
    <row r="2362" spans="1:6" x14ac:dyDescent="0.25">
      <c r="A2362" t="s">
        <v>169</v>
      </c>
      <c r="B2362" t="s">
        <v>93</v>
      </c>
      <c r="C2362">
        <v>1994</v>
      </c>
      <c r="D2362">
        <v>132.6</v>
      </c>
      <c r="E2362">
        <v>170</v>
      </c>
      <c r="F2362" t="str">
        <f t="shared" si="36"/>
        <v>natural gas peaker</v>
      </c>
    </row>
    <row r="2363" spans="1:6" x14ac:dyDescent="0.25">
      <c r="A2363" t="s">
        <v>169</v>
      </c>
      <c r="B2363" t="s">
        <v>93</v>
      </c>
      <c r="C2363">
        <v>1995</v>
      </c>
      <c r="D2363">
        <v>72</v>
      </c>
      <c r="E2363">
        <v>101.5</v>
      </c>
      <c r="F2363" t="str">
        <f t="shared" si="36"/>
        <v>natural gas peaker</v>
      </c>
    </row>
    <row r="2364" spans="1:6" x14ac:dyDescent="0.25">
      <c r="A2364" t="s">
        <v>169</v>
      </c>
      <c r="B2364" t="s">
        <v>93</v>
      </c>
      <c r="C2364">
        <v>2005</v>
      </c>
      <c r="D2364">
        <v>118.7</v>
      </c>
      <c r="E2364">
        <v>117.6</v>
      </c>
      <c r="F2364" t="str">
        <f t="shared" si="36"/>
        <v>natural gas peaker</v>
      </c>
    </row>
    <row r="2365" spans="1:6" x14ac:dyDescent="0.25">
      <c r="A2365" t="s">
        <v>169</v>
      </c>
      <c r="B2365" t="s">
        <v>93</v>
      </c>
      <c r="C2365">
        <v>2006</v>
      </c>
      <c r="D2365">
        <v>72</v>
      </c>
      <c r="E2365">
        <v>85</v>
      </c>
      <c r="F2365" t="str">
        <f t="shared" si="36"/>
        <v>natural gas peaker</v>
      </c>
    </row>
    <row r="2366" spans="1:6" x14ac:dyDescent="0.25">
      <c r="A2366" t="s">
        <v>169</v>
      </c>
      <c r="B2366" t="s">
        <v>93</v>
      </c>
      <c r="C2366">
        <v>2008</v>
      </c>
      <c r="D2366">
        <v>624</v>
      </c>
      <c r="E2366">
        <v>724.4</v>
      </c>
      <c r="F2366" t="str">
        <f t="shared" si="36"/>
        <v>natural gas peaker</v>
      </c>
    </row>
    <row r="2367" spans="1:6" x14ac:dyDescent="0.25">
      <c r="A2367" t="s">
        <v>169</v>
      </c>
      <c r="B2367" t="s">
        <v>93</v>
      </c>
      <c r="C2367">
        <v>2009</v>
      </c>
      <c r="D2367">
        <v>8</v>
      </c>
      <c r="E2367">
        <v>8.6</v>
      </c>
      <c r="F2367" t="str">
        <f t="shared" si="36"/>
        <v>natural gas peaker</v>
      </c>
    </row>
    <row r="2368" spans="1:6" x14ac:dyDescent="0.25">
      <c r="A2368" t="s">
        <v>169</v>
      </c>
      <c r="B2368" t="s">
        <v>93</v>
      </c>
      <c r="C2368">
        <v>2024</v>
      </c>
      <c r="D2368">
        <v>444</v>
      </c>
      <c r="E2368">
        <v>455.6</v>
      </c>
      <c r="F2368" t="str">
        <f t="shared" si="36"/>
        <v>natural gas peaker</v>
      </c>
    </row>
    <row r="2369" spans="1:6" x14ac:dyDescent="0.25">
      <c r="A2369" t="s">
        <v>169</v>
      </c>
      <c r="B2369" t="s">
        <v>87</v>
      </c>
      <c r="C2369">
        <v>2012</v>
      </c>
      <c r="D2369">
        <v>150</v>
      </c>
      <c r="E2369">
        <v>150</v>
      </c>
      <c r="F2369" t="str">
        <f t="shared" si="36"/>
        <v>onshore wind</v>
      </c>
    </row>
    <row r="2370" spans="1:6" x14ac:dyDescent="0.25">
      <c r="A2370" t="s">
        <v>169</v>
      </c>
      <c r="B2370" t="s">
        <v>249</v>
      </c>
      <c r="C2370">
        <v>2007</v>
      </c>
      <c r="D2370">
        <v>8.51</v>
      </c>
      <c r="E2370">
        <v>14.2</v>
      </c>
      <c r="F2370" t="str">
        <f t="shared" ref="F2370:F2433" si="37">LOWER($B2370)</f>
        <v>solar pv</v>
      </c>
    </row>
    <row r="2371" spans="1:6" x14ac:dyDescent="0.25">
      <c r="A2371" t="s">
        <v>169</v>
      </c>
      <c r="B2371" t="s">
        <v>249</v>
      </c>
      <c r="C2371">
        <v>2008</v>
      </c>
      <c r="D2371">
        <v>10</v>
      </c>
      <c r="E2371">
        <v>10</v>
      </c>
      <c r="F2371" t="str">
        <f t="shared" si="37"/>
        <v>solar pv</v>
      </c>
    </row>
    <row r="2372" spans="1:6" x14ac:dyDescent="0.25">
      <c r="A2372" t="s">
        <v>169</v>
      </c>
      <c r="B2372" t="s">
        <v>249</v>
      </c>
      <c r="C2372">
        <v>2010</v>
      </c>
      <c r="D2372">
        <v>48</v>
      </c>
      <c r="E2372">
        <v>48</v>
      </c>
      <c r="F2372" t="str">
        <f t="shared" si="37"/>
        <v>solar pv</v>
      </c>
    </row>
    <row r="2373" spans="1:6" x14ac:dyDescent="0.25">
      <c r="A2373" t="s">
        <v>169</v>
      </c>
      <c r="B2373" t="s">
        <v>249</v>
      </c>
      <c r="C2373">
        <v>2012</v>
      </c>
      <c r="D2373">
        <v>185.8</v>
      </c>
      <c r="E2373">
        <v>188</v>
      </c>
      <c r="F2373" t="str">
        <f t="shared" si="37"/>
        <v>solar pv</v>
      </c>
    </row>
    <row r="2374" spans="1:6" x14ac:dyDescent="0.25">
      <c r="A2374" t="s">
        <v>169</v>
      </c>
      <c r="B2374" t="s">
        <v>249</v>
      </c>
      <c r="C2374">
        <v>2013</v>
      </c>
      <c r="D2374">
        <v>33.299999999999997</v>
      </c>
      <c r="E2374">
        <v>33.5</v>
      </c>
      <c r="F2374" t="str">
        <f t="shared" si="37"/>
        <v>solar pv</v>
      </c>
    </row>
    <row r="2375" spans="1:6" x14ac:dyDescent="0.25">
      <c r="A2375" t="s">
        <v>169</v>
      </c>
      <c r="B2375" t="s">
        <v>249</v>
      </c>
      <c r="C2375">
        <v>2014</v>
      </c>
      <c r="D2375">
        <v>247.5</v>
      </c>
      <c r="E2375">
        <v>247.5</v>
      </c>
      <c r="F2375" t="str">
        <f t="shared" si="37"/>
        <v>solar pv</v>
      </c>
    </row>
    <row r="2376" spans="1:6" x14ac:dyDescent="0.25">
      <c r="A2376" t="s">
        <v>169</v>
      </c>
      <c r="B2376" t="s">
        <v>249</v>
      </c>
      <c r="C2376">
        <v>2015</v>
      </c>
      <c r="D2376">
        <v>235.9</v>
      </c>
      <c r="E2376">
        <v>236.3</v>
      </c>
      <c r="F2376" t="str">
        <f t="shared" si="37"/>
        <v>solar pv</v>
      </c>
    </row>
    <row r="2377" spans="1:6" x14ac:dyDescent="0.25">
      <c r="A2377" t="s">
        <v>169</v>
      </c>
      <c r="B2377" t="s">
        <v>249</v>
      </c>
      <c r="C2377">
        <v>2016</v>
      </c>
      <c r="D2377">
        <v>628.41999999999996</v>
      </c>
      <c r="E2377">
        <v>629.1</v>
      </c>
      <c r="F2377" t="str">
        <f t="shared" si="37"/>
        <v>solar pv</v>
      </c>
    </row>
    <row r="2378" spans="1:6" x14ac:dyDescent="0.25">
      <c r="A2378" t="s">
        <v>169</v>
      </c>
      <c r="B2378" t="s">
        <v>249</v>
      </c>
      <c r="C2378">
        <v>2017</v>
      </c>
      <c r="D2378">
        <v>303.10000000000002</v>
      </c>
      <c r="E2378">
        <v>303.10000000000002</v>
      </c>
      <c r="F2378" t="str">
        <f t="shared" si="37"/>
        <v>solar pv</v>
      </c>
    </row>
    <row r="2379" spans="1:6" x14ac:dyDescent="0.25">
      <c r="A2379" t="s">
        <v>169</v>
      </c>
      <c r="B2379" t="s">
        <v>249</v>
      </c>
      <c r="C2379">
        <v>2018</v>
      </c>
      <c r="D2379">
        <v>23.1</v>
      </c>
      <c r="E2379">
        <v>23.1</v>
      </c>
      <c r="F2379" t="str">
        <f t="shared" si="37"/>
        <v>solar pv</v>
      </c>
    </row>
    <row r="2380" spans="1:6" x14ac:dyDescent="0.25">
      <c r="A2380" t="s">
        <v>169</v>
      </c>
      <c r="B2380" t="s">
        <v>249</v>
      </c>
      <c r="C2380">
        <v>2019</v>
      </c>
      <c r="D2380">
        <v>422.7</v>
      </c>
      <c r="E2380">
        <v>422.7</v>
      </c>
      <c r="F2380" t="str">
        <f t="shared" si="37"/>
        <v>solar pv</v>
      </c>
    </row>
    <row r="2381" spans="1:6" x14ac:dyDescent="0.25">
      <c r="A2381" t="s">
        <v>169</v>
      </c>
      <c r="B2381" t="s">
        <v>249</v>
      </c>
      <c r="C2381">
        <v>2020</v>
      </c>
      <c r="D2381">
        <v>160</v>
      </c>
      <c r="E2381">
        <v>160</v>
      </c>
      <c r="F2381" t="str">
        <f t="shared" si="37"/>
        <v>solar pv</v>
      </c>
    </row>
    <row r="2382" spans="1:6" x14ac:dyDescent="0.25">
      <c r="A2382" t="s">
        <v>169</v>
      </c>
      <c r="B2382" t="s">
        <v>249</v>
      </c>
      <c r="C2382">
        <v>2021</v>
      </c>
      <c r="D2382">
        <v>611.9</v>
      </c>
      <c r="E2382">
        <v>633.9</v>
      </c>
      <c r="F2382" t="str">
        <f t="shared" si="37"/>
        <v>solar pv</v>
      </c>
    </row>
    <row r="2383" spans="1:6" x14ac:dyDescent="0.25">
      <c r="A2383" t="s">
        <v>169</v>
      </c>
      <c r="B2383" t="s">
        <v>249</v>
      </c>
      <c r="C2383">
        <v>2022</v>
      </c>
      <c r="D2383">
        <v>309.89999999999998</v>
      </c>
      <c r="E2383">
        <v>309.89999999999998</v>
      </c>
      <c r="F2383" t="str">
        <f t="shared" si="37"/>
        <v>solar pv</v>
      </c>
    </row>
    <row r="2384" spans="1:6" x14ac:dyDescent="0.25">
      <c r="A2384" t="s">
        <v>169</v>
      </c>
      <c r="B2384" t="s">
        <v>249</v>
      </c>
      <c r="C2384">
        <v>2023</v>
      </c>
      <c r="D2384">
        <v>620.20000000000005</v>
      </c>
      <c r="E2384">
        <v>652</v>
      </c>
      <c r="F2384" t="str">
        <f t="shared" si="37"/>
        <v>solar pv</v>
      </c>
    </row>
    <row r="2385" spans="1:6" x14ac:dyDescent="0.25">
      <c r="A2385" t="s">
        <v>169</v>
      </c>
      <c r="B2385" t="s">
        <v>249</v>
      </c>
      <c r="C2385">
        <v>2024</v>
      </c>
      <c r="D2385">
        <v>1174.0999999999999</v>
      </c>
      <c r="E2385">
        <v>1174.0999999999999</v>
      </c>
      <c r="F2385" t="str">
        <f t="shared" si="37"/>
        <v>solar pv</v>
      </c>
    </row>
    <row r="2386" spans="1:6" x14ac:dyDescent="0.25">
      <c r="A2386" t="s">
        <v>169</v>
      </c>
      <c r="B2386" t="s">
        <v>249</v>
      </c>
      <c r="C2386">
        <v>2025</v>
      </c>
      <c r="D2386">
        <v>193.8</v>
      </c>
      <c r="E2386">
        <v>193.8</v>
      </c>
      <c r="F2386" t="str">
        <f t="shared" si="37"/>
        <v>solar pv</v>
      </c>
    </row>
    <row r="2387" spans="1:6" x14ac:dyDescent="0.25">
      <c r="A2387" t="s">
        <v>169</v>
      </c>
      <c r="B2387" t="s">
        <v>89</v>
      </c>
      <c r="C2387">
        <v>2007</v>
      </c>
      <c r="D2387">
        <v>68.5</v>
      </c>
      <c r="E2387">
        <v>75.7</v>
      </c>
      <c r="F2387" t="str">
        <f t="shared" si="37"/>
        <v>solar thermal</v>
      </c>
    </row>
    <row r="2388" spans="1:6" x14ac:dyDescent="0.25">
      <c r="A2388" t="s">
        <v>169</v>
      </c>
      <c r="B2388" t="s">
        <v>89</v>
      </c>
      <c r="C2388">
        <v>2015</v>
      </c>
      <c r="D2388">
        <v>110</v>
      </c>
      <c r="E2388">
        <v>125</v>
      </c>
      <c r="F2388" t="str">
        <f t="shared" si="37"/>
        <v>solar thermal</v>
      </c>
    </row>
    <row r="2389" spans="1:6" x14ac:dyDescent="0.25">
      <c r="A2389" t="s">
        <v>171</v>
      </c>
      <c r="B2389" t="s">
        <v>90</v>
      </c>
      <c r="C2389">
        <v>1991</v>
      </c>
      <c r="D2389">
        <v>3.2</v>
      </c>
      <c r="E2389">
        <v>3.2</v>
      </c>
      <c r="F2389" t="str">
        <f t="shared" si="37"/>
        <v>biomass</v>
      </c>
    </row>
    <row r="2390" spans="1:6" x14ac:dyDescent="0.25">
      <c r="A2390" t="s">
        <v>171</v>
      </c>
      <c r="B2390" t="s">
        <v>90</v>
      </c>
      <c r="C2390">
        <v>1996</v>
      </c>
      <c r="D2390">
        <v>4</v>
      </c>
      <c r="E2390">
        <v>4</v>
      </c>
      <c r="F2390" t="str">
        <f t="shared" si="37"/>
        <v>biomass</v>
      </c>
    </row>
    <row r="2391" spans="1:6" x14ac:dyDescent="0.25">
      <c r="A2391" t="s">
        <v>171</v>
      </c>
      <c r="B2391" t="s">
        <v>90</v>
      </c>
      <c r="C2391">
        <v>1997</v>
      </c>
      <c r="D2391">
        <v>1.6</v>
      </c>
      <c r="E2391">
        <v>1.6</v>
      </c>
      <c r="F2391" t="str">
        <f t="shared" si="37"/>
        <v>biomass</v>
      </c>
    </row>
    <row r="2392" spans="1:6" x14ac:dyDescent="0.25">
      <c r="A2392" t="s">
        <v>171</v>
      </c>
      <c r="B2392" t="s">
        <v>90</v>
      </c>
      <c r="C2392">
        <v>1998</v>
      </c>
      <c r="D2392">
        <v>7.4</v>
      </c>
      <c r="E2392">
        <v>7.4</v>
      </c>
      <c r="F2392" t="str">
        <f t="shared" si="37"/>
        <v>biomass</v>
      </c>
    </row>
    <row r="2393" spans="1:6" x14ac:dyDescent="0.25">
      <c r="A2393" t="s">
        <v>171</v>
      </c>
      <c r="B2393" t="s">
        <v>90</v>
      </c>
      <c r="C2393">
        <v>2001</v>
      </c>
      <c r="D2393">
        <v>5.6</v>
      </c>
      <c r="E2393">
        <v>5.6</v>
      </c>
      <c r="F2393" t="str">
        <f t="shared" si="37"/>
        <v>biomass</v>
      </c>
    </row>
    <row r="2394" spans="1:6" x14ac:dyDescent="0.25">
      <c r="A2394" t="s">
        <v>171</v>
      </c>
      <c r="B2394" t="s">
        <v>90</v>
      </c>
      <c r="C2394">
        <v>2003</v>
      </c>
      <c r="D2394">
        <v>3.2</v>
      </c>
      <c r="E2394">
        <v>3.2</v>
      </c>
      <c r="F2394" t="str">
        <f t="shared" si="37"/>
        <v>biomass</v>
      </c>
    </row>
    <row r="2395" spans="1:6" x14ac:dyDescent="0.25">
      <c r="A2395" t="s">
        <v>171</v>
      </c>
      <c r="B2395" t="s">
        <v>90</v>
      </c>
      <c r="C2395">
        <v>2005</v>
      </c>
      <c r="D2395">
        <v>2.4</v>
      </c>
      <c r="E2395">
        <v>2.4</v>
      </c>
      <c r="F2395" t="str">
        <f t="shared" si="37"/>
        <v>biomass</v>
      </c>
    </row>
    <row r="2396" spans="1:6" x14ac:dyDescent="0.25">
      <c r="A2396" t="s">
        <v>171</v>
      </c>
      <c r="B2396" t="s">
        <v>90</v>
      </c>
      <c r="C2396">
        <v>2006</v>
      </c>
      <c r="D2396">
        <v>15.2</v>
      </c>
      <c r="E2396">
        <v>15.2</v>
      </c>
      <c r="F2396" t="str">
        <f t="shared" si="37"/>
        <v>biomass</v>
      </c>
    </row>
    <row r="2397" spans="1:6" x14ac:dyDescent="0.25">
      <c r="A2397" t="s">
        <v>171</v>
      </c>
      <c r="B2397" t="s">
        <v>90</v>
      </c>
      <c r="C2397">
        <v>2007</v>
      </c>
      <c r="D2397">
        <v>17.600000000000001</v>
      </c>
      <c r="E2397">
        <v>17.600000000000001</v>
      </c>
      <c r="F2397" t="str">
        <f t="shared" si="37"/>
        <v>biomass</v>
      </c>
    </row>
    <row r="2398" spans="1:6" x14ac:dyDescent="0.25">
      <c r="A2398" t="s">
        <v>171</v>
      </c>
      <c r="B2398" t="s">
        <v>90</v>
      </c>
      <c r="C2398">
        <v>2008</v>
      </c>
      <c r="D2398">
        <v>21.7</v>
      </c>
      <c r="E2398">
        <v>21.7</v>
      </c>
      <c r="F2398" t="str">
        <f t="shared" si="37"/>
        <v>biomass</v>
      </c>
    </row>
    <row r="2399" spans="1:6" x14ac:dyDescent="0.25">
      <c r="A2399" t="s">
        <v>171</v>
      </c>
      <c r="B2399" t="s">
        <v>90</v>
      </c>
      <c r="C2399">
        <v>2009</v>
      </c>
      <c r="D2399">
        <v>4.8</v>
      </c>
      <c r="E2399">
        <v>4.8</v>
      </c>
      <c r="F2399" t="str">
        <f t="shared" si="37"/>
        <v>biomass</v>
      </c>
    </row>
    <row r="2400" spans="1:6" x14ac:dyDescent="0.25">
      <c r="A2400" t="s">
        <v>171</v>
      </c>
      <c r="B2400" t="s">
        <v>90</v>
      </c>
      <c r="C2400">
        <v>2010</v>
      </c>
      <c r="D2400">
        <v>16.899999999999999</v>
      </c>
      <c r="E2400">
        <v>16.899999999999999</v>
      </c>
      <c r="F2400" t="str">
        <f t="shared" si="37"/>
        <v>biomass</v>
      </c>
    </row>
    <row r="2401" spans="1:6" x14ac:dyDescent="0.25">
      <c r="A2401" t="s">
        <v>171</v>
      </c>
      <c r="B2401" t="s">
        <v>90</v>
      </c>
      <c r="C2401">
        <v>2011</v>
      </c>
      <c r="D2401">
        <v>4.4000000000000004</v>
      </c>
      <c r="E2401">
        <v>4.5999999999999996</v>
      </c>
      <c r="F2401" t="str">
        <f t="shared" si="37"/>
        <v>biomass</v>
      </c>
    </row>
    <row r="2402" spans="1:6" x14ac:dyDescent="0.25">
      <c r="A2402" t="s">
        <v>171</v>
      </c>
      <c r="B2402" t="s">
        <v>90</v>
      </c>
      <c r="C2402">
        <v>2012</v>
      </c>
      <c r="D2402">
        <v>6.4</v>
      </c>
      <c r="E2402">
        <v>6.4</v>
      </c>
      <c r="F2402" t="str">
        <f t="shared" si="37"/>
        <v>biomass</v>
      </c>
    </row>
    <row r="2403" spans="1:6" x14ac:dyDescent="0.25">
      <c r="A2403" t="s">
        <v>171</v>
      </c>
      <c r="B2403" t="s">
        <v>90</v>
      </c>
      <c r="C2403">
        <v>2013</v>
      </c>
      <c r="D2403">
        <v>6.4</v>
      </c>
      <c r="E2403">
        <v>6.4</v>
      </c>
      <c r="F2403" t="str">
        <f t="shared" si="37"/>
        <v>biomass</v>
      </c>
    </row>
    <row r="2404" spans="1:6" x14ac:dyDescent="0.25">
      <c r="A2404" t="s">
        <v>171</v>
      </c>
      <c r="B2404" t="s">
        <v>90</v>
      </c>
      <c r="C2404">
        <v>2016</v>
      </c>
      <c r="D2404">
        <v>1.6</v>
      </c>
      <c r="E2404">
        <v>1.6</v>
      </c>
      <c r="F2404" t="str">
        <f t="shared" si="37"/>
        <v>biomass</v>
      </c>
    </row>
    <row r="2405" spans="1:6" x14ac:dyDescent="0.25">
      <c r="A2405" t="s">
        <v>171</v>
      </c>
      <c r="B2405" t="s">
        <v>86</v>
      </c>
      <c r="C2405">
        <v>1990</v>
      </c>
      <c r="D2405">
        <v>20.7</v>
      </c>
      <c r="E2405">
        <v>21.1</v>
      </c>
      <c r="F2405" t="str">
        <f t="shared" si="37"/>
        <v>hydro</v>
      </c>
    </row>
    <row r="2406" spans="1:6" x14ac:dyDescent="0.25">
      <c r="A2406" t="s">
        <v>171</v>
      </c>
      <c r="B2406" t="s">
        <v>86</v>
      </c>
      <c r="C2406">
        <v>1991</v>
      </c>
      <c r="D2406">
        <v>28.6</v>
      </c>
      <c r="E2406">
        <v>29.6</v>
      </c>
      <c r="F2406" t="str">
        <f t="shared" si="37"/>
        <v>hydro</v>
      </c>
    </row>
    <row r="2407" spans="1:6" x14ac:dyDescent="0.25">
      <c r="A2407" t="s">
        <v>171</v>
      </c>
      <c r="B2407" t="s">
        <v>86</v>
      </c>
      <c r="C2407">
        <v>1992</v>
      </c>
      <c r="D2407">
        <v>3</v>
      </c>
      <c r="E2407">
        <v>3</v>
      </c>
      <c r="F2407" t="str">
        <f t="shared" si="37"/>
        <v>hydro</v>
      </c>
    </row>
    <row r="2408" spans="1:6" x14ac:dyDescent="0.25">
      <c r="A2408" t="s">
        <v>171</v>
      </c>
      <c r="B2408" t="s">
        <v>86</v>
      </c>
      <c r="C2408">
        <v>1993</v>
      </c>
      <c r="D2408">
        <v>3.4</v>
      </c>
      <c r="E2408">
        <v>3.4</v>
      </c>
      <c r="F2408" t="str">
        <f t="shared" si="37"/>
        <v>hydro</v>
      </c>
    </row>
    <row r="2409" spans="1:6" x14ac:dyDescent="0.25">
      <c r="A2409" t="s">
        <v>171</v>
      </c>
      <c r="B2409" t="s">
        <v>86</v>
      </c>
      <c r="C2409">
        <v>1994</v>
      </c>
      <c r="D2409">
        <v>15</v>
      </c>
      <c r="E2409">
        <v>15.8</v>
      </c>
      <c r="F2409" t="str">
        <f t="shared" si="37"/>
        <v>hydro</v>
      </c>
    </row>
    <row r="2410" spans="1:6" x14ac:dyDescent="0.25">
      <c r="A2410" t="s">
        <v>171</v>
      </c>
      <c r="B2410" t="s">
        <v>86</v>
      </c>
      <c r="C2410">
        <v>1995</v>
      </c>
      <c r="D2410">
        <v>44</v>
      </c>
      <c r="E2410">
        <v>44</v>
      </c>
      <c r="F2410" t="str">
        <f t="shared" si="37"/>
        <v>hydro</v>
      </c>
    </row>
    <row r="2411" spans="1:6" x14ac:dyDescent="0.25">
      <c r="A2411" t="s">
        <v>171</v>
      </c>
      <c r="B2411" t="s">
        <v>86</v>
      </c>
      <c r="C2411">
        <v>1999</v>
      </c>
      <c r="D2411">
        <v>32.6</v>
      </c>
      <c r="E2411">
        <v>32.6</v>
      </c>
      <c r="F2411" t="str">
        <f t="shared" si="37"/>
        <v>hydro</v>
      </c>
    </row>
    <row r="2412" spans="1:6" x14ac:dyDescent="0.25">
      <c r="A2412" t="s">
        <v>171</v>
      </c>
      <c r="B2412" t="s">
        <v>86</v>
      </c>
      <c r="C2412">
        <v>2002</v>
      </c>
      <c r="D2412">
        <v>1.6</v>
      </c>
      <c r="E2412">
        <v>1.8</v>
      </c>
      <c r="F2412" t="str">
        <f t="shared" si="37"/>
        <v>hydro</v>
      </c>
    </row>
    <row r="2413" spans="1:6" x14ac:dyDescent="0.25">
      <c r="A2413" t="s">
        <v>171</v>
      </c>
      <c r="B2413" t="s">
        <v>86</v>
      </c>
      <c r="C2413">
        <v>2003</v>
      </c>
      <c r="D2413">
        <v>6.3</v>
      </c>
      <c r="E2413">
        <v>6</v>
      </c>
      <c r="F2413" t="str">
        <f t="shared" si="37"/>
        <v>hydro</v>
      </c>
    </row>
    <row r="2414" spans="1:6" x14ac:dyDescent="0.25">
      <c r="A2414" t="s">
        <v>171</v>
      </c>
      <c r="B2414" t="s">
        <v>86</v>
      </c>
      <c r="C2414">
        <v>2008</v>
      </c>
      <c r="D2414">
        <v>0.8</v>
      </c>
      <c r="E2414">
        <v>1</v>
      </c>
      <c r="F2414" t="str">
        <f t="shared" si="37"/>
        <v>hydro</v>
      </c>
    </row>
    <row r="2415" spans="1:6" x14ac:dyDescent="0.25">
      <c r="A2415" t="s">
        <v>171</v>
      </c>
      <c r="B2415" t="s">
        <v>86</v>
      </c>
      <c r="C2415">
        <v>2009</v>
      </c>
      <c r="D2415">
        <v>8</v>
      </c>
      <c r="E2415">
        <v>8.3000000000000007</v>
      </c>
      <c r="F2415" t="str">
        <f t="shared" si="37"/>
        <v>hydro</v>
      </c>
    </row>
    <row r="2416" spans="1:6" x14ac:dyDescent="0.25">
      <c r="A2416" t="s">
        <v>171</v>
      </c>
      <c r="B2416" t="s">
        <v>86</v>
      </c>
      <c r="C2416">
        <v>2011</v>
      </c>
      <c r="D2416">
        <v>3</v>
      </c>
      <c r="E2416">
        <v>4</v>
      </c>
      <c r="F2416" t="str">
        <f t="shared" si="37"/>
        <v>hydro</v>
      </c>
    </row>
    <row r="2417" spans="1:6" x14ac:dyDescent="0.25">
      <c r="A2417" t="s">
        <v>171</v>
      </c>
      <c r="B2417" t="s">
        <v>86</v>
      </c>
      <c r="C2417">
        <v>2012</v>
      </c>
      <c r="D2417">
        <v>4</v>
      </c>
      <c r="E2417">
        <v>6</v>
      </c>
      <c r="F2417" t="str">
        <f t="shared" si="37"/>
        <v>hydro</v>
      </c>
    </row>
    <row r="2418" spans="1:6" x14ac:dyDescent="0.25">
      <c r="A2418" t="s">
        <v>171</v>
      </c>
      <c r="B2418" t="s">
        <v>86</v>
      </c>
      <c r="C2418">
        <v>2013</v>
      </c>
      <c r="D2418">
        <v>3.3</v>
      </c>
      <c r="E2418">
        <v>3.3</v>
      </c>
      <c r="F2418" t="str">
        <f t="shared" si="37"/>
        <v>hydro</v>
      </c>
    </row>
    <row r="2419" spans="1:6" x14ac:dyDescent="0.25">
      <c r="A2419" t="s">
        <v>171</v>
      </c>
      <c r="B2419" t="s">
        <v>86</v>
      </c>
      <c r="C2419">
        <v>2019</v>
      </c>
      <c r="D2419">
        <v>1.2</v>
      </c>
      <c r="E2419">
        <v>1.2</v>
      </c>
      <c r="F2419" t="str">
        <f t="shared" si="37"/>
        <v>hydro</v>
      </c>
    </row>
    <row r="2420" spans="1:6" x14ac:dyDescent="0.25">
      <c r="A2420" t="s">
        <v>171</v>
      </c>
      <c r="B2420" t="s">
        <v>98</v>
      </c>
      <c r="C2420">
        <v>1990</v>
      </c>
      <c r="D2420">
        <v>11</v>
      </c>
      <c r="E2420">
        <v>12.5</v>
      </c>
      <c r="F2420" t="str">
        <f t="shared" si="37"/>
        <v>municipal solid waste</v>
      </c>
    </row>
    <row r="2421" spans="1:6" x14ac:dyDescent="0.25">
      <c r="A2421" t="s">
        <v>171</v>
      </c>
      <c r="B2421" t="s">
        <v>98</v>
      </c>
      <c r="C2421">
        <v>1991</v>
      </c>
      <c r="D2421">
        <v>36</v>
      </c>
      <c r="E2421">
        <v>42.4</v>
      </c>
      <c r="F2421" t="str">
        <f t="shared" si="37"/>
        <v>municipal solid waste</v>
      </c>
    </row>
    <row r="2422" spans="1:6" x14ac:dyDescent="0.25">
      <c r="A2422" t="s">
        <v>171</v>
      </c>
      <c r="B2422" t="s">
        <v>98</v>
      </c>
      <c r="C2422">
        <v>1994</v>
      </c>
      <c r="D2422">
        <v>30</v>
      </c>
      <c r="E2422">
        <v>39.5</v>
      </c>
      <c r="F2422" t="str">
        <f t="shared" si="37"/>
        <v>municipal solid waste</v>
      </c>
    </row>
    <row r="2423" spans="1:6" x14ac:dyDescent="0.25">
      <c r="A2423" t="s">
        <v>171</v>
      </c>
      <c r="B2423" t="s">
        <v>84</v>
      </c>
      <c r="C2423">
        <v>1990</v>
      </c>
      <c r="D2423">
        <v>70</v>
      </c>
      <c r="E2423">
        <v>59.6</v>
      </c>
      <c r="F2423" t="str">
        <f t="shared" si="37"/>
        <v>natural gas combined cycle</v>
      </c>
    </row>
    <row r="2424" spans="1:6" x14ac:dyDescent="0.25">
      <c r="A2424" t="s">
        <v>171</v>
      </c>
      <c r="B2424" t="s">
        <v>84</v>
      </c>
      <c r="C2424">
        <v>1991</v>
      </c>
      <c r="D2424">
        <v>184.8</v>
      </c>
      <c r="E2424">
        <v>200.3</v>
      </c>
      <c r="F2424" t="str">
        <f t="shared" si="37"/>
        <v>natural gas combined cycle</v>
      </c>
    </row>
    <row r="2425" spans="1:6" x14ac:dyDescent="0.25">
      <c r="A2425" t="s">
        <v>171</v>
      </c>
      <c r="B2425" t="s">
        <v>84</v>
      </c>
      <c r="C2425">
        <v>1992</v>
      </c>
      <c r="D2425">
        <v>529.20000000000005</v>
      </c>
      <c r="E2425">
        <v>568.79999999999995</v>
      </c>
      <c r="F2425" t="str">
        <f t="shared" si="37"/>
        <v>natural gas combined cycle</v>
      </c>
    </row>
    <row r="2426" spans="1:6" x14ac:dyDescent="0.25">
      <c r="A2426" t="s">
        <v>171</v>
      </c>
      <c r="B2426" t="s">
        <v>84</v>
      </c>
      <c r="C2426">
        <v>1993</v>
      </c>
      <c r="D2426">
        <v>204.3</v>
      </c>
      <c r="E2426">
        <v>260.7</v>
      </c>
      <c r="F2426" t="str">
        <f t="shared" si="37"/>
        <v>natural gas combined cycle</v>
      </c>
    </row>
    <row r="2427" spans="1:6" x14ac:dyDescent="0.25">
      <c r="A2427" t="s">
        <v>171</v>
      </c>
      <c r="B2427" t="s">
        <v>84</v>
      </c>
      <c r="C2427">
        <v>1994</v>
      </c>
      <c r="D2427">
        <v>2356.69</v>
      </c>
      <c r="E2427">
        <v>2394.9</v>
      </c>
      <c r="F2427" t="str">
        <f t="shared" si="37"/>
        <v>natural gas combined cycle</v>
      </c>
    </row>
    <row r="2428" spans="1:6" x14ac:dyDescent="0.25">
      <c r="A2428" t="s">
        <v>171</v>
      </c>
      <c r="B2428" t="s">
        <v>84</v>
      </c>
      <c r="C2428">
        <v>1995</v>
      </c>
      <c r="D2428">
        <v>230.47</v>
      </c>
      <c r="E2428">
        <v>281.8</v>
      </c>
      <c r="F2428" t="str">
        <f t="shared" si="37"/>
        <v>natural gas combined cycle</v>
      </c>
    </row>
    <row r="2429" spans="1:6" x14ac:dyDescent="0.25">
      <c r="A2429" t="s">
        <v>171</v>
      </c>
      <c r="B2429" t="s">
        <v>84</v>
      </c>
      <c r="C2429">
        <v>1996</v>
      </c>
      <c r="D2429">
        <v>260</v>
      </c>
      <c r="E2429">
        <v>322</v>
      </c>
      <c r="F2429" t="str">
        <f t="shared" si="37"/>
        <v>natural gas combined cycle</v>
      </c>
    </row>
    <row r="2430" spans="1:6" x14ac:dyDescent="0.25">
      <c r="A2430" t="s">
        <v>171</v>
      </c>
      <c r="B2430" t="s">
        <v>84</v>
      </c>
      <c r="C2430">
        <v>1997</v>
      </c>
      <c r="D2430">
        <v>1.4</v>
      </c>
      <c r="E2430">
        <v>3.1</v>
      </c>
      <c r="F2430" t="str">
        <f t="shared" si="37"/>
        <v>natural gas combined cycle</v>
      </c>
    </row>
    <row r="2431" spans="1:6" x14ac:dyDescent="0.25">
      <c r="A2431" t="s">
        <v>171</v>
      </c>
      <c r="B2431" t="s">
        <v>84</v>
      </c>
      <c r="C2431">
        <v>1998</v>
      </c>
      <c r="D2431">
        <v>1.5</v>
      </c>
      <c r="E2431">
        <v>1.5</v>
      </c>
      <c r="F2431" t="str">
        <f t="shared" si="37"/>
        <v>natural gas combined cycle</v>
      </c>
    </row>
    <row r="2432" spans="1:6" x14ac:dyDescent="0.25">
      <c r="A2432" t="s">
        <v>171</v>
      </c>
      <c r="B2432" t="s">
        <v>84</v>
      </c>
      <c r="C2432">
        <v>2003</v>
      </c>
      <c r="D2432">
        <v>443.4</v>
      </c>
      <c r="E2432">
        <v>538.79999999999995</v>
      </c>
      <c r="F2432" t="str">
        <f t="shared" si="37"/>
        <v>natural gas combined cycle</v>
      </c>
    </row>
    <row r="2433" spans="1:6" x14ac:dyDescent="0.25">
      <c r="A2433" t="s">
        <v>171</v>
      </c>
      <c r="B2433" t="s">
        <v>84</v>
      </c>
      <c r="C2433">
        <v>2004</v>
      </c>
      <c r="D2433">
        <v>763.2</v>
      </c>
      <c r="E2433">
        <v>951.3</v>
      </c>
      <c r="F2433" t="str">
        <f t="shared" si="37"/>
        <v>natural gas combined cycle</v>
      </c>
    </row>
    <row r="2434" spans="1:6" x14ac:dyDescent="0.25">
      <c r="A2434" t="s">
        <v>171</v>
      </c>
      <c r="B2434" t="s">
        <v>84</v>
      </c>
      <c r="C2434">
        <v>2005</v>
      </c>
      <c r="D2434">
        <v>1625.58</v>
      </c>
      <c r="E2434">
        <v>1599.1</v>
      </c>
      <c r="F2434" t="str">
        <f t="shared" ref="F2434:F2497" si="38">LOWER($B2434)</f>
        <v>natural gas combined cycle</v>
      </c>
    </row>
    <row r="2435" spans="1:6" x14ac:dyDescent="0.25">
      <c r="A2435" t="s">
        <v>171</v>
      </c>
      <c r="B2435" t="s">
        <v>84</v>
      </c>
      <c r="C2435">
        <v>2006</v>
      </c>
      <c r="D2435">
        <v>558</v>
      </c>
      <c r="E2435">
        <v>595</v>
      </c>
      <c r="F2435" t="str">
        <f t="shared" si="38"/>
        <v>natural gas combined cycle</v>
      </c>
    </row>
    <row r="2436" spans="1:6" x14ac:dyDescent="0.25">
      <c r="A2436" t="s">
        <v>171</v>
      </c>
      <c r="B2436" t="s">
        <v>84</v>
      </c>
      <c r="C2436">
        <v>2009</v>
      </c>
      <c r="D2436">
        <v>341.9</v>
      </c>
      <c r="E2436">
        <v>378.9</v>
      </c>
      <c r="F2436" t="str">
        <f t="shared" si="38"/>
        <v>natural gas combined cycle</v>
      </c>
    </row>
    <row r="2437" spans="1:6" x14ac:dyDescent="0.25">
      <c r="A2437" t="s">
        <v>171</v>
      </c>
      <c r="B2437" t="s">
        <v>84</v>
      </c>
      <c r="C2437">
        <v>2010</v>
      </c>
      <c r="D2437">
        <v>591</v>
      </c>
      <c r="E2437">
        <v>664.7</v>
      </c>
      <c r="F2437" t="str">
        <f t="shared" si="38"/>
        <v>natural gas combined cycle</v>
      </c>
    </row>
    <row r="2438" spans="1:6" x14ac:dyDescent="0.25">
      <c r="A2438" t="s">
        <v>171</v>
      </c>
      <c r="B2438" t="s">
        <v>84</v>
      </c>
      <c r="C2438">
        <v>2011</v>
      </c>
      <c r="D2438">
        <v>580.6</v>
      </c>
      <c r="E2438">
        <v>691.8</v>
      </c>
      <c r="F2438" t="str">
        <f t="shared" si="38"/>
        <v>natural gas combined cycle</v>
      </c>
    </row>
    <row r="2439" spans="1:6" x14ac:dyDescent="0.25">
      <c r="A2439" t="s">
        <v>171</v>
      </c>
      <c r="B2439" t="s">
        <v>84</v>
      </c>
      <c r="C2439">
        <v>2018</v>
      </c>
      <c r="D2439">
        <v>654.19000000000005</v>
      </c>
      <c r="E2439">
        <v>770.5</v>
      </c>
      <c r="F2439" t="str">
        <f t="shared" si="38"/>
        <v>natural gas combined cycle</v>
      </c>
    </row>
    <row r="2440" spans="1:6" x14ac:dyDescent="0.25">
      <c r="A2440" t="s">
        <v>171</v>
      </c>
      <c r="B2440" t="s">
        <v>84</v>
      </c>
      <c r="C2440">
        <v>2020</v>
      </c>
      <c r="D2440">
        <v>1016.1</v>
      </c>
      <c r="E2440">
        <v>1312.5</v>
      </c>
      <c r="F2440" t="str">
        <f t="shared" si="38"/>
        <v>natural gas combined cycle</v>
      </c>
    </row>
    <row r="2441" spans="1:6" x14ac:dyDescent="0.25">
      <c r="A2441" t="s">
        <v>171</v>
      </c>
      <c r="B2441" t="s">
        <v>93</v>
      </c>
      <c r="C2441">
        <v>1990</v>
      </c>
      <c r="D2441">
        <v>0.2</v>
      </c>
      <c r="E2441">
        <v>1.2</v>
      </c>
      <c r="F2441" t="str">
        <f t="shared" si="38"/>
        <v>natural gas peaker</v>
      </c>
    </row>
    <row r="2442" spans="1:6" x14ac:dyDescent="0.25">
      <c r="A2442" t="s">
        <v>171</v>
      </c>
      <c r="B2442" t="s">
        <v>93</v>
      </c>
      <c r="C2442">
        <v>1991</v>
      </c>
      <c r="D2442">
        <v>3.5</v>
      </c>
      <c r="E2442">
        <v>3.9</v>
      </c>
      <c r="F2442" t="str">
        <f t="shared" si="38"/>
        <v>natural gas peaker</v>
      </c>
    </row>
    <row r="2443" spans="1:6" x14ac:dyDescent="0.25">
      <c r="A2443" t="s">
        <v>171</v>
      </c>
      <c r="B2443" t="s">
        <v>93</v>
      </c>
      <c r="C2443">
        <v>1994</v>
      </c>
      <c r="D2443">
        <v>11.4</v>
      </c>
      <c r="E2443">
        <v>12.6</v>
      </c>
      <c r="F2443" t="str">
        <f t="shared" si="38"/>
        <v>natural gas peaker</v>
      </c>
    </row>
    <row r="2444" spans="1:6" x14ac:dyDescent="0.25">
      <c r="A2444" t="s">
        <v>171</v>
      </c>
      <c r="B2444" t="s">
        <v>93</v>
      </c>
      <c r="C2444">
        <v>1995</v>
      </c>
      <c r="D2444">
        <v>46</v>
      </c>
      <c r="E2444">
        <v>48.5</v>
      </c>
      <c r="F2444" t="str">
        <f t="shared" si="38"/>
        <v>natural gas peaker</v>
      </c>
    </row>
    <row r="2445" spans="1:6" x14ac:dyDescent="0.25">
      <c r="A2445" t="s">
        <v>171</v>
      </c>
      <c r="B2445" t="s">
        <v>93</v>
      </c>
      <c r="C2445">
        <v>1996</v>
      </c>
      <c r="D2445">
        <v>1.6</v>
      </c>
      <c r="E2445">
        <v>1.6</v>
      </c>
      <c r="F2445" t="str">
        <f t="shared" si="38"/>
        <v>natural gas peaker</v>
      </c>
    </row>
    <row r="2446" spans="1:6" x14ac:dyDescent="0.25">
      <c r="A2446" t="s">
        <v>171</v>
      </c>
      <c r="B2446" t="s">
        <v>93</v>
      </c>
      <c r="C2446">
        <v>2000</v>
      </c>
      <c r="D2446">
        <v>6</v>
      </c>
      <c r="E2446">
        <v>7.7</v>
      </c>
      <c r="F2446" t="str">
        <f t="shared" si="38"/>
        <v>natural gas peaker</v>
      </c>
    </row>
    <row r="2447" spans="1:6" x14ac:dyDescent="0.25">
      <c r="A2447" t="s">
        <v>171</v>
      </c>
      <c r="B2447" t="s">
        <v>93</v>
      </c>
      <c r="C2447">
        <v>2001</v>
      </c>
      <c r="D2447">
        <v>496.5</v>
      </c>
      <c r="E2447">
        <v>564.29999999999995</v>
      </c>
      <c r="F2447" t="str">
        <f t="shared" si="38"/>
        <v>natural gas peaker</v>
      </c>
    </row>
    <row r="2448" spans="1:6" x14ac:dyDescent="0.25">
      <c r="A2448" t="s">
        <v>171</v>
      </c>
      <c r="B2448" t="s">
        <v>93</v>
      </c>
      <c r="C2448">
        <v>2002</v>
      </c>
      <c r="D2448">
        <v>361.18</v>
      </c>
      <c r="E2448">
        <v>441.5</v>
      </c>
      <c r="F2448" t="str">
        <f t="shared" si="38"/>
        <v>natural gas peaker</v>
      </c>
    </row>
    <row r="2449" spans="1:6" x14ac:dyDescent="0.25">
      <c r="A2449" t="s">
        <v>171</v>
      </c>
      <c r="B2449" t="s">
        <v>93</v>
      </c>
      <c r="C2449">
        <v>2004</v>
      </c>
      <c r="D2449">
        <v>159.5</v>
      </c>
      <c r="E2449">
        <v>197.5</v>
      </c>
      <c r="F2449" t="str">
        <f t="shared" si="38"/>
        <v>natural gas peaker</v>
      </c>
    </row>
    <row r="2450" spans="1:6" x14ac:dyDescent="0.25">
      <c r="A2450" t="s">
        <v>171</v>
      </c>
      <c r="B2450" t="s">
        <v>93</v>
      </c>
      <c r="C2450">
        <v>2005</v>
      </c>
      <c r="D2450">
        <v>307.3</v>
      </c>
      <c r="E2450">
        <v>361.4</v>
      </c>
      <c r="F2450" t="str">
        <f t="shared" si="38"/>
        <v>natural gas peaker</v>
      </c>
    </row>
    <row r="2451" spans="1:6" x14ac:dyDescent="0.25">
      <c r="A2451" t="s">
        <v>171</v>
      </c>
      <c r="B2451" t="s">
        <v>93</v>
      </c>
      <c r="C2451">
        <v>2007</v>
      </c>
      <c r="D2451">
        <v>12.8</v>
      </c>
      <c r="E2451">
        <v>12.8</v>
      </c>
      <c r="F2451" t="str">
        <f t="shared" si="38"/>
        <v>natural gas peaker</v>
      </c>
    </row>
    <row r="2452" spans="1:6" x14ac:dyDescent="0.25">
      <c r="A2452" t="s">
        <v>171</v>
      </c>
      <c r="B2452" t="s">
        <v>93</v>
      </c>
      <c r="C2452">
        <v>2008</v>
      </c>
      <c r="D2452">
        <v>0.5</v>
      </c>
      <c r="E2452">
        <v>1</v>
      </c>
      <c r="F2452" t="str">
        <f t="shared" si="38"/>
        <v>natural gas peaker</v>
      </c>
    </row>
    <row r="2453" spans="1:6" x14ac:dyDescent="0.25">
      <c r="A2453" t="s">
        <v>171</v>
      </c>
      <c r="B2453" t="s">
        <v>93</v>
      </c>
      <c r="C2453">
        <v>2009</v>
      </c>
      <c r="D2453">
        <v>11.3</v>
      </c>
      <c r="E2453">
        <v>11.3</v>
      </c>
      <c r="F2453" t="str">
        <f t="shared" si="38"/>
        <v>natural gas peaker</v>
      </c>
    </row>
    <row r="2454" spans="1:6" x14ac:dyDescent="0.25">
      <c r="A2454" t="s">
        <v>171</v>
      </c>
      <c r="B2454" t="s">
        <v>93</v>
      </c>
      <c r="C2454">
        <v>2010</v>
      </c>
      <c r="D2454">
        <v>11.4</v>
      </c>
      <c r="E2454">
        <v>11.7</v>
      </c>
      <c r="F2454" t="str">
        <f t="shared" si="38"/>
        <v>natural gas peaker</v>
      </c>
    </row>
    <row r="2455" spans="1:6" x14ac:dyDescent="0.25">
      <c r="A2455" t="s">
        <v>171</v>
      </c>
      <c r="B2455" t="s">
        <v>93</v>
      </c>
      <c r="C2455">
        <v>2012</v>
      </c>
      <c r="D2455">
        <v>0.2</v>
      </c>
      <c r="E2455">
        <v>0.2</v>
      </c>
      <c r="F2455" t="str">
        <f t="shared" si="38"/>
        <v>natural gas peaker</v>
      </c>
    </row>
    <row r="2456" spans="1:6" x14ac:dyDescent="0.25">
      <c r="A2456" t="s">
        <v>171</v>
      </c>
      <c r="B2456" t="s">
        <v>93</v>
      </c>
      <c r="C2456">
        <v>2013</v>
      </c>
      <c r="D2456">
        <v>4.5999999999999996</v>
      </c>
      <c r="E2456">
        <v>5.2</v>
      </c>
      <c r="F2456" t="str">
        <f t="shared" si="38"/>
        <v>natural gas peaker</v>
      </c>
    </row>
    <row r="2457" spans="1:6" x14ac:dyDescent="0.25">
      <c r="A2457" t="s">
        <v>171</v>
      </c>
      <c r="B2457" t="s">
        <v>93</v>
      </c>
      <c r="C2457">
        <v>2015</v>
      </c>
      <c r="D2457">
        <v>0.5</v>
      </c>
      <c r="E2457">
        <v>0.5</v>
      </c>
      <c r="F2457" t="str">
        <f t="shared" si="38"/>
        <v>natural gas peaker</v>
      </c>
    </row>
    <row r="2458" spans="1:6" x14ac:dyDescent="0.25">
      <c r="A2458" t="s">
        <v>171</v>
      </c>
      <c r="B2458" t="s">
        <v>93</v>
      </c>
      <c r="C2458">
        <v>2016</v>
      </c>
      <c r="D2458">
        <v>7.5</v>
      </c>
      <c r="E2458">
        <v>7.5</v>
      </c>
      <c r="F2458" t="str">
        <f t="shared" si="38"/>
        <v>natural gas peaker</v>
      </c>
    </row>
    <row r="2459" spans="1:6" x14ac:dyDescent="0.25">
      <c r="A2459" t="s">
        <v>171</v>
      </c>
      <c r="B2459" t="s">
        <v>93</v>
      </c>
      <c r="C2459">
        <v>2017</v>
      </c>
      <c r="D2459">
        <v>2.2000000000000002</v>
      </c>
      <c r="E2459">
        <v>2.2000000000000002</v>
      </c>
      <c r="F2459" t="str">
        <f t="shared" si="38"/>
        <v>natural gas peaker</v>
      </c>
    </row>
    <row r="2460" spans="1:6" x14ac:dyDescent="0.25">
      <c r="A2460" t="s">
        <v>171</v>
      </c>
      <c r="B2460" t="s">
        <v>93</v>
      </c>
      <c r="C2460">
        <v>2018</v>
      </c>
      <c r="D2460">
        <v>5.4</v>
      </c>
      <c r="E2460">
        <v>5.4</v>
      </c>
      <c r="F2460" t="str">
        <f t="shared" si="38"/>
        <v>natural gas peaker</v>
      </c>
    </row>
    <row r="2461" spans="1:6" x14ac:dyDescent="0.25">
      <c r="A2461" t="s">
        <v>171</v>
      </c>
      <c r="B2461" t="s">
        <v>93</v>
      </c>
      <c r="C2461">
        <v>2020</v>
      </c>
      <c r="D2461">
        <v>29</v>
      </c>
      <c r="E2461">
        <v>29.6</v>
      </c>
      <c r="F2461" t="str">
        <f t="shared" si="38"/>
        <v>natural gas peaker</v>
      </c>
    </row>
    <row r="2462" spans="1:6" x14ac:dyDescent="0.25">
      <c r="A2462" t="s">
        <v>171</v>
      </c>
      <c r="B2462" t="s">
        <v>93</v>
      </c>
      <c r="C2462">
        <v>2021</v>
      </c>
      <c r="D2462">
        <v>10.4</v>
      </c>
      <c r="E2462">
        <v>10.4</v>
      </c>
      <c r="F2462" t="str">
        <f t="shared" si="38"/>
        <v>natural gas peaker</v>
      </c>
    </row>
    <row r="2463" spans="1:6" x14ac:dyDescent="0.25">
      <c r="A2463" t="s">
        <v>171</v>
      </c>
      <c r="B2463" t="s">
        <v>93</v>
      </c>
      <c r="C2463">
        <v>2022</v>
      </c>
      <c r="D2463">
        <v>15</v>
      </c>
      <c r="E2463">
        <v>15</v>
      </c>
      <c r="F2463" t="str">
        <f t="shared" si="38"/>
        <v>natural gas peaker</v>
      </c>
    </row>
    <row r="2464" spans="1:6" x14ac:dyDescent="0.25">
      <c r="A2464" t="s">
        <v>171</v>
      </c>
      <c r="B2464" t="s">
        <v>93</v>
      </c>
      <c r="C2464">
        <v>2024</v>
      </c>
      <c r="D2464">
        <v>4</v>
      </c>
      <c r="E2464">
        <v>4.0999999999999996</v>
      </c>
      <c r="F2464" t="str">
        <f t="shared" si="38"/>
        <v>natural gas peaker</v>
      </c>
    </row>
    <row r="2465" spans="1:6" x14ac:dyDescent="0.25">
      <c r="A2465" t="s">
        <v>171</v>
      </c>
      <c r="B2465" t="s">
        <v>93</v>
      </c>
      <c r="C2465">
        <v>2025</v>
      </c>
      <c r="D2465">
        <v>36</v>
      </c>
      <c r="E2465">
        <v>42</v>
      </c>
      <c r="F2465" t="str">
        <f t="shared" si="38"/>
        <v>natural gas peaker</v>
      </c>
    </row>
    <row r="2466" spans="1:6" x14ac:dyDescent="0.25">
      <c r="A2466" t="s">
        <v>171</v>
      </c>
      <c r="B2466" t="s">
        <v>83</v>
      </c>
      <c r="C2466">
        <v>1993</v>
      </c>
      <c r="D2466">
        <v>23</v>
      </c>
      <c r="E2466">
        <v>26.9</v>
      </c>
      <c r="F2466" t="str">
        <f t="shared" si="38"/>
        <v>natural gas steam turbine</v>
      </c>
    </row>
    <row r="2467" spans="1:6" x14ac:dyDescent="0.25">
      <c r="A2467" t="s">
        <v>171</v>
      </c>
      <c r="B2467" t="s">
        <v>83</v>
      </c>
      <c r="C2467">
        <v>2005</v>
      </c>
      <c r="D2467">
        <v>24.2</v>
      </c>
      <c r="E2467">
        <v>25.4</v>
      </c>
      <c r="F2467" t="str">
        <f t="shared" si="38"/>
        <v>natural gas steam turbine</v>
      </c>
    </row>
    <row r="2468" spans="1:6" x14ac:dyDescent="0.25">
      <c r="A2468" t="s">
        <v>171</v>
      </c>
      <c r="B2468" t="s">
        <v>83</v>
      </c>
      <c r="C2468">
        <v>2015</v>
      </c>
      <c r="D2468">
        <v>2.2000000000000002</v>
      </c>
      <c r="E2468">
        <v>3</v>
      </c>
      <c r="F2468" t="str">
        <f t="shared" si="38"/>
        <v>natural gas steam turbine</v>
      </c>
    </row>
    <row r="2469" spans="1:6" x14ac:dyDescent="0.25">
      <c r="A2469" t="s">
        <v>171</v>
      </c>
      <c r="B2469" t="s">
        <v>95</v>
      </c>
      <c r="C2469">
        <v>2024</v>
      </c>
      <c r="D2469">
        <v>130</v>
      </c>
      <c r="E2469">
        <v>130</v>
      </c>
      <c r="F2469" t="str">
        <f t="shared" si="38"/>
        <v>offshore wind</v>
      </c>
    </row>
    <row r="2470" spans="1:6" x14ac:dyDescent="0.25">
      <c r="A2470" t="s">
        <v>171</v>
      </c>
      <c r="B2470" t="s">
        <v>87</v>
      </c>
      <c r="C2470">
        <v>2000</v>
      </c>
      <c r="D2470">
        <v>18.100000000000001</v>
      </c>
      <c r="E2470">
        <v>18.100000000000001</v>
      </c>
      <c r="F2470" t="str">
        <f t="shared" si="38"/>
        <v>onshore wind</v>
      </c>
    </row>
    <row r="2471" spans="1:6" x14ac:dyDescent="0.25">
      <c r="A2471" t="s">
        <v>171</v>
      </c>
      <c r="B2471" t="s">
        <v>87</v>
      </c>
      <c r="C2471">
        <v>2001</v>
      </c>
      <c r="D2471">
        <v>30.3</v>
      </c>
      <c r="E2471">
        <v>30.3</v>
      </c>
      <c r="F2471" t="str">
        <f t="shared" si="38"/>
        <v>onshore wind</v>
      </c>
    </row>
    <row r="2472" spans="1:6" x14ac:dyDescent="0.25">
      <c r="A2472" t="s">
        <v>171</v>
      </c>
      <c r="B2472" t="s">
        <v>87</v>
      </c>
      <c r="C2472">
        <v>2005</v>
      </c>
      <c r="D2472">
        <v>137</v>
      </c>
      <c r="E2472">
        <v>137</v>
      </c>
      <c r="F2472" t="str">
        <f t="shared" si="38"/>
        <v>onshore wind</v>
      </c>
    </row>
    <row r="2473" spans="1:6" x14ac:dyDescent="0.25">
      <c r="A2473" t="s">
        <v>171</v>
      </c>
      <c r="B2473" t="s">
        <v>87</v>
      </c>
      <c r="C2473">
        <v>2006</v>
      </c>
      <c r="D2473">
        <v>185.1</v>
      </c>
      <c r="E2473">
        <v>184.2</v>
      </c>
      <c r="F2473" t="str">
        <f t="shared" si="38"/>
        <v>onshore wind</v>
      </c>
    </row>
    <row r="2474" spans="1:6" x14ac:dyDescent="0.25">
      <c r="A2474" t="s">
        <v>171</v>
      </c>
      <c r="B2474" t="s">
        <v>87</v>
      </c>
      <c r="C2474">
        <v>2007</v>
      </c>
      <c r="D2474">
        <v>54.5</v>
      </c>
      <c r="E2474">
        <v>54.5</v>
      </c>
      <c r="F2474" t="str">
        <f t="shared" si="38"/>
        <v>onshore wind</v>
      </c>
    </row>
    <row r="2475" spans="1:6" x14ac:dyDescent="0.25">
      <c r="A2475" t="s">
        <v>171</v>
      </c>
      <c r="B2475" t="s">
        <v>87</v>
      </c>
      <c r="C2475">
        <v>2008</v>
      </c>
      <c r="D2475">
        <v>282</v>
      </c>
      <c r="E2475">
        <v>282</v>
      </c>
      <c r="F2475" t="str">
        <f t="shared" si="38"/>
        <v>onshore wind</v>
      </c>
    </row>
    <row r="2476" spans="1:6" x14ac:dyDescent="0.25">
      <c r="A2476" t="s">
        <v>171</v>
      </c>
      <c r="B2476" t="s">
        <v>87</v>
      </c>
      <c r="C2476">
        <v>2009</v>
      </c>
      <c r="D2476">
        <v>567</v>
      </c>
      <c r="E2476">
        <v>567.5</v>
      </c>
      <c r="F2476" t="str">
        <f t="shared" si="38"/>
        <v>onshore wind</v>
      </c>
    </row>
    <row r="2477" spans="1:6" x14ac:dyDescent="0.25">
      <c r="A2477" t="s">
        <v>171</v>
      </c>
      <c r="B2477" t="s">
        <v>87</v>
      </c>
      <c r="C2477">
        <v>2011</v>
      </c>
      <c r="D2477">
        <v>126.2</v>
      </c>
      <c r="E2477">
        <v>126.2</v>
      </c>
      <c r="F2477" t="str">
        <f t="shared" si="38"/>
        <v>onshore wind</v>
      </c>
    </row>
    <row r="2478" spans="1:6" x14ac:dyDescent="0.25">
      <c r="A2478" t="s">
        <v>171</v>
      </c>
      <c r="B2478" t="s">
        <v>87</v>
      </c>
      <c r="C2478">
        <v>2012</v>
      </c>
      <c r="D2478">
        <v>237.8</v>
      </c>
      <c r="E2478">
        <v>237.8</v>
      </c>
      <c r="F2478" t="str">
        <f t="shared" si="38"/>
        <v>onshore wind</v>
      </c>
    </row>
    <row r="2479" spans="1:6" x14ac:dyDescent="0.25">
      <c r="A2479" t="s">
        <v>171</v>
      </c>
      <c r="B2479" t="s">
        <v>87</v>
      </c>
      <c r="C2479">
        <v>2013</v>
      </c>
      <c r="D2479">
        <v>94.4</v>
      </c>
      <c r="E2479">
        <v>94.4</v>
      </c>
      <c r="F2479" t="str">
        <f t="shared" si="38"/>
        <v>onshore wind</v>
      </c>
    </row>
    <row r="2480" spans="1:6" x14ac:dyDescent="0.25">
      <c r="A2480" t="s">
        <v>171</v>
      </c>
      <c r="B2480" t="s">
        <v>87</v>
      </c>
      <c r="C2480">
        <v>2014</v>
      </c>
      <c r="D2480">
        <v>16.2</v>
      </c>
      <c r="E2480">
        <v>16.2</v>
      </c>
      <c r="F2480" t="str">
        <f t="shared" si="38"/>
        <v>onshore wind</v>
      </c>
    </row>
    <row r="2481" spans="1:6" x14ac:dyDescent="0.25">
      <c r="A2481" t="s">
        <v>171</v>
      </c>
      <c r="B2481" t="s">
        <v>87</v>
      </c>
      <c r="C2481">
        <v>2016</v>
      </c>
      <c r="D2481">
        <v>77.7</v>
      </c>
      <c r="E2481">
        <v>77.7</v>
      </c>
      <c r="F2481" t="str">
        <f t="shared" si="38"/>
        <v>onshore wind</v>
      </c>
    </row>
    <row r="2482" spans="1:6" x14ac:dyDescent="0.25">
      <c r="A2482" t="s">
        <v>171</v>
      </c>
      <c r="B2482" t="s">
        <v>87</v>
      </c>
      <c r="C2482">
        <v>2017</v>
      </c>
      <c r="D2482">
        <v>1.5</v>
      </c>
      <c r="E2482">
        <v>1.5</v>
      </c>
      <c r="F2482" t="str">
        <f t="shared" si="38"/>
        <v>onshore wind</v>
      </c>
    </row>
    <row r="2483" spans="1:6" x14ac:dyDescent="0.25">
      <c r="A2483" t="s">
        <v>171</v>
      </c>
      <c r="B2483" t="s">
        <v>87</v>
      </c>
      <c r="C2483">
        <v>2018</v>
      </c>
      <c r="D2483">
        <v>158.30000000000001</v>
      </c>
      <c r="E2483">
        <v>158.30000000000001</v>
      </c>
      <c r="F2483" t="str">
        <f t="shared" si="38"/>
        <v>onshore wind</v>
      </c>
    </row>
    <row r="2484" spans="1:6" x14ac:dyDescent="0.25">
      <c r="A2484" t="s">
        <v>171</v>
      </c>
      <c r="B2484" t="s">
        <v>87</v>
      </c>
      <c r="C2484">
        <v>2021</v>
      </c>
      <c r="D2484">
        <v>203.7</v>
      </c>
      <c r="E2484">
        <v>203.7</v>
      </c>
      <c r="F2484" t="str">
        <f t="shared" si="38"/>
        <v>onshore wind</v>
      </c>
    </row>
    <row r="2485" spans="1:6" x14ac:dyDescent="0.25">
      <c r="A2485" t="s">
        <v>171</v>
      </c>
      <c r="B2485" t="s">
        <v>87</v>
      </c>
      <c r="C2485">
        <v>2023</v>
      </c>
      <c r="D2485">
        <v>556.5</v>
      </c>
      <c r="E2485">
        <v>556.5</v>
      </c>
      <c r="F2485" t="str">
        <f t="shared" si="38"/>
        <v>onshore wind</v>
      </c>
    </row>
    <row r="2486" spans="1:6" x14ac:dyDescent="0.25">
      <c r="A2486" t="s">
        <v>171</v>
      </c>
      <c r="B2486" t="s">
        <v>92</v>
      </c>
      <c r="C2486">
        <v>1990</v>
      </c>
      <c r="D2486">
        <v>0.3</v>
      </c>
      <c r="E2486">
        <v>0.3</v>
      </c>
      <c r="F2486" t="str">
        <f t="shared" si="38"/>
        <v>petroleum</v>
      </c>
    </row>
    <row r="2487" spans="1:6" x14ac:dyDescent="0.25">
      <c r="A2487" t="s">
        <v>171</v>
      </c>
      <c r="B2487" t="s">
        <v>92</v>
      </c>
      <c r="C2487">
        <v>1991</v>
      </c>
      <c r="D2487">
        <v>1.1000000000000001</v>
      </c>
      <c r="E2487">
        <v>1.1000000000000001</v>
      </c>
      <c r="F2487" t="str">
        <f t="shared" si="38"/>
        <v>petroleum</v>
      </c>
    </row>
    <row r="2488" spans="1:6" x14ac:dyDescent="0.25">
      <c r="A2488" t="s">
        <v>171</v>
      </c>
      <c r="B2488" t="s">
        <v>92</v>
      </c>
      <c r="C2488">
        <v>1992</v>
      </c>
      <c r="D2488">
        <v>8.6</v>
      </c>
      <c r="E2488">
        <v>8.6999999999999993</v>
      </c>
      <c r="F2488" t="str">
        <f t="shared" si="38"/>
        <v>petroleum</v>
      </c>
    </row>
    <row r="2489" spans="1:6" x14ac:dyDescent="0.25">
      <c r="A2489" t="s">
        <v>171</v>
      </c>
      <c r="B2489" t="s">
        <v>92</v>
      </c>
      <c r="C2489">
        <v>1993</v>
      </c>
      <c r="D2489">
        <v>2.4</v>
      </c>
      <c r="E2489">
        <v>2.4</v>
      </c>
      <c r="F2489" t="str">
        <f t="shared" si="38"/>
        <v>petroleum</v>
      </c>
    </row>
    <row r="2490" spans="1:6" x14ac:dyDescent="0.25">
      <c r="A2490" t="s">
        <v>171</v>
      </c>
      <c r="B2490" t="s">
        <v>92</v>
      </c>
      <c r="C2490">
        <v>1994</v>
      </c>
      <c r="D2490">
        <v>0.8</v>
      </c>
      <c r="E2490">
        <v>0.8</v>
      </c>
      <c r="F2490" t="str">
        <f t="shared" si="38"/>
        <v>petroleum</v>
      </c>
    </row>
    <row r="2491" spans="1:6" x14ac:dyDescent="0.25">
      <c r="A2491" t="s">
        <v>171</v>
      </c>
      <c r="B2491" t="s">
        <v>92</v>
      </c>
      <c r="C2491">
        <v>1995</v>
      </c>
      <c r="D2491">
        <v>2.1</v>
      </c>
      <c r="E2491">
        <v>2</v>
      </c>
      <c r="F2491" t="str">
        <f t="shared" si="38"/>
        <v>petroleum</v>
      </c>
    </row>
    <row r="2492" spans="1:6" x14ac:dyDescent="0.25">
      <c r="A2492" t="s">
        <v>171</v>
      </c>
      <c r="B2492" t="s">
        <v>92</v>
      </c>
      <c r="C2492">
        <v>1996</v>
      </c>
      <c r="D2492">
        <v>6.4</v>
      </c>
      <c r="E2492">
        <v>6.4</v>
      </c>
      <c r="F2492" t="str">
        <f t="shared" si="38"/>
        <v>petroleum</v>
      </c>
    </row>
    <row r="2493" spans="1:6" x14ac:dyDescent="0.25">
      <c r="A2493" t="s">
        <v>171</v>
      </c>
      <c r="B2493" t="s">
        <v>92</v>
      </c>
      <c r="C2493">
        <v>1997</v>
      </c>
      <c r="D2493">
        <v>11.3</v>
      </c>
      <c r="E2493">
        <v>11.5</v>
      </c>
      <c r="F2493" t="str">
        <f t="shared" si="38"/>
        <v>petroleum</v>
      </c>
    </row>
    <row r="2494" spans="1:6" x14ac:dyDescent="0.25">
      <c r="A2494" t="s">
        <v>171</v>
      </c>
      <c r="B2494" t="s">
        <v>92</v>
      </c>
      <c r="C2494">
        <v>1998</v>
      </c>
      <c r="D2494">
        <v>8.1</v>
      </c>
      <c r="E2494">
        <v>8.5</v>
      </c>
      <c r="F2494" t="str">
        <f t="shared" si="38"/>
        <v>petroleum</v>
      </c>
    </row>
    <row r="2495" spans="1:6" x14ac:dyDescent="0.25">
      <c r="A2495" t="s">
        <v>171</v>
      </c>
      <c r="B2495" t="s">
        <v>92</v>
      </c>
      <c r="C2495">
        <v>1999</v>
      </c>
      <c r="D2495">
        <v>2</v>
      </c>
      <c r="E2495">
        <v>2</v>
      </c>
      <c r="F2495" t="str">
        <f t="shared" si="38"/>
        <v>petroleum</v>
      </c>
    </row>
    <row r="2496" spans="1:6" x14ac:dyDescent="0.25">
      <c r="A2496" t="s">
        <v>171</v>
      </c>
      <c r="B2496" t="s">
        <v>92</v>
      </c>
      <c r="C2496">
        <v>2000</v>
      </c>
      <c r="D2496">
        <v>13</v>
      </c>
      <c r="E2496">
        <v>13</v>
      </c>
      <c r="F2496" t="str">
        <f t="shared" si="38"/>
        <v>petroleum</v>
      </c>
    </row>
    <row r="2497" spans="1:6" x14ac:dyDescent="0.25">
      <c r="A2497" t="s">
        <v>171</v>
      </c>
      <c r="B2497" t="s">
        <v>92</v>
      </c>
      <c r="C2497">
        <v>2001</v>
      </c>
      <c r="D2497">
        <v>6.4</v>
      </c>
      <c r="E2497">
        <v>6.4</v>
      </c>
      <c r="F2497" t="str">
        <f t="shared" si="38"/>
        <v>petroleum</v>
      </c>
    </row>
    <row r="2498" spans="1:6" x14ac:dyDescent="0.25">
      <c r="A2498" t="s">
        <v>171</v>
      </c>
      <c r="B2498" t="s">
        <v>92</v>
      </c>
      <c r="C2498">
        <v>2002</v>
      </c>
      <c r="D2498">
        <v>94.5</v>
      </c>
      <c r="E2498">
        <v>109.5</v>
      </c>
      <c r="F2498" t="str">
        <f t="shared" ref="F2498:F2561" si="39">LOWER($B2498)</f>
        <v>petroleum</v>
      </c>
    </row>
    <row r="2499" spans="1:6" x14ac:dyDescent="0.25">
      <c r="A2499" t="s">
        <v>171</v>
      </c>
      <c r="B2499" t="s">
        <v>92</v>
      </c>
      <c r="C2499">
        <v>2003</v>
      </c>
      <c r="D2499">
        <v>108.8</v>
      </c>
      <c r="E2499">
        <v>121.5</v>
      </c>
      <c r="F2499" t="str">
        <f t="shared" si="39"/>
        <v>petroleum</v>
      </c>
    </row>
    <row r="2500" spans="1:6" x14ac:dyDescent="0.25">
      <c r="A2500" t="s">
        <v>171</v>
      </c>
      <c r="B2500" t="s">
        <v>92</v>
      </c>
      <c r="C2500">
        <v>2004</v>
      </c>
      <c r="D2500">
        <v>5.9</v>
      </c>
      <c r="E2500">
        <v>6</v>
      </c>
      <c r="F2500" t="str">
        <f t="shared" si="39"/>
        <v>petroleum</v>
      </c>
    </row>
    <row r="2501" spans="1:6" x14ac:dyDescent="0.25">
      <c r="A2501" t="s">
        <v>171</v>
      </c>
      <c r="B2501" t="s">
        <v>92</v>
      </c>
      <c r="C2501">
        <v>2005</v>
      </c>
      <c r="D2501">
        <v>13.1</v>
      </c>
      <c r="E2501">
        <v>13.1</v>
      </c>
      <c r="F2501" t="str">
        <f t="shared" si="39"/>
        <v>petroleum</v>
      </c>
    </row>
    <row r="2502" spans="1:6" x14ac:dyDescent="0.25">
      <c r="A2502" t="s">
        <v>171</v>
      </c>
      <c r="B2502" t="s">
        <v>92</v>
      </c>
      <c r="C2502">
        <v>2006</v>
      </c>
      <c r="D2502">
        <v>15.2</v>
      </c>
      <c r="E2502">
        <v>15.2</v>
      </c>
      <c r="F2502" t="str">
        <f t="shared" si="39"/>
        <v>petroleum</v>
      </c>
    </row>
    <row r="2503" spans="1:6" x14ac:dyDescent="0.25">
      <c r="A2503" t="s">
        <v>171</v>
      </c>
      <c r="B2503" t="s">
        <v>92</v>
      </c>
      <c r="C2503">
        <v>2007</v>
      </c>
      <c r="D2503">
        <v>3.4</v>
      </c>
      <c r="E2503">
        <v>3.4</v>
      </c>
      <c r="F2503" t="str">
        <f t="shared" si="39"/>
        <v>petroleum</v>
      </c>
    </row>
    <row r="2504" spans="1:6" x14ac:dyDescent="0.25">
      <c r="A2504" t="s">
        <v>171</v>
      </c>
      <c r="B2504" t="s">
        <v>92</v>
      </c>
      <c r="C2504">
        <v>2008</v>
      </c>
      <c r="D2504">
        <v>18.5</v>
      </c>
      <c r="E2504">
        <v>18.5</v>
      </c>
      <c r="F2504" t="str">
        <f t="shared" si="39"/>
        <v>petroleum</v>
      </c>
    </row>
    <row r="2505" spans="1:6" x14ac:dyDescent="0.25">
      <c r="A2505" t="s">
        <v>171</v>
      </c>
      <c r="B2505" t="s">
        <v>92</v>
      </c>
      <c r="C2505">
        <v>2009</v>
      </c>
      <c r="D2505">
        <v>5.6</v>
      </c>
      <c r="E2505">
        <v>5.8</v>
      </c>
      <c r="F2505" t="str">
        <f t="shared" si="39"/>
        <v>petroleum</v>
      </c>
    </row>
    <row r="2506" spans="1:6" x14ac:dyDescent="0.25">
      <c r="A2506" t="s">
        <v>171</v>
      </c>
      <c r="B2506" t="s">
        <v>92</v>
      </c>
      <c r="C2506">
        <v>2010</v>
      </c>
      <c r="D2506">
        <v>17.2</v>
      </c>
      <c r="E2506">
        <v>17.3</v>
      </c>
      <c r="F2506" t="str">
        <f t="shared" si="39"/>
        <v>petroleum</v>
      </c>
    </row>
    <row r="2507" spans="1:6" x14ac:dyDescent="0.25">
      <c r="A2507" t="s">
        <v>171</v>
      </c>
      <c r="B2507" t="s">
        <v>92</v>
      </c>
      <c r="C2507">
        <v>2011</v>
      </c>
      <c r="D2507">
        <v>12.2</v>
      </c>
      <c r="E2507">
        <v>12.4</v>
      </c>
      <c r="F2507" t="str">
        <f t="shared" si="39"/>
        <v>petroleum</v>
      </c>
    </row>
    <row r="2508" spans="1:6" x14ac:dyDescent="0.25">
      <c r="A2508" t="s">
        <v>171</v>
      </c>
      <c r="B2508" t="s">
        <v>92</v>
      </c>
      <c r="C2508">
        <v>2012</v>
      </c>
      <c r="D2508">
        <v>10.4</v>
      </c>
      <c r="E2508">
        <v>10.4</v>
      </c>
      <c r="F2508" t="str">
        <f t="shared" si="39"/>
        <v>petroleum</v>
      </c>
    </row>
    <row r="2509" spans="1:6" x14ac:dyDescent="0.25">
      <c r="A2509" t="s">
        <v>171</v>
      </c>
      <c r="B2509" t="s">
        <v>92</v>
      </c>
      <c r="C2509">
        <v>2013</v>
      </c>
      <c r="D2509">
        <v>1.6</v>
      </c>
      <c r="E2509">
        <v>1.6</v>
      </c>
      <c r="F2509" t="str">
        <f t="shared" si="39"/>
        <v>petroleum</v>
      </c>
    </row>
    <row r="2510" spans="1:6" x14ac:dyDescent="0.25">
      <c r="A2510" t="s">
        <v>171</v>
      </c>
      <c r="B2510" t="s">
        <v>92</v>
      </c>
      <c r="C2510">
        <v>2014</v>
      </c>
      <c r="D2510">
        <v>1</v>
      </c>
      <c r="E2510">
        <v>1</v>
      </c>
      <c r="F2510" t="str">
        <f t="shared" si="39"/>
        <v>petroleum</v>
      </c>
    </row>
    <row r="2511" spans="1:6" x14ac:dyDescent="0.25">
      <c r="A2511" t="s">
        <v>171</v>
      </c>
      <c r="B2511" t="s">
        <v>92</v>
      </c>
      <c r="C2511">
        <v>2015</v>
      </c>
      <c r="D2511">
        <v>12.3</v>
      </c>
      <c r="E2511">
        <v>20.2</v>
      </c>
      <c r="F2511" t="str">
        <f t="shared" si="39"/>
        <v>petroleum</v>
      </c>
    </row>
    <row r="2512" spans="1:6" x14ac:dyDescent="0.25">
      <c r="A2512" t="s">
        <v>171</v>
      </c>
      <c r="B2512" t="s">
        <v>92</v>
      </c>
      <c r="C2512">
        <v>2016</v>
      </c>
      <c r="D2512">
        <v>16.5</v>
      </c>
      <c r="E2512">
        <v>17.5</v>
      </c>
      <c r="F2512" t="str">
        <f t="shared" si="39"/>
        <v>petroleum</v>
      </c>
    </row>
    <row r="2513" spans="1:6" x14ac:dyDescent="0.25">
      <c r="A2513" t="s">
        <v>171</v>
      </c>
      <c r="B2513" t="s">
        <v>92</v>
      </c>
      <c r="C2513">
        <v>2017</v>
      </c>
      <c r="D2513">
        <v>11</v>
      </c>
      <c r="E2513">
        <v>11.2</v>
      </c>
      <c r="F2513" t="str">
        <f t="shared" si="39"/>
        <v>petroleum</v>
      </c>
    </row>
    <row r="2514" spans="1:6" x14ac:dyDescent="0.25">
      <c r="A2514" t="s">
        <v>171</v>
      </c>
      <c r="B2514" t="s">
        <v>92</v>
      </c>
      <c r="C2514">
        <v>2018</v>
      </c>
      <c r="D2514">
        <v>8.9</v>
      </c>
      <c r="E2514">
        <v>9.4</v>
      </c>
      <c r="F2514" t="str">
        <f t="shared" si="39"/>
        <v>petroleum</v>
      </c>
    </row>
    <row r="2515" spans="1:6" x14ac:dyDescent="0.25">
      <c r="A2515" t="s">
        <v>171</v>
      </c>
      <c r="B2515" t="s">
        <v>92</v>
      </c>
      <c r="C2515">
        <v>2019</v>
      </c>
      <c r="D2515">
        <v>3.4</v>
      </c>
      <c r="E2515">
        <v>3.4</v>
      </c>
      <c r="F2515" t="str">
        <f t="shared" si="39"/>
        <v>petroleum</v>
      </c>
    </row>
    <row r="2516" spans="1:6" x14ac:dyDescent="0.25">
      <c r="A2516" t="s">
        <v>171</v>
      </c>
      <c r="B2516" t="s">
        <v>92</v>
      </c>
      <c r="C2516">
        <v>2020</v>
      </c>
      <c r="D2516">
        <v>15.7</v>
      </c>
      <c r="E2516">
        <v>17.3</v>
      </c>
      <c r="F2516" t="str">
        <f t="shared" si="39"/>
        <v>petroleum</v>
      </c>
    </row>
    <row r="2517" spans="1:6" x14ac:dyDescent="0.25">
      <c r="A2517" t="s">
        <v>171</v>
      </c>
      <c r="B2517" t="s">
        <v>92</v>
      </c>
      <c r="C2517">
        <v>2021</v>
      </c>
      <c r="D2517">
        <v>1.8</v>
      </c>
      <c r="E2517">
        <v>1.8</v>
      </c>
      <c r="F2517" t="str">
        <f t="shared" si="39"/>
        <v>petroleum</v>
      </c>
    </row>
    <row r="2518" spans="1:6" x14ac:dyDescent="0.25">
      <c r="A2518" t="s">
        <v>171</v>
      </c>
      <c r="B2518" t="s">
        <v>92</v>
      </c>
      <c r="C2518">
        <v>2022</v>
      </c>
      <c r="D2518">
        <v>8.6999999999999993</v>
      </c>
      <c r="E2518">
        <v>8.6999999999999993</v>
      </c>
      <c r="F2518" t="str">
        <f t="shared" si="39"/>
        <v>petroleum</v>
      </c>
    </row>
    <row r="2519" spans="1:6" x14ac:dyDescent="0.25">
      <c r="A2519" t="s">
        <v>171</v>
      </c>
      <c r="B2519" t="s">
        <v>92</v>
      </c>
      <c r="C2519">
        <v>2023</v>
      </c>
      <c r="D2519">
        <v>1.2</v>
      </c>
      <c r="E2519">
        <v>1.2</v>
      </c>
      <c r="F2519" t="str">
        <f t="shared" si="39"/>
        <v>petroleum</v>
      </c>
    </row>
    <row r="2520" spans="1:6" x14ac:dyDescent="0.25">
      <c r="A2520" t="s">
        <v>171</v>
      </c>
      <c r="B2520" t="s">
        <v>92</v>
      </c>
      <c r="C2520">
        <v>2024</v>
      </c>
      <c r="D2520">
        <v>0.2</v>
      </c>
      <c r="E2520">
        <v>0.2</v>
      </c>
      <c r="F2520" t="str">
        <f t="shared" si="39"/>
        <v>petroleum</v>
      </c>
    </row>
    <row r="2521" spans="1:6" x14ac:dyDescent="0.25">
      <c r="A2521" t="s">
        <v>171</v>
      </c>
      <c r="B2521" t="s">
        <v>92</v>
      </c>
      <c r="C2521">
        <v>2025</v>
      </c>
      <c r="D2521">
        <v>21.1</v>
      </c>
      <c r="E2521">
        <v>20.8</v>
      </c>
      <c r="F2521" t="str">
        <f t="shared" si="39"/>
        <v>petroleum</v>
      </c>
    </row>
    <row r="2522" spans="1:6" x14ac:dyDescent="0.25">
      <c r="A2522" t="s">
        <v>171</v>
      </c>
      <c r="B2522" t="s">
        <v>249</v>
      </c>
      <c r="C2522">
        <v>2011</v>
      </c>
      <c r="D2522">
        <v>34.83</v>
      </c>
      <c r="E2522">
        <v>36</v>
      </c>
      <c r="F2522" t="str">
        <f t="shared" si="39"/>
        <v>solar pv</v>
      </c>
    </row>
    <row r="2523" spans="1:6" x14ac:dyDescent="0.25">
      <c r="A2523" t="s">
        <v>171</v>
      </c>
      <c r="B2523" t="s">
        <v>249</v>
      </c>
      <c r="C2523">
        <v>2012</v>
      </c>
      <c r="D2523">
        <v>6.18</v>
      </c>
      <c r="E2523">
        <v>6.5</v>
      </c>
      <c r="F2523" t="str">
        <f t="shared" si="39"/>
        <v>solar pv</v>
      </c>
    </row>
    <row r="2524" spans="1:6" x14ac:dyDescent="0.25">
      <c r="A2524" t="s">
        <v>171</v>
      </c>
      <c r="B2524" t="s">
        <v>249</v>
      </c>
      <c r="C2524">
        <v>2013</v>
      </c>
      <c r="D2524">
        <v>3.6</v>
      </c>
      <c r="E2524">
        <v>3.6</v>
      </c>
      <c r="F2524" t="str">
        <f t="shared" si="39"/>
        <v>solar pv</v>
      </c>
    </row>
    <row r="2525" spans="1:6" x14ac:dyDescent="0.25">
      <c r="A2525" t="s">
        <v>171</v>
      </c>
      <c r="B2525" t="s">
        <v>249</v>
      </c>
      <c r="C2525">
        <v>2014</v>
      </c>
      <c r="D2525">
        <v>10.4</v>
      </c>
      <c r="E2525">
        <v>10.4</v>
      </c>
      <c r="F2525" t="str">
        <f t="shared" si="39"/>
        <v>solar pv</v>
      </c>
    </row>
    <row r="2526" spans="1:6" x14ac:dyDescent="0.25">
      <c r="A2526" t="s">
        <v>171</v>
      </c>
      <c r="B2526" t="s">
        <v>249</v>
      </c>
      <c r="C2526">
        <v>2015</v>
      </c>
      <c r="D2526">
        <v>25.9</v>
      </c>
      <c r="E2526">
        <v>27.3</v>
      </c>
      <c r="F2526" t="str">
        <f t="shared" si="39"/>
        <v>solar pv</v>
      </c>
    </row>
    <row r="2527" spans="1:6" x14ac:dyDescent="0.25">
      <c r="A2527" t="s">
        <v>171</v>
      </c>
      <c r="B2527" t="s">
        <v>249</v>
      </c>
      <c r="C2527">
        <v>2016</v>
      </c>
      <c r="D2527">
        <v>37.200000000000003</v>
      </c>
      <c r="E2527">
        <v>37.1</v>
      </c>
      <c r="F2527" t="str">
        <f t="shared" si="39"/>
        <v>solar pv</v>
      </c>
    </row>
    <row r="2528" spans="1:6" x14ac:dyDescent="0.25">
      <c r="A2528" t="s">
        <v>171</v>
      </c>
      <c r="B2528" t="s">
        <v>249</v>
      </c>
      <c r="C2528">
        <v>2017</v>
      </c>
      <c r="D2528">
        <v>48.5</v>
      </c>
      <c r="E2528">
        <v>48.5</v>
      </c>
      <c r="F2528" t="str">
        <f t="shared" si="39"/>
        <v>solar pv</v>
      </c>
    </row>
    <row r="2529" spans="1:6" x14ac:dyDescent="0.25">
      <c r="A2529" t="s">
        <v>171</v>
      </c>
      <c r="B2529" t="s">
        <v>249</v>
      </c>
      <c r="C2529">
        <v>2018</v>
      </c>
      <c r="D2529">
        <v>140.1</v>
      </c>
      <c r="E2529">
        <v>140.1</v>
      </c>
      <c r="F2529" t="str">
        <f t="shared" si="39"/>
        <v>solar pv</v>
      </c>
    </row>
    <row r="2530" spans="1:6" x14ac:dyDescent="0.25">
      <c r="A2530" t="s">
        <v>171</v>
      </c>
      <c r="B2530" t="s">
        <v>249</v>
      </c>
      <c r="C2530">
        <v>2019</v>
      </c>
      <c r="D2530">
        <v>238</v>
      </c>
      <c r="E2530">
        <v>238</v>
      </c>
      <c r="F2530" t="str">
        <f t="shared" si="39"/>
        <v>solar pv</v>
      </c>
    </row>
    <row r="2531" spans="1:6" x14ac:dyDescent="0.25">
      <c r="A2531" t="s">
        <v>171</v>
      </c>
      <c r="B2531" t="s">
        <v>249</v>
      </c>
      <c r="C2531">
        <v>2020</v>
      </c>
      <c r="D2531">
        <v>225.7</v>
      </c>
      <c r="E2531">
        <v>227.1</v>
      </c>
      <c r="F2531" t="str">
        <f t="shared" si="39"/>
        <v>solar pv</v>
      </c>
    </row>
    <row r="2532" spans="1:6" x14ac:dyDescent="0.25">
      <c r="A2532" t="s">
        <v>171</v>
      </c>
      <c r="B2532" t="s">
        <v>249</v>
      </c>
      <c r="C2532">
        <v>2021</v>
      </c>
      <c r="D2532">
        <v>358.1</v>
      </c>
      <c r="E2532">
        <v>358.1</v>
      </c>
      <c r="F2532" t="str">
        <f t="shared" si="39"/>
        <v>solar pv</v>
      </c>
    </row>
    <row r="2533" spans="1:6" x14ac:dyDescent="0.25">
      <c r="A2533" t="s">
        <v>171</v>
      </c>
      <c r="B2533" t="s">
        <v>249</v>
      </c>
      <c r="C2533">
        <v>2022</v>
      </c>
      <c r="D2533">
        <v>293.8</v>
      </c>
      <c r="E2533">
        <v>293.89999999999998</v>
      </c>
      <c r="F2533" t="str">
        <f t="shared" si="39"/>
        <v>solar pv</v>
      </c>
    </row>
    <row r="2534" spans="1:6" x14ac:dyDescent="0.25">
      <c r="A2534" t="s">
        <v>171</v>
      </c>
      <c r="B2534" t="s">
        <v>249</v>
      </c>
      <c r="C2534">
        <v>2023</v>
      </c>
      <c r="D2534">
        <v>342.89</v>
      </c>
      <c r="E2534">
        <v>342.8</v>
      </c>
      <c r="F2534" t="str">
        <f t="shared" si="39"/>
        <v>solar pv</v>
      </c>
    </row>
    <row r="2535" spans="1:6" x14ac:dyDescent="0.25">
      <c r="A2535" t="s">
        <v>171</v>
      </c>
      <c r="B2535" t="s">
        <v>249</v>
      </c>
      <c r="C2535">
        <v>2024</v>
      </c>
      <c r="D2535">
        <v>952.92</v>
      </c>
      <c r="E2535">
        <v>954.1</v>
      </c>
      <c r="F2535" t="str">
        <f t="shared" si="39"/>
        <v>solar pv</v>
      </c>
    </row>
    <row r="2536" spans="1:6" x14ac:dyDescent="0.25">
      <c r="A2536" t="s">
        <v>171</v>
      </c>
      <c r="B2536" t="s">
        <v>249</v>
      </c>
      <c r="C2536">
        <v>2025</v>
      </c>
      <c r="D2536">
        <v>372.8</v>
      </c>
      <c r="E2536">
        <v>373</v>
      </c>
      <c r="F2536" t="str">
        <f t="shared" si="39"/>
        <v>solar pv</v>
      </c>
    </row>
    <row r="2537" spans="1:6" x14ac:dyDescent="0.25">
      <c r="A2537" t="s">
        <v>173</v>
      </c>
      <c r="B2537" t="s">
        <v>90</v>
      </c>
      <c r="C2537">
        <v>1993</v>
      </c>
      <c r="D2537">
        <v>7.2</v>
      </c>
      <c r="E2537">
        <v>7.2</v>
      </c>
      <c r="F2537" t="str">
        <f t="shared" si="39"/>
        <v>biomass</v>
      </c>
    </row>
    <row r="2538" spans="1:6" x14ac:dyDescent="0.25">
      <c r="A2538" t="s">
        <v>173</v>
      </c>
      <c r="B2538" t="s">
        <v>90</v>
      </c>
      <c r="C2538">
        <v>2001</v>
      </c>
      <c r="D2538">
        <v>26.6</v>
      </c>
      <c r="E2538">
        <v>26.6</v>
      </c>
      <c r="F2538" t="str">
        <f t="shared" si="39"/>
        <v>biomass</v>
      </c>
    </row>
    <row r="2539" spans="1:6" x14ac:dyDescent="0.25">
      <c r="A2539" t="s">
        <v>173</v>
      </c>
      <c r="B2539" t="s">
        <v>90</v>
      </c>
      <c r="C2539">
        <v>2003</v>
      </c>
      <c r="D2539">
        <v>5.6</v>
      </c>
      <c r="E2539">
        <v>5.6</v>
      </c>
      <c r="F2539" t="str">
        <f t="shared" si="39"/>
        <v>biomass</v>
      </c>
    </row>
    <row r="2540" spans="1:6" x14ac:dyDescent="0.25">
      <c r="A2540" t="s">
        <v>173</v>
      </c>
      <c r="B2540" t="s">
        <v>90</v>
      </c>
      <c r="C2540">
        <v>2006</v>
      </c>
      <c r="D2540">
        <v>1.4</v>
      </c>
      <c r="E2540">
        <v>1.4</v>
      </c>
      <c r="F2540" t="str">
        <f t="shared" si="39"/>
        <v>biomass</v>
      </c>
    </row>
    <row r="2541" spans="1:6" x14ac:dyDescent="0.25">
      <c r="A2541" t="s">
        <v>173</v>
      </c>
      <c r="B2541" t="s">
        <v>90</v>
      </c>
      <c r="C2541">
        <v>2010</v>
      </c>
      <c r="D2541">
        <v>6</v>
      </c>
      <c r="E2541">
        <v>7.1</v>
      </c>
      <c r="F2541" t="str">
        <f t="shared" si="39"/>
        <v>biomass</v>
      </c>
    </row>
    <row r="2542" spans="1:6" x14ac:dyDescent="0.25">
      <c r="A2542" t="s">
        <v>173</v>
      </c>
      <c r="B2542" t="s">
        <v>90</v>
      </c>
      <c r="C2542">
        <v>2011</v>
      </c>
      <c r="D2542">
        <v>13.4</v>
      </c>
      <c r="E2542">
        <v>15.9</v>
      </c>
      <c r="F2542" t="str">
        <f t="shared" si="39"/>
        <v>biomass</v>
      </c>
    </row>
    <row r="2543" spans="1:6" x14ac:dyDescent="0.25">
      <c r="A2543" t="s">
        <v>173</v>
      </c>
      <c r="B2543" t="s">
        <v>90</v>
      </c>
      <c r="C2543">
        <v>2012</v>
      </c>
      <c r="D2543">
        <v>19.2</v>
      </c>
      <c r="E2543">
        <v>19.2</v>
      </c>
      <c r="F2543" t="str">
        <f t="shared" si="39"/>
        <v>biomass</v>
      </c>
    </row>
    <row r="2544" spans="1:6" x14ac:dyDescent="0.25">
      <c r="A2544" t="s">
        <v>173</v>
      </c>
      <c r="B2544" t="s">
        <v>90</v>
      </c>
      <c r="C2544">
        <v>2013</v>
      </c>
      <c r="D2544">
        <v>10.4</v>
      </c>
      <c r="E2544">
        <v>10.8</v>
      </c>
      <c r="F2544" t="str">
        <f t="shared" si="39"/>
        <v>biomass</v>
      </c>
    </row>
    <row r="2545" spans="1:6" x14ac:dyDescent="0.25">
      <c r="A2545" t="s">
        <v>173</v>
      </c>
      <c r="B2545" t="s">
        <v>90</v>
      </c>
      <c r="C2545">
        <v>2014</v>
      </c>
      <c r="D2545">
        <v>5.8</v>
      </c>
      <c r="E2545">
        <v>5.8</v>
      </c>
      <c r="F2545" t="str">
        <f t="shared" si="39"/>
        <v>biomass</v>
      </c>
    </row>
    <row r="2546" spans="1:6" x14ac:dyDescent="0.25">
      <c r="A2546" t="s">
        <v>173</v>
      </c>
      <c r="B2546" t="s">
        <v>90</v>
      </c>
      <c r="C2546">
        <v>2017</v>
      </c>
      <c r="D2546">
        <v>4.5</v>
      </c>
      <c r="E2546">
        <v>4.8</v>
      </c>
      <c r="F2546" t="str">
        <f t="shared" si="39"/>
        <v>biomass</v>
      </c>
    </row>
    <row r="2547" spans="1:6" x14ac:dyDescent="0.25">
      <c r="A2547" t="s">
        <v>173</v>
      </c>
      <c r="B2547" t="s">
        <v>90</v>
      </c>
      <c r="C2547">
        <v>2025</v>
      </c>
      <c r="D2547">
        <v>3.2</v>
      </c>
      <c r="E2547">
        <v>3.2</v>
      </c>
      <c r="F2547" t="str">
        <f t="shared" si="39"/>
        <v>biomass</v>
      </c>
    </row>
    <row r="2548" spans="1:6" x14ac:dyDescent="0.25">
      <c r="A2548" t="s">
        <v>173</v>
      </c>
      <c r="B2548" t="s">
        <v>81</v>
      </c>
      <c r="C2548">
        <v>1990</v>
      </c>
      <c r="D2548">
        <v>17.5</v>
      </c>
      <c r="E2548">
        <v>22</v>
      </c>
      <c r="F2548" t="str">
        <f t="shared" si="39"/>
        <v>hard coal</v>
      </c>
    </row>
    <row r="2549" spans="1:6" x14ac:dyDescent="0.25">
      <c r="A2549" t="s">
        <v>173</v>
      </c>
      <c r="B2549" t="s">
        <v>86</v>
      </c>
      <c r="C2549">
        <v>1992</v>
      </c>
      <c r="D2549">
        <v>1.3</v>
      </c>
      <c r="E2549">
        <v>1.4</v>
      </c>
      <c r="F2549" t="str">
        <f t="shared" si="39"/>
        <v>hydro</v>
      </c>
    </row>
    <row r="2550" spans="1:6" x14ac:dyDescent="0.25">
      <c r="A2550" t="s">
        <v>173</v>
      </c>
      <c r="B2550" t="s">
        <v>86</v>
      </c>
      <c r="C2550">
        <v>1994</v>
      </c>
      <c r="D2550">
        <v>2</v>
      </c>
      <c r="E2550">
        <v>2.2000000000000002</v>
      </c>
      <c r="F2550" t="str">
        <f t="shared" si="39"/>
        <v>hydro</v>
      </c>
    </row>
    <row r="2551" spans="1:6" x14ac:dyDescent="0.25">
      <c r="A2551" t="s">
        <v>173</v>
      </c>
      <c r="B2551" t="s">
        <v>86</v>
      </c>
      <c r="C2551">
        <v>2004</v>
      </c>
      <c r="D2551">
        <v>2.1</v>
      </c>
      <c r="E2551">
        <v>1.9</v>
      </c>
      <c r="F2551" t="str">
        <f t="shared" si="39"/>
        <v>hydro</v>
      </c>
    </row>
    <row r="2552" spans="1:6" x14ac:dyDescent="0.25">
      <c r="A2552" t="s">
        <v>173</v>
      </c>
      <c r="B2552" t="s">
        <v>84</v>
      </c>
      <c r="C2552">
        <v>2001</v>
      </c>
      <c r="D2552">
        <v>23.4</v>
      </c>
      <c r="E2552">
        <v>26.1</v>
      </c>
      <c r="F2552" t="str">
        <f t="shared" si="39"/>
        <v>natural gas combined cycle</v>
      </c>
    </row>
    <row r="2553" spans="1:6" x14ac:dyDescent="0.25">
      <c r="A2553" t="s">
        <v>173</v>
      </c>
      <c r="B2553" t="s">
        <v>84</v>
      </c>
      <c r="C2553">
        <v>2002</v>
      </c>
      <c r="D2553">
        <v>661</v>
      </c>
      <c r="E2553">
        <v>714.9</v>
      </c>
      <c r="F2553" t="str">
        <f t="shared" si="39"/>
        <v>natural gas combined cycle</v>
      </c>
    </row>
    <row r="2554" spans="1:6" x14ac:dyDescent="0.25">
      <c r="A2554" t="s">
        <v>173</v>
      </c>
      <c r="B2554" t="s">
        <v>84</v>
      </c>
      <c r="C2554">
        <v>2003</v>
      </c>
      <c r="D2554">
        <v>2239.6</v>
      </c>
      <c r="E2554">
        <v>2351.4</v>
      </c>
      <c r="F2554" t="str">
        <f t="shared" si="39"/>
        <v>natural gas combined cycle</v>
      </c>
    </row>
    <row r="2555" spans="1:6" x14ac:dyDescent="0.25">
      <c r="A2555" t="s">
        <v>173</v>
      </c>
      <c r="B2555" t="s">
        <v>84</v>
      </c>
      <c r="C2555">
        <v>2004</v>
      </c>
      <c r="D2555">
        <v>46.5</v>
      </c>
      <c r="E2555">
        <v>45.3</v>
      </c>
      <c r="F2555" t="str">
        <f t="shared" si="39"/>
        <v>natural gas combined cycle</v>
      </c>
    </row>
    <row r="2556" spans="1:6" x14ac:dyDescent="0.25">
      <c r="A2556" t="s">
        <v>173</v>
      </c>
      <c r="B2556" t="s">
        <v>84</v>
      </c>
      <c r="C2556">
        <v>2012</v>
      </c>
      <c r="D2556">
        <v>1225.0999999999999</v>
      </c>
      <c r="E2556">
        <v>1417.8</v>
      </c>
      <c r="F2556" t="str">
        <f t="shared" si="39"/>
        <v>natural gas combined cycle</v>
      </c>
    </row>
    <row r="2557" spans="1:6" x14ac:dyDescent="0.25">
      <c r="A2557" t="s">
        <v>173</v>
      </c>
      <c r="B2557" t="s">
        <v>84</v>
      </c>
      <c r="C2557">
        <v>2017</v>
      </c>
      <c r="D2557">
        <v>1531.5</v>
      </c>
      <c r="E2557">
        <v>1892.3</v>
      </c>
      <c r="F2557" t="str">
        <f t="shared" si="39"/>
        <v>natural gas combined cycle</v>
      </c>
    </row>
    <row r="2558" spans="1:6" x14ac:dyDescent="0.25">
      <c r="A2558" t="s">
        <v>173</v>
      </c>
      <c r="B2558" t="s">
        <v>84</v>
      </c>
      <c r="C2558">
        <v>2018</v>
      </c>
      <c r="D2558">
        <v>1319</v>
      </c>
      <c r="E2558">
        <v>1505.9</v>
      </c>
      <c r="F2558" t="str">
        <f t="shared" si="39"/>
        <v>natural gas combined cycle</v>
      </c>
    </row>
    <row r="2559" spans="1:6" x14ac:dyDescent="0.25">
      <c r="A2559" t="s">
        <v>173</v>
      </c>
      <c r="B2559" t="s">
        <v>84</v>
      </c>
      <c r="C2559">
        <v>2021</v>
      </c>
      <c r="D2559">
        <v>1695.4</v>
      </c>
      <c r="E2559">
        <v>1732.3</v>
      </c>
      <c r="F2559" t="str">
        <f t="shared" si="39"/>
        <v>natural gas combined cycle</v>
      </c>
    </row>
    <row r="2560" spans="1:6" x14ac:dyDescent="0.25">
      <c r="A2560" t="s">
        <v>173</v>
      </c>
      <c r="B2560" t="s">
        <v>84</v>
      </c>
      <c r="C2560">
        <v>2023</v>
      </c>
      <c r="D2560">
        <v>1788.5</v>
      </c>
      <c r="E2560">
        <v>2055</v>
      </c>
      <c r="F2560" t="str">
        <f t="shared" si="39"/>
        <v>natural gas combined cycle</v>
      </c>
    </row>
    <row r="2561" spans="1:6" x14ac:dyDescent="0.25">
      <c r="A2561" t="s">
        <v>173</v>
      </c>
      <c r="B2561" t="s">
        <v>93</v>
      </c>
      <c r="C2561">
        <v>1990</v>
      </c>
      <c r="D2561">
        <v>0.9</v>
      </c>
      <c r="E2561">
        <v>0.9</v>
      </c>
      <c r="F2561" t="str">
        <f t="shared" si="39"/>
        <v>natural gas peaker</v>
      </c>
    </row>
    <row r="2562" spans="1:6" x14ac:dyDescent="0.25">
      <c r="A2562" t="s">
        <v>173</v>
      </c>
      <c r="B2562" t="s">
        <v>93</v>
      </c>
      <c r="C2562">
        <v>1992</v>
      </c>
      <c r="D2562">
        <v>413.3</v>
      </c>
      <c r="E2562">
        <v>496</v>
      </c>
      <c r="F2562" t="str">
        <f t="shared" ref="F2562:F2625" si="40">LOWER($B2562)</f>
        <v>natural gas peaker</v>
      </c>
    </row>
    <row r="2563" spans="1:6" x14ac:dyDescent="0.25">
      <c r="A2563" t="s">
        <v>173</v>
      </c>
      <c r="B2563" t="s">
        <v>93</v>
      </c>
      <c r="C2563">
        <v>1993</v>
      </c>
      <c r="D2563">
        <v>78</v>
      </c>
      <c r="E2563">
        <v>95.3</v>
      </c>
      <c r="F2563" t="str">
        <f t="shared" si="40"/>
        <v>natural gas peaker</v>
      </c>
    </row>
    <row r="2564" spans="1:6" x14ac:dyDescent="0.25">
      <c r="A2564" t="s">
        <v>173</v>
      </c>
      <c r="B2564" t="s">
        <v>93</v>
      </c>
      <c r="C2564">
        <v>1995</v>
      </c>
      <c r="D2564">
        <v>91</v>
      </c>
      <c r="E2564">
        <v>103.5</v>
      </c>
      <c r="F2564" t="str">
        <f t="shared" si="40"/>
        <v>natural gas peaker</v>
      </c>
    </row>
    <row r="2565" spans="1:6" x14ac:dyDescent="0.25">
      <c r="A2565" t="s">
        <v>173</v>
      </c>
      <c r="B2565" t="s">
        <v>93</v>
      </c>
      <c r="C2565">
        <v>1996</v>
      </c>
      <c r="D2565">
        <v>93.2</v>
      </c>
      <c r="E2565">
        <v>108.2</v>
      </c>
      <c r="F2565" t="str">
        <f t="shared" si="40"/>
        <v>natural gas peaker</v>
      </c>
    </row>
    <row r="2566" spans="1:6" x14ac:dyDescent="0.25">
      <c r="A2566" t="s">
        <v>173</v>
      </c>
      <c r="B2566" t="s">
        <v>93</v>
      </c>
      <c r="C2566">
        <v>1998</v>
      </c>
      <c r="D2566">
        <v>81</v>
      </c>
      <c r="E2566">
        <v>84.2</v>
      </c>
      <c r="F2566" t="str">
        <f t="shared" si="40"/>
        <v>natural gas peaker</v>
      </c>
    </row>
    <row r="2567" spans="1:6" x14ac:dyDescent="0.25">
      <c r="A2567" t="s">
        <v>173</v>
      </c>
      <c r="B2567" t="s">
        <v>93</v>
      </c>
      <c r="C2567">
        <v>1999</v>
      </c>
      <c r="D2567">
        <v>10.4</v>
      </c>
      <c r="E2567">
        <v>11</v>
      </c>
      <c r="F2567" t="str">
        <f t="shared" si="40"/>
        <v>natural gas peaker</v>
      </c>
    </row>
    <row r="2568" spans="1:6" x14ac:dyDescent="0.25">
      <c r="A2568" t="s">
        <v>173</v>
      </c>
      <c r="B2568" t="s">
        <v>93</v>
      </c>
      <c r="C2568">
        <v>2000</v>
      </c>
      <c r="D2568">
        <v>934</v>
      </c>
      <c r="E2568">
        <v>1140.5</v>
      </c>
      <c r="F2568" t="str">
        <f t="shared" si="40"/>
        <v>natural gas peaker</v>
      </c>
    </row>
    <row r="2569" spans="1:6" x14ac:dyDescent="0.25">
      <c r="A2569" t="s">
        <v>173</v>
      </c>
      <c r="B2569" t="s">
        <v>93</v>
      </c>
      <c r="C2569">
        <v>2001</v>
      </c>
      <c r="D2569">
        <v>1065.4000000000001</v>
      </c>
      <c r="E2569">
        <v>1215.8</v>
      </c>
      <c r="F2569" t="str">
        <f t="shared" si="40"/>
        <v>natural gas peaker</v>
      </c>
    </row>
    <row r="2570" spans="1:6" x14ac:dyDescent="0.25">
      <c r="A2570" t="s">
        <v>173</v>
      </c>
      <c r="B2570" t="s">
        <v>93</v>
      </c>
      <c r="C2570">
        <v>2002</v>
      </c>
      <c r="D2570">
        <v>1639.41</v>
      </c>
      <c r="E2570">
        <v>1956.3</v>
      </c>
      <c r="F2570" t="str">
        <f t="shared" si="40"/>
        <v>natural gas peaker</v>
      </c>
    </row>
    <row r="2571" spans="1:6" x14ac:dyDescent="0.25">
      <c r="A2571" t="s">
        <v>173</v>
      </c>
      <c r="B2571" t="s">
        <v>93</v>
      </c>
      <c r="C2571">
        <v>2003</v>
      </c>
      <c r="D2571">
        <v>929.9</v>
      </c>
      <c r="E2571">
        <v>983.2</v>
      </c>
      <c r="F2571" t="str">
        <f t="shared" si="40"/>
        <v>natural gas peaker</v>
      </c>
    </row>
    <row r="2572" spans="1:6" x14ac:dyDescent="0.25">
      <c r="A2572" t="s">
        <v>173</v>
      </c>
      <c r="B2572" t="s">
        <v>93</v>
      </c>
      <c r="C2572">
        <v>2004</v>
      </c>
      <c r="D2572">
        <v>6.9</v>
      </c>
      <c r="E2572">
        <v>7.5</v>
      </c>
      <c r="F2572" t="str">
        <f t="shared" si="40"/>
        <v>natural gas peaker</v>
      </c>
    </row>
    <row r="2573" spans="1:6" x14ac:dyDescent="0.25">
      <c r="A2573" t="s">
        <v>173</v>
      </c>
      <c r="B2573" t="s">
        <v>93</v>
      </c>
      <c r="C2573">
        <v>2005</v>
      </c>
      <c r="D2573">
        <v>1.1000000000000001</v>
      </c>
      <c r="E2573">
        <v>1.1000000000000001</v>
      </c>
      <c r="F2573" t="str">
        <f t="shared" si="40"/>
        <v>natural gas peaker</v>
      </c>
    </row>
    <row r="2574" spans="1:6" x14ac:dyDescent="0.25">
      <c r="A2574" t="s">
        <v>173</v>
      </c>
      <c r="B2574" t="s">
        <v>93</v>
      </c>
      <c r="C2574">
        <v>2007</v>
      </c>
      <c r="D2574">
        <v>10</v>
      </c>
      <c r="E2574">
        <v>10</v>
      </c>
      <c r="F2574" t="str">
        <f t="shared" si="40"/>
        <v>natural gas peaker</v>
      </c>
    </row>
    <row r="2575" spans="1:6" x14ac:dyDescent="0.25">
      <c r="A2575" t="s">
        <v>173</v>
      </c>
      <c r="B2575" t="s">
        <v>93</v>
      </c>
      <c r="C2575">
        <v>2020</v>
      </c>
      <c r="D2575">
        <v>10</v>
      </c>
      <c r="E2575">
        <v>10</v>
      </c>
      <c r="F2575" t="str">
        <f t="shared" si="40"/>
        <v>natural gas peaker</v>
      </c>
    </row>
    <row r="2576" spans="1:6" x14ac:dyDescent="0.25">
      <c r="A2576" t="s">
        <v>173</v>
      </c>
      <c r="B2576" t="s">
        <v>83</v>
      </c>
      <c r="C2576">
        <v>2010</v>
      </c>
      <c r="D2576">
        <v>1.2</v>
      </c>
      <c r="E2576">
        <v>1.3</v>
      </c>
      <c r="F2576" t="str">
        <f t="shared" si="40"/>
        <v>natural gas steam turbine</v>
      </c>
    </row>
    <row r="2577" spans="1:6" x14ac:dyDescent="0.25">
      <c r="A2577" t="s">
        <v>173</v>
      </c>
      <c r="B2577" t="s">
        <v>83</v>
      </c>
      <c r="C2577">
        <v>2015</v>
      </c>
      <c r="D2577">
        <v>2.5</v>
      </c>
      <c r="E2577">
        <v>2.5</v>
      </c>
      <c r="F2577" t="str">
        <f t="shared" si="40"/>
        <v>natural gas steam turbine</v>
      </c>
    </row>
    <row r="2578" spans="1:6" x14ac:dyDescent="0.25">
      <c r="A2578" t="s">
        <v>173</v>
      </c>
      <c r="B2578" t="s">
        <v>83</v>
      </c>
      <c r="C2578">
        <v>2017</v>
      </c>
      <c r="D2578">
        <v>15.8</v>
      </c>
      <c r="E2578">
        <v>15.8</v>
      </c>
      <c r="F2578" t="str">
        <f t="shared" si="40"/>
        <v>natural gas steam turbine</v>
      </c>
    </row>
    <row r="2579" spans="1:6" x14ac:dyDescent="0.25">
      <c r="A2579" t="s">
        <v>173</v>
      </c>
      <c r="B2579" t="s">
        <v>87</v>
      </c>
      <c r="C2579">
        <v>2003</v>
      </c>
      <c r="D2579">
        <v>3.6</v>
      </c>
      <c r="E2579">
        <v>3.6</v>
      </c>
      <c r="F2579" t="str">
        <f t="shared" si="40"/>
        <v>onshore wind</v>
      </c>
    </row>
    <row r="2580" spans="1:6" x14ac:dyDescent="0.25">
      <c r="A2580" t="s">
        <v>173</v>
      </c>
      <c r="B2580" t="s">
        <v>87</v>
      </c>
      <c r="C2580">
        <v>2004</v>
      </c>
      <c r="D2580">
        <v>3.6</v>
      </c>
      <c r="E2580">
        <v>3.6</v>
      </c>
      <c r="F2580" t="str">
        <f t="shared" si="40"/>
        <v>onshore wind</v>
      </c>
    </row>
    <row r="2581" spans="1:6" x14ac:dyDescent="0.25">
      <c r="A2581" t="s">
        <v>173</v>
      </c>
      <c r="B2581" t="s">
        <v>87</v>
      </c>
      <c r="C2581">
        <v>2011</v>
      </c>
      <c r="D2581">
        <v>403.5</v>
      </c>
      <c r="E2581">
        <v>403.5</v>
      </c>
      <c r="F2581" t="str">
        <f t="shared" si="40"/>
        <v>onshore wind</v>
      </c>
    </row>
    <row r="2582" spans="1:6" x14ac:dyDescent="0.25">
      <c r="A2582" t="s">
        <v>173</v>
      </c>
      <c r="B2582" t="s">
        <v>87</v>
      </c>
      <c r="C2582">
        <v>2012</v>
      </c>
      <c r="D2582">
        <v>5.5</v>
      </c>
      <c r="E2582">
        <v>5.5</v>
      </c>
      <c r="F2582" t="str">
        <f t="shared" si="40"/>
        <v>onshore wind</v>
      </c>
    </row>
    <row r="2583" spans="1:6" x14ac:dyDescent="0.25">
      <c r="A2583" t="s">
        <v>173</v>
      </c>
      <c r="B2583" t="s">
        <v>87</v>
      </c>
      <c r="C2583">
        <v>2013</v>
      </c>
      <c r="D2583">
        <v>7.9</v>
      </c>
      <c r="E2583">
        <v>7.9</v>
      </c>
      <c r="F2583" t="str">
        <f t="shared" si="40"/>
        <v>onshore wind</v>
      </c>
    </row>
    <row r="2584" spans="1:6" x14ac:dyDescent="0.25">
      <c r="A2584" t="s">
        <v>173</v>
      </c>
      <c r="B2584" t="s">
        <v>87</v>
      </c>
      <c r="C2584">
        <v>2015</v>
      </c>
      <c r="D2584">
        <v>7.5</v>
      </c>
      <c r="E2584">
        <v>7.5</v>
      </c>
      <c r="F2584" t="str">
        <f t="shared" si="40"/>
        <v>onshore wind</v>
      </c>
    </row>
    <row r="2585" spans="1:6" x14ac:dyDescent="0.25">
      <c r="A2585" t="s">
        <v>173</v>
      </c>
      <c r="B2585" t="s">
        <v>87</v>
      </c>
      <c r="C2585">
        <v>2016</v>
      </c>
      <c r="D2585">
        <v>102.3</v>
      </c>
      <c r="E2585">
        <v>102.3</v>
      </c>
      <c r="F2585" t="str">
        <f t="shared" si="40"/>
        <v>onshore wind</v>
      </c>
    </row>
    <row r="2586" spans="1:6" x14ac:dyDescent="0.25">
      <c r="A2586" t="s">
        <v>173</v>
      </c>
      <c r="B2586" t="s">
        <v>87</v>
      </c>
      <c r="C2586">
        <v>2017</v>
      </c>
      <c r="D2586">
        <v>70.5</v>
      </c>
      <c r="E2586">
        <v>70.5</v>
      </c>
      <c r="F2586" t="str">
        <f t="shared" si="40"/>
        <v>onshore wind</v>
      </c>
    </row>
    <row r="2587" spans="1:6" x14ac:dyDescent="0.25">
      <c r="A2587" t="s">
        <v>173</v>
      </c>
      <c r="B2587" t="s">
        <v>87</v>
      </c>
      <c r="C2587">
        <v>2018</v>
      </c>
      <c r="D2587">
        <v>109</v>
      </c>
      <c r="E2587">
        <v>114</v>
      </c>
      <c r="F2587" t="str">
        <f t="shared" si="40"/>
        <v>onshore wind</v>
      </c>
    </row>
    <row r="2588" spans="1:6" x14ac:dyDescent="0.25">
      <c r="A2588" t="s">
        <v>173</v>
      </c>
      <c r="B2588" t="s">
        <v>87</v>
      </c>
      <c r="C2588">
        <v>2020</v>
      </c>
      <c r="D2588">
        <v>134.1</v>
      </c>
      <c r="E2588">
        <v>134.1</v>
      </c>
      <c r="F2588" t="str">
        <f t="shared" si="40"/>
        <v>onshore wind</v>
      </c>
    </row>
    <row r="2589" spans="1:6" x14ac:dyDescent="0.25">
      <c r="A2589" t="s">
        <v>173</v>
      </c>
      <c r="B2589" t="s">
        <v>87</v>
      </c>
      <c r="C2589">
        <v>2021</v>
      </c>
      <c r="D2589">
        <v>249.8</v>
      </c>
      <c r="E2589">
        <v>249.8</v>
      </c>
      <c r="F2589" t="str">
        <f t="shared" si="40"/>
        <v>onshore wind</v>
      </c>
    </row>
    <row r="2590" spans="1:6" x14ac:dyDescent="0.25">
      <c r="A2590" t="s">
        <v>173</v>
      </c>
      <c r="B2590" t="s">
        <v>87</v>
      </c>
      <c r="C2590">
        <v>2023</v>
      </c>
      <c r="D2590">
        <v>4.5</v>
      </c>
      <c r="E2590">
        <v>4.5</v>
      </c>
      <c r="F2590" t="str">
        <f t="shared" si="40"/>
        <v>onshore wind</v>
      </c>
    </row>
    <row r="2591" spans="1:6" x14ac:dyDescent="0.25">
      <c r="A2591" t="s">
        <v>173</v>
      </c>
      <c r="B2591" t="s">
        <v>92</v>
      </c>
      <c r="C2591">
        <v>1990</v>
      </c>
      <c r="D2591">
        <v>19.8</v>
      </c>
      <c r="E2591">
        <v>19.8</v>
      </c>
      <c r="F2591" t="str">
        <f t="shared" si="40"/>
        <v>petroleum</v>
      </c>
    </row>
    <row r="2592" spans="1:6" x14ac:dyDescent="0.25">
      <c r="A2592" t="s">
        <v>173</v>
      </c>
      <c r="B2592" t="s">
        <v>92</v>
      </c>
      <c r="C2592">
        <v>1992</v>
      </c>
      <c r="D2592">
        <v>12</v>
      </c>
      <c r="E2592">
        <v>14</v>
      </c>
      <c r="F2592" t="str">
        <f t="shared" si="40"/>
        <v>petroleum</v>
      </c>
    </row>
    <row r="2593" spans="1:6" x14ac:dyDescent="0.25">
      <c r="A2593" t="s">
        <v>173</v>
      </c>
      <c r="B2593" t="s">
        <v>92</v>
      </c>
      <c r="C2593">
        <v>1993</v>
      </c>
      <c r="D2593">
        <v>1.6</v>
      </c>
      <c r="E2593">
        <v>1.6</v>
      </c>
      <c r="F2593" t="str">
        <f t="shared" si="40"/>
        <v>petroleum</v>
      </c>
    </row>
    <row r="2594" spans="1:6" x14ac:dyDescent="0.25">
      <c r="A2594" t="s">
        <v>173</v>
      </c>
      <c r="B2594" t="s">
        <v>92</v>
      </c>
      <c r="C2594">
        <v>1995</v>
      </c>
      <c r="D2594">
        <v>7.2</v>
      </c>
      <c r="E2594">
        <v>7.2</v>
      </c>
      <c r="F2594" t="str">
        <f t="shared" si="40"/>
        <v>petroleum</v>
      </c>
    </row>
    <row r="2595" spans="1:6" x14ac:dyDescent="0.25">
      <c r="A2595" t="s">
        <v>173</v>
      </c>
      <c r="B2595" t="s">
        <v>92</v>
      </c>
      <c r="C2595">
        <v>1998</v>
      </c>
      <c r="D2595">
        <v>2.8</v>
      </c>
      <c r="E2595">
        <v>2.8</v>
      </c>
      <c r="F2595" t="str">
        <f t="shared" si="40"/>
        <v>petroleum</v>
      </c>
    </row>
    <row r="2596" spans="1:6" x14ac:dyDescent="0.25">
      <c r="A2596" t="s">
        <v>173</v>
      </c>
      <c r="B2596" t="s">
        <v>92</v>
      </c>
      <c r="C2596">
        <v>1999</v>
      </c>
      <c r="D2596">
        <v>41.4</v>
      </c>
      <c r="E2596">
        <v>41.4</v>
      </c>
      <c r="F2596" t="str">
        <f t="shared" si="40"/>
        <v>petroleum</v>
      </c>
    </row>
    <row r="2597" spans="1:6" x14ac:dyDescent="0.25">
      <c r="A2597" t="s">
        <v>173</v>
      </c>
      <c r="B2597" t="s">
        <v>92</v>
      </c>
      <c r="C2597">
        <v>2000</v>
      </c>
      <c r="D2597">
        <v>28.8</v>
      </c>
      <c r="E2597">
        <v>28.8</v>
      </c>
      <c r="F2597" t="str">
        <f t="shared" si="40"/>
        <v>petroleum</v>
      </c>
    </row>
    <row r="2598" spans="1:6" x14ac:dyDescent="0.25">
      <c r="A2598" t="s">
        <v>173</v>
      </c>
      <c r="B2598" t="s">
        <v>92</v>
      </c>
      <c r="C2598">
        <v>2001</v>
      </c>
      <c r="D2598">
        <v>10.8</v>
      </c>
      <c r="E2598">
        <v>10.8</v>
      </c>
      <c r="F2598" t="str">
        <f t="shared" si="40"/>
        <v>petroleum</v>
      </c>
    </row>
    <row r="2599" spans="1:6" x14ac:dyDescent="0.25">
      <c r="A2599" t="s">
        <v>173</v>
      </c>
      <c r="B2599" t="s">
        <v>92</v>
      </c>
      <c r="C2599">
        <v>2004</v>
      </c>
      <c r="D2599">
        <v>7.9</v>
      </c>
      <c r="E2599">
        <v>7.9</v>
      </c>
      <c r="F2599" t="str">
        <f t="shared" si="40"/>
        <v>petroleum</v>
      </c>
    </row>
    <row r="2600" spans="1:6" x14ac:dyDescent="0.25">
      <c r="A2600" t="s">
        <v>173</v>
      </c>
      <c r="B2600" t="s">
        <v>92</v>
      </c>
      <c r="C2600">
        <v>2006</v>
      </c>
      <c r="D2600">
        <v>5.4</v>
      </c>
      <c r="E2600">
        <v>6.3</v>
      </c>
      <c r="F2600" t="str">
        <f t="shared" si="40"/>
        <v>petroleum</v>
      </c>
    </row>
    <row r="2601" spans="1:6" x14ac:dyDescent="0.25">
      <c r="A2601" t="s">
        <v>173</v>
      </c>
      <c r="B2601" t="s">
        <v>92</v>
      </c>
      <c r="C2601">
        <v>2007</v>
      </c>
      <c r="D2601">
        <v>2</v>
      </c>
      <c r="E2601">
        <v>2</v>
      </c>
      <c r="F2601" t="str">
        <f t="shared" si="40"/>
        <v>petroleum</v>
      </c>
    </row>
    <row r="2602" spans="1:6" x14ac:dyDescent="0.25">
      <c r="A2602" t="s">
        <v>173</v>
      </c>
      <c r="B2602" t="s">
        <v>92</v>
      </c>
      <c r="C2602">
        <v>2008</v>
      </c>
      <c r="D2602">
        <v>4.7</v>
      </c>
      <c r="E2602">
        <v>5.3</v>
      </c>
      <c r="F2602" t="str">
        <f t="shared" si="40"/>
        <v>petroleum</v>
      </c>
    </row>
    <row r="2603" spans="1:6" x14ac:dyDescent="0.25">
      <c r="A2603" t="s">
        <v>173</v>
      </c>
      <c r="B2603" t="s">
        <v>92</v>
      </c>
      <c r="C2603">
        <v>2010</v>
      </c>
      <c r="D2603">
        <v>1.8</v>
      </c>
      <c r="E2603">
        <v>2</v>
      </c>
      <c r="F2603" t="str">
        <f t="shared" si="40"/>
        <v>petroleum</v>
      </c>
    </row>
    <row r="2604" spans="1:6" x14ac:dyDescent="0.25">
      <c r="A2604" t="s">
        <v>173</v>
      </c>
      <c r="B2604" t="s">
        <v>92</v>
      </c>
      <c r="C2604">
        <v>2012</v>
      </c>
      <c r="D2604">
        <v>3.6</v>
      </c>
      <c r="E2604">
        <v>3.6</v>
      </c>
      <c r="F2604" t="str">
        <f t="shared" si="40"/>
        <v>petroleum</v>
      </c>
    </row>
    <row r="2605" spans="1:6" x14ac:dyDescent="0.25">
      <c r="A2605" t="s">
        <v>173</v>
      </c>
      <c r="B2605" t="s">
        <v>92</v>
      </c>
      <c r="C2605">
        <v>2016</v>
      </c>
      <c r="D2605">
        <v>3.6</v>
      </c>
      <c r="E2605">
        <v>3.6</v>
      </c>
      <c r="F2605" t="str">
        <f t="shared" si="40"/>
        <v>petroleum</v>
      </c>
    </row>
    <row r="2606" spans="1:6" x14ac:dyDescent="0.25">
      <c r="A2606" t="s">
        <v>173</v>
      </c>
      <c r="B2606" t="s">
        <v>92</v>
      </c>
      <c r="C2606">
        <v>2017</v>
      </c>
      <c r="D2606">
        <v>1.5</v>
      </c>
      <c r="E2606">
        <v>1.5</v>
      </c>
      <c r="F2606" t="str">
        <f t="shared" si="40"/>
        <v>petroleum</v>
      </c>
    </row>
    <row r="2607" spans="1:6" x14ac:dyDescent="0.25">
      <c r="A2607" t="s">
        <v>173</v>
      </c>
      <c r="B2607" t="s">
        <v>92</v>
      </c>
      <c r="C2607">
        <v>2018</v>
      </c>
      <c r="D2607">
        <v>9</v>
      </c>
      <c r="E2607">
        <v>9</v>
      </c>
      <c r="F2607" t="str">
        <f t="shared" si="40"/>
        <v>petroleum</v>
      </c>
    </row>
    <row r="2608" spans="1:6" x14ac:dyDescent="0.25">
      <c r="A2608" t="s">
        <v>173</v>
      </c>
      <c r="B2608" t="s">
        <v>92</v>
      </c>
      <c r="C2608">
        <v>2019</v>
      </c>
      <c r="D2608">
        <v>1.8</v>
      </c>
      <c r="E2608">
        <v>1.8</v>
      </c>
      <c r="F2608" t="str">
        <f t="shared" si="40"/>
        <v>petroleum</v>
      </c>
    </row>
    <row r="2609" spans="1:6" x14ac:dyDescent="0.25">
      <c r="A2609" t="s">
        <v>173</v>
      </c>
      <c r="B2609" t="s">
        <v>92</v>
      </c>
      <c r="C2609">
        <v>2020</v>
      </c>
      <c r="D2609">
        <v>32.4</v>
      </c>
      <c r="E2609">
        <v>32.4</v>
      </c>
      <c r="F2609" t="str">
        <f t="shared" si="40"/>
        <v>petroleum</v>
      </c>
    </row>
    <row r="2610" spans="1:6" x14ac:dyDescent="0.25">
      <c r="A2610" t="s">
        <v>173</v>
      </c>
      <c r="B2610" t="s">
        <v>92</v>
      </c>
      <c r="C2610">
        <v>2022</v>
      </c>
      <c r="D2610">
        <v>2.5</v>
      </c>
      <c r="E2610">
        <v>2.5</v>
      </c>
      <c r="F2610" t="str">
        <f t="shared" si="40"/>
        <v>petroleum</v>
      </c>
    </row>
    <row r="2611" spans="1:6" x14ac:dyDescent="0.25">
      <c r="A2611" t="s">
        <v>173</v>
      </c>
      <c r="B2611" t="s">
        <v>92</v>
      </c>
      <c r="C2611">
        <v>2023</v>
      </c>
      <c r="D2611">
        <v>10.8</v>
      </c>
      <c r="E2611">
        <v>10.8</v>
      </c>
      <c r="F2611" t="str">
        <f t="shared" si="40"/>
        <v>petroleum</v>
      </c>
    </row>
    <row r="2612" spans="1:6" x14ac:dyDescent="0.25">
      <c r="A2612" t="s">
        <v>173</v>
      </c>
      <c r="B2612" t="s">
        <v>249</v>
      </c>
      <c r="C2612">
        <v>2010</v>
      </c>
      <c r="D2612">
        <v>12.6</v>
      </c>
      <c r="E2612">
        <v>12.6</v>
      </c>
      <c r="F2612" t="str">
        <f t="shared" si="40"/>
        <v>solar pv</v>
      </c>
    </row>
    <row r="2613" spans="1:6" x14ac:dyDescent="0.25">
      <c r="A2613" t="s">
        <v>173</v>
      </c>
      <c r="B2613" t="s">
        <v>249</v>
      </c>
      <c r="C2613">
        <v>2011</v>
      </c>
      <c r="D2613">
        <v>9.3000000000000007</v>
      </c>
      <c r="E2613">
        <v>9.4</v>
      </c>
      <c r="F2613" t="str">
        <f t="shared" si="40"/>
        <v>solar pv</v>
      </c>
    </row>
    <row r="2614" spans="1:6" x14ac:dyDescent="0.25">
      <c r="A2614" t="s">
        <v>173</v>
      </c>
      <c r="B2614" t="s">
        <v>249</v>
      </c>
      <c r="C2614">
        <v>2012</v>
      </c>
      <c r="D2614">
        <v>12.8</v>
      </c>
      <c r="E2614">
        <v>13.1</v>
      </c>
      <c r="F2614" t="str">
        <f t="shared" si="40"/>
        <v>solar pv</v>
      </c>
    </row>
    <row r="2615" spans="1:6" x14ac:dyDescent="0.25">
      <c r="A2615" t="s">
        <v>173</v>
      </c>
      <c r="B2615" t="s">
        <v>249</v>
      </c>
      <c r="C2615">
        <v>2013</v>
      </c>
      <c r="D2615">
        <v>1.8</v>
      </c>
      <c r="E2615">
        <v>1.8</v>
      </c>
      <c r="F2615" t="str">
        <f t="shared" si="40"/>
        <v>solar pv</v>
      </c>
    </row>
    <row r="2616" spans="1:6" x14ac:dyDescent="0.25">
      <c r="A2616" t="s">
        <v>173</v>
      </c>
      <c r="B2616" t="s">
        <v>249</v>
      </c>
      <c r="C2616">
        <v>2014</v>
      </c>
      <c r="D2616">
        <v>2.63</v>
      </c>
      <c r="E2616">
        <v>2.7</v>
      </c>
      <c r="F2616" t="str">
        <f t="shared" si="40"/>
        <v>solar pv</v>
      </c>
    </row>
    <row r="2617" spans="1:6" x14ac:dyDescent="0.25">
      <c r="A2617" t="s">
        <v>173</v>
      </c>
      <c r="B2617" t="s">
        <v>249</v>
      </c>
      <c r="C2617">
        <v>2015</v>
      </c>
      <c r="D2617">
        <v>6.8</v>
      </c>
      <c r="E2617">
        <v>7.3</v>
      </c>
      <c r="F2617" t="str">
        <f t="shared" si="40"/>
        <v>solar pv</v>
      </c>
    </row>
    <row r="2618" spans="1:6" x14ac:dyDescent="0.25">
      <c r="A2618" t="s">
        <v>173</v>
      </c>
      <c r="B2618" t="s">
        <v>249</v>
      </c>
      <c r="C2618">
        <v>2016</v>
      </c>
      <c r="D2618">
        <v>4.5</v>
      </c>
      <c r="E2618">
        <v>4.8</v>
      </c>
      <c r="F2618" t="str">
        <f t="shared" si="40"/>
        <v>solar pv</v>
      </c>
    </row>
    <row r="2619" spans="1:6" x14ac:dyDescent="0.25">
      <c r="A2619" t="s">
        <v>173</v>
      </c>
      <c r="B2619" t="s">
        <v>249</v>
      </c>
      <c r="C2619">
        <v>2017</v>
      </c>
      <c r="D2619">
        <v>24.9</v>
      </c>
      <c r="E2619">
        <v>25.1</v>
      </c>
      <c r="F2619" t="str">
        <f t="shared" si="40"/>
        <v>solar pv</v>
      </c>
    </row>
    <row r="2620" spans="1:6" x14ac:dyDescent="0.25">
      <c r="A2620" t="s">
        <v>173</v>
      </c>
      <c r="B2620" t="s">
        <v>249</v>
      </c>
      <c r="C2620">
        <v>2018</v>
      </c>
      <c r="D2620">
        <v>14.1</v>
      </c>
      <c r="E2620">
        <v>14.1</v>
      </c>
      <c r="F2620" t="str">
        <f t="shared" si="40"/>
        <v>solar pv</v>
      </c>
    </row>
    <row r="2621" spans="1:6" x14ac:dyDescent="0.25">
      <c r="A2621" t="s">
        <v>173</v>
      </c>
      <c r="B2621" t="s">
        <v>249</v>
      </c>
      <c r="C2621">
        <v>2019</v>
      </c>
      <c r="D2621">
        <v>20.8</v>
      </c>
      <c r="E2621">
        <v>20.8</v>
      </c>
      <c r="F2621" t="str">
        <f t="shared" si="40"/>
        <v>solar pv</v>
      </c>
    </row>
    <row r="2622" spans="1:6" x14ac:dyDescent="0.25">
      <c r="A2622" t="s">
        <v>173</v>
      </c>
      <c r="B2622" t="s">
        <v>249</v>
      </c>
      <c r="C2622">
        <v>2020</v>
      </c>
      <c r="D2622">
        <v>2.6</v>
      </c>
      <c r="E2622">
        <v>2.6</v>
      </c>
      <c r="F2622" t="str">
        <f t="shared" si="40"/>
        <v>solar pv</v>
      </c>
    </row>
    <row r="2623" spans="1:6" x14ac:dyDescent="0.25">
      <c r="A2623" t="s">
        <v>173</v>
      </c>
      <c r="B2623" t="s">
        <v>249</v>
      </c>
      <c r="C2623">
        <v>2021</v>
      </c>
      <c r="D2623">
        <v>368.5</v>
      </c>
      <c r="E2623">
        <v>368.5</v>
      </c>
      <c r="F2623" t="str">
        <f t="shared" si="40"/>
        <v>solar pv</v>
      </c>
    </row>
    <row r="2624" spans="1:6" x14ac:dyDescent="0.25">
      <c r="A2624" t="s">
        <v>173</v>
      </c>
      <c r="B2624" t="s">
        <v>249</v>
      </c>
      <c r="C2624">
        <v>2022</v>
      </c>
      <c r="D2624">
        <v>4.4000000000000004</v>
      </c>
      <c r="E2624">
        <v>4.4000000000000004</v>
      </c>
      <c r="F2624" t="str">
        <f t="shared" si="40"/>
        <v>solar pv</v>
      </c>
    </row>
    <row r="2625" spans="1:6" x14ac:dyDescent="0.25">
      <c r="A2625" t="s">
        <v>173</v>
      </c>
      <c r="B2625" t="s">
        <v>249</v>
      </c>
      <c r="C2625">
        <v>2023</v>
      </c>
      <c r="D2625">
        <v>1325.1</v>
      </c>
      <c r="E2625">
        <v>1325.1</v>
      </c>
      <c r="F2625" t="str">
        <f t="shared" si="40"/>
        <v>solar pv</v>
      </c>
    </row>
    <row r="2626" spans="1:6" x14ac:dyDescent="0.25">
      <c r="A2626" t="s">
        <v>173</v>
      </c>
      <c r="B2626" t="s">
        <v>249</v>
      </c>
      <c r="C2626">
        <v>2024</v>
      </c>
      <c r="D2626">
        <v>1445.55</v>
      </c>
      <c r="E2626">
        <v>1445.6</v>
      </c>
      <c r="F2626" t="str">
        <f t="shared" ref="F2626:F2689" si="41">LOWER($B2626)</f>
        <v>solar pv</v>
      </c>
    </row>
    <row r="2627" spans="1:6" x14ac:dyDescent="0.25">
      <c r="A2627" t="s">
        <v>173</v>
      </c>
      <c r="B2627" t="s">
        <v>249</v>
      </c>
      <c r="C2627">
        <v>2025</v>
      </c>
      <c r="D2627">
        <v>1223.2</v>
      </c>
      <c r="E2627">
        <v>1223.2</v>
      </c>
      <c r="F2627" t="str">
        <f t="shared" si="41"/>
        <v>solar pv</v>
      </c>
    </row>
    <row r="2628" spans="1:6" x14ac:dyDescent="0.25">
      <c r="A2628" t="s">
        <v>175</v>
      </c>
      <c r="B2628" t="s">
        <v>90</v>
      </c>
      <c r="C2628">
        <v>2011</v>
      </c>
      <c r="D2628">
        <v>1.4</v>
      </c>
      <c r="E2628">
        <v>1.6</v>
      </c>
      <c r="F2628" t="str">
        <f t="shared" si="41"/>
        <v>biomass</v>
      </c>
    </row>
    <row r="2629" spans="1:6" x14ac:dyDescent="0.25">
      <c r="A2629" t="s">
        <v>175</v>
      </c>
      <c r="B2629" t="s">
        <v>90</v>
      </c>
      <c r="C2629">
        <v>2013</v>
      </c>
      <c r="D2629">
        <v>2.8</v>
      </c>
      <c r="E2629">
        <v>3.2</v>
      </c>
      <c r="F2629" t="str">
        <f t="shared" si="41"/>
        <v>biomass</v>
      </c>
    </row>
    <row r="2630" spans="1:6" x14ac:dyDescent="0.25">
      <c r="A2630" t="s">
        <v>175</v>
      </c>
      <c r="B2630" t="s">
        <v>90</v>
      </c>
      <c r="C2630">
        <v>2020</v>
      </c>
      <c r="D2630">
        <v>1.4</v>
      </c>
      <c r="E2630">
        <v>1.6</v>
      </c>
      <c r="F2630" t="str">
        <f t="shared" si="41"/>
        <v>biomass</v>
      </c>
    </row>
    <row r="2631" spans="1:6" x14ac:dyDescent="0.25">
      <c r="A2631" t="s">
        <v>175</v>
      </c>
      <c r="B2631" t="s">
        <v>81</v>
      </c>
      <c r="C2631">
        <v>1990</v>
      </c>
      <c r="D2631">
        <v>321</v>
      </c>
      <c r="E2631">
        <v>350</v>
      </c>
      <c r="F2631" t="str">
        <f t="shared" si="41"/>
        <v>hard coal</v>
      </c>
    </row>
    <row r="2632" spans="1:6" x14ac:dyDescent="0.25">
      <c r="A2632" t="s">
        <v>175</v>
      </c>
      <c r="B2632" t="s">
        <v>84</v>
      </c>
      <c r="C2632">
        <v>1995</v>
      </c>
      <c r="D2632">
        <v>44.1</v>
      </c>
      <c r="E2632">
        <v>54</v>
      </c>
      <c r="F2632" t="str">
        <f t="shared" si="41"/>
        <v>natural gas combined cycle</v>
      </c>
    </row>
    <row r="2633" spans="1:6" x14ac:dyDescent="0.25">
      <c r="A2633" t="s">
        <v>175</v>
      </c>
      <c r="B2633" t="s">
        <v>84</v>
      </c>
      <c r="C2633">
        <v>2000</v>
      </c>
      <c r="D2633">
        <v>451</v>
      </c>
      <c r="E2633">
        <v>534.79999999999995</v>
      </c>
      <c r="F2633" t="str">
        <f t="shared" si="41"/>
        <v>natural gas combined cycle</v>
      </c>
    </row>
    <row r="2634" spans="1:6" x14ac:dyDescent="0.25">
      <c r="A2634" t="s">
        <v>175</v>
      </c>
      <c r="B2634" t="s">
        <v>84</v>
      </c>
      <c r="C2634">
        <v>2001</v>
      </c>
      <c r="D2634">
        <v>784.98</v>
      </c>
      <c r="E2634">
        <v>908.3</v>
      </c>
      <c r="F2634" t="str">
        <f t="shared" si="41"/>
        <v>natural gas combined cycle</v>
      </c>
    </row>
    <row r="2635" spans="1:6" x14ac:dyDescent="0.25">
      <c r="A2635" t="s">
        <v>175</v>
      </c>
      <c r="B2635" t="s">
        <v>84</v>
      </c>
      <c r="C2635">
        <v>2002</v>
      </c>
      <c r="D2635">
        <v>1326.2</v>
      </c>
      <c r="E2635">
        <v>1510.9</v>
      </c>
      <c r="F2635" t="str">
        <f t="shared" si="41"/>
        <v>natural gas combined cycle</v>
      </c>
    </row>
    <row r="2636" spans="1:6" x14ac:dyDescent="0.25">
      <c r="A2636" t="s">
        <v>175</v>
      </c>
      <c r="B2636" t="s">
        <v>84</v>
      </c>
      <c r="C2636">
        <v>2003</v>
      </c>
      <c r="D2636">
        <v>1767.2</v>
      </c>
      <c r="E2636">
        <v>1977</v>
      </c>
      <c r="F2636" t="str">
        <f t="shared" si="41"/>
        <v>natural gas combined cycle</v>
      </c>
    </row>
    <row r="2637" spans="1:6" x14ac:dyDescent="0.25">
      <c r="A2637" t="s">
        <v>175</v>
      </c>
      <c r="B2637" t="s">
        <v>84</v>
      </c>
      <c r="C2637">
        <v>2004</v>
      </c>
      <c r="D2637">
        <v>2009.6</v>
      </c>
      <c r="E2637">
        <v>1433.6</v>
      </c>
      <c r="F2637" t="str">
        <f t="shared" si="41"/>
        <v>natural gas combined cycle</v>
      </c>
    </row>
    <row r="2638" spans="1:6" x14ac:dyDescent="0.25">
      <c r="A2638" t="s">
        <v>175</v>
      </c>
      <c r="B2638" t="s">
        <v>84</v>
      </c>
      <c r="C2638">
        <v>2011</v>
      </c>
      <c r="D2638">
        <v>447</v>
      </c>
      <c r="E2638">
        <v>534.79999999999995</v>
      </c>
      <c r="F2638" t="str">
        <f t="shared" si="41"/>
        <v>natural gas combined cycle</v>
      </c>
    </row>
    <row r="2639" spans="1:6" x14ac:dyDescent="0.25">
      <c r="A2639" t="s">
        <v>175</v>
      </c>
      <c r="B2639" t="s">
        <v>84</v>
      </c>
      <c r="C2639">
        <v>2017</v>
      </c>
      <c r="D2639">
        <v>480.7</v>
      </c>
      <c r="E2639">
        <v>600.29999999999995</v>
      </c>
      <c r="F2639" t="str">
        <f t="shared" si="41"/>
        <v>natural gas combined cycle</v>
      </c>
    </row>
    <row r="2640" spans="1:6" x14ac:dyDescent="0.25">
      <c r="A2640" t="s">
        <v>175</v>
      </c>
      <c r="B2640" t="s">
        <v>93</v>
      </c>
      <c r="C2640">
        <v>1991</v>
      </c>
      <c r="D2640">
        <v>59.8</v>
      </c>
      <c r="E2640">
        <v>66</v>
      </c>
      <c r="F2640" t="str">
        <f t="shared" si="41"/>
        <v>natural gas peaker</v>
      </c>
    </row>
    <row r="2641" spans="1:6" x14ac:dyDescent="0.25">
      <c r="A2641" t="s">
        <v>175</v>
      </c>
      <c r="B2641" t="s">
        <v>93</v>
      </c>
      <c r="C2641">
        <v>2001</v>
      </c>
      <c r="D2641">
        <v>474.26</v>
      </c>
      <c r="E2641">
        <v>557</v>
      </c>
      <c r="F2641" t="str">
        <f t="shared" si="41"/>
        <v>natural gas peaker</v>
      </c>
    </row>
    <row r="2642" spans="1:6" x14ac:dyDescent="0.25">
      <c r="A2642" t="s">
        <v>175</v>
      </c>
      <c r="B2642" t="s">
        <v>93</v>
      </c>
      <c r="C2642">
        <v>2003</v>
      </c>
      <c r="D2642">
        <v>43.9</v>
      </c>
      <c r="E2642">
        <v>60.5</v>
      </c>
      <c r="F2642" t="str">
        <f t="shared" si="41"/>
        <v>natural gas peaker</v>
      </c>
    </row>
    <row r="2643" spans="1:6" x14ac:dyDescent="0.25">
      <c r="A2643" t="s">
        <v>175</v>
      </c>
      <c r="B2643" t="s">
        <v>93</v>
      </c>
      <c r="C2643">
        <v>2006</v>
      </c>
      <c r="D2643">
        <v>3.9</v>
      </c>
      <c r="E2643">
        <v>3.9</v>
      </c>
      <c r="F2643" t="str">
        <f t="shared" si="41"/>
        <v>natural gas peaker</v>
      </c>
    </row>
    <row r="2644" spans="1:6" x14ac:dyDescent="0.25">
      <c r="A2644" t="s">
        <v>175</v>
      </c>
      <c r="B2644" t="s">
        <v>93</v>
      </c>
      <c r="C2644">
        <v>2008</v>
      </c>
      <c r="D2644">
        <v>310</v>
      </c>
      <c r="E2644">
        <v>346</v>
      </c>
      <c r="F2644" t="str">
        <f t="shared" si="41"/>
        <v>natural gas peaker</v>
      </c>
    </row>
    <row r="2645" spans="1:6" x14ac:dyDescent="0.25">
      <c r="A2645" t="s">
        <v>175</v>
      </c>
      <c r="B2645" t="s">
        <v>93</v>
      </c>
      <c r="C2645">
        <v>2009</v>
      </c>
      <c r="D2645">
        <v>135</v>
      </c>
      <c r="E2645">
        <v>135</v>
      </c>
      <c r="F2645" t="str">
        <f t="shared" si="41"/>
        <v>natural gas peaker</v>
      </c>
    </row>
    <row r="2646" spans="1:6" x14ac:dyDescent="0.25">
      <c r="A2646" t="s">
        <v>175</v>
      </c>
      <c r="B2646" t="s">
        <v>93</v>
      </c>
      <c r="C2646">
        <v>2015</v>
      </c>
      <c r="D2646">
        <v>122</v>
      </c>
      <c r="E2646">
        <v>122</v>
      </c>
      <c r="F2646" t="str">
        <f t="shared" si="41"/>
        <v>natural gas peaker</v>
      </c>
    </row>
    <row r="2647" spans="1:6" x14ac:dyDescent="0.25">
      <c r="A2647" t="s">
        <v>175</v>
      </c>
      <c r="B2647" t="s">
        <v>93</v>
      </c>
      <c r="C2647">
        <v>2016</v>
      </c>
      <c r="D2647">
        <v>55.8</v>
      </c>
      <c r="E2647">
        <v>56.4</v>
      </c>
      <c r="F2647" t="str">
        <f t="shared" si="41"/>
        <v>natural gas peaker</v>
      </c>
    </row>
    <row r="2648" spans="1:6" x14ac:dyDescent="0.25">
      <c r="A2648" t="s">
        <v>175</v>
      </c>
      <c r="B2648" t="s">
        <v>93</v>
      </c>
      <c r="C2648">
        <v>2017</v>
      </c>
      <c r="D2648">
        <v>398</v>
      </c>
      <c r="E2648">
        <v>462</v>
      </c>
      <c r="F2648" t="str">
        <f t="shared" si="41"/>
        <v>natural gas peaker</v>
      </c>
    </row>
    <row r="2649" spans="1:6" x14ac:dyDescent="0.25">
      <c r="A2649" t="s">
        <v>175</v>
      </c>
      <c r="B2649" t="s">
        <v>93</v>
      </c>
      <c r="C2649">
        <v>2019</v>
      </c>
      <c r="D2649">
        <v>59.72</v>
      </c>
      <c r="E2649">
        <v>62.5</v>
      </c>
      <c r="F2649" t="str">
        <f t="shared" si="41"/>
        <v>natural gas peaker</v>
      </c>
    </row>
    <row r="2650" spans="1:6" x14ac:dyDescent="0.25">
      <c r="A2650" t="s">
        <v>175</v>
      </c>
      <c r="B2650" t="s">
        <v>93</v>
      </c>
      <c r="C2650">
        <v>2023</v>
      </c>
      <c r="D2650">
        <v>12.06</v>
      </c>
      <c r="E2650">
        <v>12.5</v>
      </c>
      <c r="F2650" t="str">
        <f t="shared" si="41"/>
        <v>natural gas peaker</v>
      </c>
    </row>
    <row r="2651" spans="1:6" x14ac:dyDescent="0.25">
      <c r="A2651" t="s">
        <v>175</v>
      </c>
      <c r="B2651" t="s">
        <v>87</v>
      </c>
      <c r="C2651">
        <v>2003</v>
      </c>
      <c r="D2651">
        <v>176.3</v>
      </c>
      <c r="E2651">
        <v>176.3</v>
      </c>
      <c r="F2651" t="str">
        <f t="shared" si="41"/>
        <v>onshore wind</v>
      </c>
    </row>
    <row r="2652" spans="1:6" x14ac:dyDescent="0.25">
      <c r="A2652" t="s">
        <v>175</v>
      </c>
      <c r="B2652" t="s">
        <v>87</v>
      </c>
      <c r="C2652">
        <v>2005</v>
      </c>
      <c r="D2652">
        <v>298.39999999999998</v>
      </c>
      <c r="E2652">
        <v>298.39999999999998</v>
      </c>
      <c r="F2652" t="str">
        <f t="shared" si="41"/>
        <v>onshore wind</v>
      </c>
    </row>
    <row r="2653" spans="1:6" x14ac:dyDescent="0.25">
      <c r="A2653" t="s">
        <v>175</v>
      </c>
      <c r="B2653" t="s">
        <v>87</v>
      </c>
      <c r="C2653">
        <v>2006</v>
      </c>
      <c r="D2653">
        <v>120</v>
      </c>
      <c r="E2653">
        <v>120</v>
      </c>
      <c r="F2653" t="str">
        <f t="shared" si="41"/>
        <v>onshore wind</v>
      </c>
    </row>
    <row r="2654" spans="1:6" x14ac:dyDescent="0.25">
      <c r="A2654" t="s">
        <v>175</v>
      </c>
      <c r="B2654" t="s">
        <v>87</v>
      </c>
      <c r="C2654">
        <v>2007</v>
      </c>
      <c r="D2654">
        <v>94.5</v>
      </c>
      <c r="E2654">
        <v>94.5</v>
      </c>
      <c r="F2654" t="str">
        <f t="shared" si="41"/>
        <v>onshore wind</v>
      </c>
    </row>
    <row r="2655" spans="1:6" x14ac:dyDescent="0.25">
      <c r="A2655" t="s">
        <v>175</v>
      </c>
      <c r="B2655" t="s">
        <v>87</v>
      </c>
      <c r="C2655">
        <v>2008</v>
      </c>
      <c r="D2655">
        <v>141.9</v>
      </c>
      <c r="E2655">
        <v>141.9</v>
      </c>
      <c r="F2655" t="str">
        <f t="shared" si="41"/>
        <v>onshore wind</v>
      </c>
    </row>
    <row r="2656" spans="1:6" x14ac:dyDescent="0.25">
      <c r="A2656" t="s">
        <v>175</v>
      </c>
      <c r="B2656" t="s">
        <v>87</v>
      </c>
      <c r="C2656">
        <v>2009</v>
      </c>
      <c r="D2656">
        <v>299.10000000000002</v>
      </c>
      <c r="E2656">
        <v>299.10000000000002</v>
      </c>
      <c r="F2656" t="str">
        <f t="shared" si="41"/>
        <v>onshore wind</v>
      </c>
    </row>
    <row r="2657" spans="1:6" x14ac:dyDescent="0.25">
      <c r="A2657" t="s">
        <v>175</v>
      </c>
      <c r="B2657" t="s">
        <v>87</v>
      </c>
      <c r="C2657">
        <v>2010</v>
      </c>
      <c r="D2657">
        <v>350.2</v>
      </c>
      <c r="E2657">
        <v>350.2</v>
      </c>
      <c r="F2657" t="str">
        <f t="shared" si="41"/>
        <v>onshore wind</v>
      </c>
    </row>
    <row r="2658" spans="1:6" x14ac:dyDescent="0.25">
      <c r="A2658" t="s">
        <v>175</v>
      </c>
      <c r="B2658" t="s">
        <v>87</v>
      </c>
      <c r="C2658">
        <v>2011</v>
      </c>
      <c r="D2658">
        <v>330.6</v>
      </c>
      <c r="E2658">
        <v>330.6</v>
      </c>
      <c r="F2658" t="str">
        <f t="shared" si="41"/>
        <v>onshore wind</v>
      </c>
    </row>
    <row r="2659" spans="1:6" x14ac:dyDescent="0.25">
      <c r="A2659" t="s">
        <v>175</v>
      </c>
      <c r="B2659" t="s">
        <v>87</v>
      </c>
      <c r="C2659">
        <v>2012</v>
      </c>
      <c r="D2659">
        <v>1317.8</v>
      </c>
      <c r="E2659">
        <v>1317.8</v>
      </c>
      <c r="F2659" t="str">
        <f t="shared" si="41"/>
        <v>onshore wind</v>
      </c>
    </row>
    <row r="2660" spans="1:6" x14ac:dyDescent="0.25">
      <c r="A2660" t="s">
        <v>175</v>
      </c>
      <c r="B2660" t="s">
        <v>87</v>
      </c>
      <c r="C2660">
        <v>2014</v>
      </c>
      <c r="D2660">
        <v>673.7</v>
      </c>
      <c r="E2660">
        <v>673.7</v>
      </c>
      <c r="F2660" t="str">
        <f t="shared" si="41"/>
        <v>onshore wind</v>
      </c>
    </row>
    <row r="2661" spans="1:6" x14ac:dyDescent="0.25">
      <c r="A2661" t="s">
        <v>175</v>
      </c>
      <c r="B2661" t="s">
        <v>87</v>
      </c>
      <c r="C2661">
        <v>2015</v>
      </c>
      <c r="D2661">
        <v>1221.9000000000001</v>
      </c>
      <c r="E2661">
        <v>1221.9000000000001</v>
      </c>
      <c r="F2661" t="str">
        <f t="shared" si="41"/>
        <v>onshore wind</v>
      </c>
    </row>
    <row r="2662" spans="1:6" x14ac:dyDescent="0.25">
      <c r="A2662" t="s">
        <v>175</v>
      </c>
      <c r="B2662" t="s">
        <v>87</v>
      </c>
      <c r="C2662">
        <v>2016</v>
      </c>
      <c r="D2662">
        <v>1640.7</v>
      </c>
      <c r="E2662">
        <v>1642.7</v>
      </c>
      <c r="F2662" t="str">
        <f t="shared" si="41"/>
        <v>onshore wind</v>
      </c>
    </row>
    <row r="2663" spans="1:6" x14ac:dyDescent="0.25">
      <c r="A2663" t="s">
        <v>175</v>
      </c>
      <c r="B2663" t="s">
        <v>87</v>
      </c>
      <c r="C2663">
        <v>2017</v>
      </c>
      <c r="D2663">
        <v>850.7</v>
      </c>
      <c r="E2663">
        <v>850.7</v>
      </c>
      <c r="F2663" t="str">
        <f t="shared" si="41"/>
        <v>onshore wind</v>
      </c>
    </row>
    <row r="2664" spans="1:6" x14ac:dyDescent="0.25">
      <c r="A2664" t="s">
        <v>175</v>
      </c>
      <c r="B2664" t="s">
        <v>87</v>
      </c>
      <c r="C2664">
        <v>2018</v>
      </c>
      <c r="D2664">
        <v>575.9</v>
      </c>
      <c r="E2664">
        <v>575.9</v>
      </c>
      <c r="F2664" t="str">
        <f t="shared" si="41"/>
        <v>onshore wind</v>
      </c>
    </row>
    <row r="2665" spans="1:6" x14ac:dyDescent="0.25">
      <c r="A2665" t="s">
        <v>175</v>
      </c>
      <c r="B2665" t="s">
        <v>87</v>
      </c>
      <c r="C2665">
        <v>2019</v>
      </c>
      <c r="D2665">
        <v>100</v>
      </c>
      <c r="E2665">
        <v>100</v>
      </c>
      <c r="F2665" t="str">
        <f t="shared" si="41"/>
        <v>onshore wind</v>
      </c>
    </row>
    <row r="2666" spans="1:6" x14ac:dyDescent="0.25">
      <c r="A2666" t="s">
        <v>175</v>
      </c>
      <c r="B2666" t="s">
        <v>87</v>
      </c>
      <c r="C2666">
        <v>2020</v>
      </c>
      <c r="D2666">
        <v>1150.0999999999999</v>
      </c>
      <c r="E2666">
        <v>1150.0999999999999</v>
      </c>
      <c r="F2666" t="str">
        <f t="shared" si="41"/>
        <v>onshore wind</v>
      </c>
    </row>
    <row r="2667" spans="1:6" x14ac:dyDescent="0.25">
      <c r="A2667" t="s">
        <v>175</v>
      </c>
      <c r="B2667" t="s">
        <v>87</v>
      </c>
      <c r="C2667">
        <v>2021</v>
      </c>
      <c r="D2667">
        <v>1097.0999999999999</v>
      </c>
      <c r="E2667">
        <v>1095.8</v>
      </c>
      <c r="F2667" t="str">
        <f t="shared" si="41"/>
        <v>onshore wind</v>
      </c>
    </row>
    <row r="2668" spans="1:6" x14ac:dyDescent="0.25">
      <c r="A2668" t="s">
        <v>175</v>
      </c>
      <c r="B2668" t="s">
        <v>87</v>
      </c>
      <c r="C2668">
        <v>2022</v>
      </c>
      <c r="D2668">
        <v>1302.2</v>
      </c>
      <c r="E2668">
        <v>1302.2</v>
      </c>
      <c r="F2668" t="str">
        <f t="shared" si="41"/>
        <v>onshore wind</v>
      </c>
    </row>
    <row r="2669" spans="1:6" x14ac:dyDescent="0.25">
      <c r="A2669" t="s">
        <v>175</v>
      </c>
      <c r="B2669" t="s">
        <v>87</v>
      </c>
      <c r="C2669">
        <v>2023</v>
      </c>
      <c r="D2669">
        <v>651.20000000000005</v>
      </c>
      <c r="E2669">
        <v>651.20000000000005</v>
      </c>
      <c r="F2669" t="str">
        <f t="shared" si="41"/>
        <v>onshore wind</v>
      </c>
    </row>
    <row r="2670" spans="1:6" x14ac:dyDescent="0.25">
      <c r="A2670" t="s">
        <v>175</v>
      </c>
      <c r="B2670" t="s">
        <v>87</v>
      </c>
      <c r="C2670">
        <v>2024</v>
      </c>
      <c r="D2670">
        <v>503</v>
      </c>
      <c r="E2670">
        <v>503</v>
      </c>
      <c r="F2670" t="str">
        <f t="shared" si="41"/>
        <v>onshore wind</v>
      </c>
    </row>
    <row r="2671" spans="1:6" x14ac:dyDescent="0.25">
      <c r="A2671" t="s">
        <v>175</v>
      </c>
      <c r="B2671" t="s">
        <v>87</v>
      </c>
      <c r="C2671">
        <v>2025</v>
      </c>
      <c r="D2671">
        <v>818.4</v>
      </c>
      <c r="E2671">
        <v>818.4</v>
      </c>
      <c r="F2671" t="str">
        <f t="shared" si="41"/>
        <v>onshore wind</v>
      </c>
    </row>
    <row r="2672" spans="1:6" x14ac:dyDescent="0.25">
      <c r="A2672" t="s">
        <v>175</v>
      </c>
      <c r="B2672" t="s">
        <v>92</v>
      </c>
      <c r="C2672">
        <v>2001</v>
      </c>
      <c r="D2672">
        <v>1.8</v>
      </c>
      <c r="E2672">
        <v>1.8</v>
      </c>
      <c r="F2672" t="str">
        <f t="shared" si="41"/>
        <v>petroleum</v>
      </c>
    </row>
    <row r="2673" spans="1:6" x14ac:dyDescent="0.25">
      <c r="A2673" t="s">
        <v>175</v>
      </c>
      <c r="B2673" t="s">
        <v>92</v>
      </c>
      <c r="C2673">
        <v>2003</v>
      </c>
      <c r="D2673">
        <v>2</v>
      </c>
      <c r="E2673">
        <v>2</v>
      </c>
      <c r="F2673" t="str">
        <f t="shared" si="41"/>
        <v>petroleum</v>
      </c>
    </row>
    <row r="2674" spans="1:6" x14ac:dyDescent="0.25">
      <c r="A2674" t="s">
        <v>175</v>
      </c>
      <c r="B2674" t="s">
        <v>92</v>
      </c>
      <c r="C2674">
        <v>2004</v>
      </c>
      <c r="D2674">
        <v>6</v>
      </c>
      <c r="E2674">
        <v>6</v>
      </c>
      <c r="F2674" t="str">
        <f t="shared" si="41"/>
        <v>petroleum</v>
      </c>
    </row>
    <row r="2675" spans="1:6" x14ac:dyDescent="0.25">
      <c r="A2675" t="s">
        <v>175</v>
      </c>
      <c r="B2675" t="s">
        <v>92</v>
      </c>
      <c r="C2675">
        <v>2006</v>
      </c>
      <c r="D2675">
        <v>4</v>
      </c>
      <c r="E2675">
        <v>4</v>
      </c>
      <c r="F2675" t="str">
        <f t="shared" si="41"/>
        <v>petroleum</v>
      </c>
    </row>
    <row r="2676" spans="1:6" x14ac:dyDescent="0.25">
      <c r="A2676" t="s">
        <v>175</v>
      </c>
      <c r="B2676" t="s">
        <v>92</v>
      </c>
      <c r="C2676">
        <v>2010</v>
      </c>
      <c r="D2676">
        <v>5</v>
      </c>
      <c r="E2676">
        <v>5</v>
      </c>
      <c r="F2676" t="str">
        <f t="shared" si="41"/>
        <v>petroleum</v>
      </c>
    </row>
    <row r="2677" spans="1:6" x14ac:dyDescent="0.25">
      <c r="A2677" t="s">
        <v>175</v>
      </c>
      <c r="B2677" t="s">
        <v>92</v>
      </c>
      <c r="C2677">
        <v>2012</v>
      </c>
      <c r="D2677">
        <v>2.5</v>
      </c>
      <c r="E2677">
        <v>2.5</v>
      </c>
      <c r="F2677" t="str">
        <f t="shared" si="41"/>
        <v>petroleum</v>
      </c>
    </row>
    <row r="2678" spans="1:6" x14ac:dyDescent="0.25">
      <c r="A2678" t="s">
        <v>175</v>
      </c>
      <c r="B2678" t="s">
        <v>249</v>
      </c>
      <c r="C2678">
        <v>2015</v>
      </c>
      <c r="D2678">
        <v>2.5</v>
      </c>
      <c r="E2678">
        <v>2.5</v>
      </c>
      <c r="F2678" t="str">
        <f t="shared" si="41"/>
        <v>solar pv</v>
      </c>
    </row>
    <row r="2679" spans="1:6" x14ac:dyDescent="0.25">
      <c r="A2679" t="s">
        <v>175</v>
      </c>
      <c r="B2679" t="s">
        <v>249</v>
      </c>
      <c r="C2679">
        <v>2016</v>
      </c>
      <c r="D2679">
        <v>1</v>
      </c>
      <c r="E2679">
        <v>1</v>
      </c>
      <c r="F2679" t="str">
        <f t="shared" si="41"/>
        <v>solar pv</v>
      </c>
    </row>
    <row r="2680" spans="1:6" x14ac:dyDescent="0.25">
      <c r="A2680" t="s">
        <v>175</v>
      </c>
      <c r="B2680" t="s">
        <v>249</v>
      </c>
      <c r="C2680">
        <v>2017</v>
      </c>
      <c r="D2680">
        <v>18</v>
      </c>
      <c r="E2680">
        <v>18</v>
      </c>
      <c r="F2680" t="str">
        <f t="shared" si="41"/>
        <v>solar pv</v>
      </c>
    </row>
    <row r="2681" spans="1:6" x14ac:dyDescent="0.25">
      <c r="A2681" t="s">
        <v>175</v>
      </c>
      <c r="B2681" t="s">
        <v>249</v>
      </c>
      <c r="C2681">
        <v>2018</v>
      </c>
      <c r="D2681">
        <v>9.6999999999999993</v>
      </c>
      <c r="E2681">
        <v>10</v>
      </c>
      <c r="F2681" t="str">
        <f t="shared" si="41"/>
        <v>solar pv</v>
      </c>
    </row>
    <row r="2682" spans="1:6" x14ac:dyDescent="0.25">
      <c r="A2682" t="s">
        <v>175</v>
      </c>
      <c r="B2682" t="s">
        <v>249</v>
      </c>
      <c r="C2682">
        <v>2020</v>
      </c>
      <c r="D2682">
        <v>10</v>
      </c>
      <c r="E2682">
        <v>10</v>
      </c>
      <c r="F2682" t="str">
        <f t="shared" si="41"/>
        <v>solar pv</v>
      </c>
    </row>
    <row r="2683" spans="1:6" x14ac:dyDescent="0.25">
      <c r="A2683" t="s">
        <v>175</v>
      </c>
      <c r="B2683" t="s">
        <v>249</v>
      </c>
      <c r="C2683">
        <v>2021</v>
      </c>
      <c r="D2683">
        <v>2</v>
      </c>
      <c r="E2683">
        <v>2</v>
      </c>
      <c r="F2683" t="str">
        <f t="shared" si="41"/>
        <v>solar pv</v>
      </c>
    </row>
    <row r="2684" spans="1:6" x14ac:dyDescent="0.25">
      <c r="A2684" t="s">
        <v>175</v>
      </c>
      <c r="B2684" t="s">
        <v>249</v>
      </c>
      <c r="C2684">
        <v>2022</v>
      </c>
      <c r="D2684">
        <v>5</v>
      </c>
      <c r="E2684">
        <v>5</v>
      </c>
      <c r="F2684" t="str">
        <f t="shared" si="41"/>
        <v>solar pv</v>
      </c>
    </row>
    <row r="2685" spans="1:6" x14ac:dyDescent="0.25">
      <c r="A2685" t="s">
        <v>175</v>
      </c>
      <c r="B2685" t="s">
        <v>249</v>
      </c>
      <c r="C2685">
        <v>2023</v>
      </c>
      <c r="D2685">
        <v>5</v>
      </c>
      <c r="E2685">
        <v>5</v>
      </c>
      <c r="F2685" t="str">
        <f t="shared" si="41"/>
        <v>solar pv</v>
      </c>
    </row>
    <row r="2686" spans="1:6" x14ac:dyDescent="0.25">
      <c r="A2686" t="s">
        <v>175</v>
      </c>
      <c r="B2686" t="s">
        <v>249</v>
      </c>
      <c r="C2686">
        <v>2024</v>
      </c>
      <c r="D2686">
        <v>120</v>
      </c>
      <c r="E2686">
        <v>120</v>
      </c>
      <c r="F2686" t="str">
        <f t="shared" si="41"/>
        <v>solar pv</v>
      </c>
    </row>
    <row r="2687" spans="1:6" x14ac:dyDescent="0.25">
      <c r="A2687" t="s">
        <v>175</v>
      </c>
      <c r="B2687" t="s">
        <v>249</v>
      </c>
      <c r="C2687">
        <v>2025</v>
      </c>
      <c r="D2687">
        <v>350</v>
      </c>
      <c r="E2687">
        <v>350</v>
      </c>
      <c r="F2687" t="str">
        <f t="shared" si="41"/>
        <v>solar pv</v>
      </c>
    </row>
    <row r="2688" spans="1:6" x14ac:dyDescent="0.25">
      <c r="A2688" t="s">
        <v>177</v>
      </c>
      <c r="B2688" t="s">
        <v>90</v>
      </c>
      <c r="C2688">
        <v>1992</v>
      </c>
      <c r="D2688">
        <v>1.6</v>
      </c>
      <c r="E2688">
        <v>1.6</v>
      </c>
      <c r="F2688" t="str">
        <f t="shared" si="41"/>
        <v>biomass</v>
      </c>
    </row>
    <row r="2689" spans="1:6" x14ac:dyDescent="0.25">
      <c r="A2689" t="s">
        <v>177</v>
      </c>
      <c r="B2689" t="s">
        <v>90</v>
      </c>
      <c r="C2689">
        <v>1993</v>
      </c>
      <c r="D2689">
        <v>1.6</v>
      </c>
      <c r="E2689">
        <v>1.6</v>
      </c>
      <c r="F2689" t="str">
        <f t="shared" si="41"/>
        <v>biomass</v>
      </c>
    </row>
    <row r="2690" spans="1:6" x14ac:dyDescent="0.25">
      <c r="A2690" t="s">
        <v>177</v>
      </c>
      <c r="B2690" t="s">
        <v>90</v>
      </c>
      <c r="C2690">
        <v>1995</v>
      </c>
      <c r="D2690">
        <v>2.4</v>
      </c>
      <c r="E2690">
        <v>2.4</v>
      </c>
      <c r="F2690" t="str">
        <f t="shared" ref="F2690:F2753" si="42">LOWER($B2690)</f>
        <v>biomass</v>
      </c>
    </row>
    <row r="2691" spans="1:6" x14ac:dyDescent="0.25">
      <c r="A2691" t="s">
        <v>177</v>
      </c>
      <c r="B2691" t="s">
        <v>90</v>
      </c>
      <c r="C2691">
        <v>1996</v>
      </c>
      <c r="D2691">
        <v>24</v>
      </c>
      <c r="E2691">
        <v>30</v>
      </c>
      <c r="F2691" t="str">
        <f t="shared" si="42"/>
        <v>biomass</v>
      </c>
    </row>
    <row r="2692" spans="1:6" x14ac:dyDescent="0.25">
      <c r="A2692" t="s">
        <v>177</v>
      </c>
      <c r="B2692" t="s">
        <v>90</v>
      </c>
      <c r="C2692">
        <v>2006</v>
      </c>
      <c r="D2692">
        <v>6.3</v>
      </c>
      <c r="E2692">
        <v>6.3</v>
      </c>
      <c r="F2692" t="str">
        <f t="shared" si="42"/>
        <v>biomass</v>
      </c>
    </row>
    <row r="2693" spans="1:6" x14ac:dyDescent="0.25">
      <c r="A2693" t="s">
        <v>177</v>
      </c>
      <c r="B2693" t="s">
        <v>90</v>
      </c>
      <c r="C2693">
        <v>2007</v>
      </c>
      <c r="D2693">
        <v>52.8</v>
      </c>
      <c r="E2693">
        <v>69.5</v>
      </c>
      <c r="F2693" t="str">
        <f t="shared" si="42"/>
        <v>biomass</v>
      </c>
    </row>
    <row r="2694" spans="1:6" x14ac:dyDescent="0.25">
      <c r="A2694" t="s">
        <v>177</v>
      </c>
      <c r="B2694" t="s">
        <v>90</v>
      </c>
      <c r="C2694">
        <v>2009</v>
      </c>
      <c r="D2694">
        <v>20.399999999999999</v>
      </c>
      <c r="E2694">
        <v>21.4</v>
      </c>
      <c r="F2694" t="str">
        <f t="shared" si="42"/>
        <v>biomass</v>
      </c>
    </row>
    <row r="2695" spans="1:6" x14ac:dyDescent="0.25">
      <c r="A2695" t="s">
        <v>177</v>
      </c>
      <c r="B2695" t="s">
        <v>90</v>
      </c>
      <c r="C2695">
        <v>2010</v>
      </c>
      <c r="D2695">
        <v>4.8</v>
      </c>
      <c r="E2695">
        <v>4.8</v>
      </c>
      <c r="F2695" t="str">
        <f t="shared" si="42"/>
        <v>biomass</v>
      </c>
    </row>
    <row r="2696" spans="1:6" x14ac:dyDescent="0.25">
      <c r="A2696" t="s">
        <v>177</v>
      </c>
      <c r="B2696" t="s">
        <v>90</v>
      </c>
      <c r="C2696">
        <v>2011</v>
      </c>
      <c r="D2696">
        <v>23</v>
      </c>
      <c r="E2696">
        <v>23</v>
      </c>
      <c r="F2696" t="str">
        <f t="shared" si="42"/>
        <v>biomass</v>
      </c>
    </row>
    <row r="2697" spans="1:6" x14ac:dyDescent="0.25">
      <c r="A2697" t="s">
        <v>177</v>
      </c>
      <c r="B2697" t="s">
        <v>90</v>
      </c>
      <c r="C2697">
        <v>2013</v>
      </c>
      <c r="D2697">
        <v>1</v>
      </c>
      <c r="E2697">
        <v>1</v>
      </c>
      <c r="F2697" t="str">
        <f t="shared" si="42"/>
        <v>biomass</v>
      </c>
    </row>
    <row r="2698" spans="1:6" x14ac:dyDescent="0.25">
      <c r="A2698" t="s">
        <v>177</v>
      </c>
      <c r="B2698" t="s">
        <v>90</v>
      </c>
      <c r="C2698">
        <v>2014</v>
      </c>
      <c r="D2698">
        <v>6.4</v>
      </c>
      <c r="E2698">
        <v>6.4</v>
      </c>
      <c r="F2698" t="str">
        <f t="shared" si="42"/>
        <v>biomass</v>
      </c>
    </row>
    <row r="2699" spans="1:6" x14ac:dyDescent="0.25">
      <c r="A2699" t="s">
        <v>177</v>
      </c>
      <c r="B2699" t="s">
        <v>90</v>
      </c>
      <c r="C2699">
        <v>2015</v>
      </c>
      <c r="D2699">
        <v>1.6</v>
      </c>
      <c r="E2699">
        <v>1.6</v>
      </c>
      <c r="F2699" t="str">
        <f t="shared" si="42"/>
        <v>biomass</v>
      </c>
    </row>
    <row r="2700" spans="1:6" x14ac:dyDescent="0.25">
      <c r="A2700" t="s">
        <v>177</v>
      </c>
      <c r="B2700" t="s">
        <v>90</v>
      </c>
      <c r="C2700">
        <v>2020</v>
      </c>
      <c r="D2700">
        <v>1.1000000000000001</v>
      </c>
      <c r="E2700">
        <v>1.2</v>
      </c>
      <c r="F2700" t="str">
        <f t="shared" si="42"/>
        <v>biomass</v>
      </c>
    </row>
    <row r="2701" spans="1:6" x14ac:dyDescent="0.25">
      <c r="A2701" t="s">
        <v>177</v>
      </c>
      <c r="B2701" t="s">
        <v>91</v>
      </c>
      <c r="C2701">
        <v>2012</v>
      </c>
      <c r="D2701">
        <v>17.7</v>
      </c>
      <c r="E2701">
        <v>33</v>
      </c>
      <c r="F2701" t="str">
        <f t="shared" si="42"/>
        <v>geothermal</v>
      </c>
    </row>
    <row r="2702" spans="1:6" x14ac:dyDescent="0.25">
      <c r="A2702" t="s">
        <v>177</v>
      </c>
      <c r="B2702" t="s">
        <v>91</v>
      </c>
      <c r="C2702">
        <v>2015</v>
      </c>
      <c r="D2702">
        <v>1.8</v>
      </c>
      <c r="E2702">
        <v>3.7</v>
      </c>
      <c r="F2702" t="str">
        <f t="shared" si="42"/>
        <v>geothermal</v>
      </c>
    </row>
    <row r="2703" spans="1:6" x14ac:dyDescent="0.25">
      <c r="A2703" t="s">
        <v>177</v>
      </c>
      <c r="B2703" t="s">
        <v>86</v>
      </c>
      <c r="C2703">
        <v>1991</v>
      </c>
      <c r="D2703">
        <v>5</v>
      </c>
      <c r="E2703">
        <v>6.5</v>
      </c>
      <c r="F2703" t="str">
        <f t="shared" si="42"/>
        <v>hydro</v>
      </c>
    </row>
    <row r="2704" spans="1:6" x14ac:dyDescent="0.25">
      <c r="A2704" t="s">
        <v>177</v>
      </c>
      <c r="B2704" t="s">
        <v>86</v>
      </c>
      <c r="C2704">
        <v>1993</v>
      </c>
      <c r="D2704">
        <v>8.5</v>
      </c>
      <c r="E2704">
        <v>8.5</v>
      </c>
      <c r="F2704" t="str">
        <f t="shared" si="42"/>
        <v>hydro</v>
      </c>
    </row>
    <row r="2705" spans="1:6" x14ac:dyDescent="0.25">
      <c r="A2705" t="s">
        <v>177</v>
      </c>
      <c r="B2705" t="s">
        <v>86</v>
      </c>
      <c r="C2705">
        <v>1994</v>
      </c>
      <c r="D2705">
        <v>7</v>
      </c>
      <c r="E2705">
        <v>12</v>
      </c>
      <c r="F2705" t="str">
        <f t="shared" si="42"/>
        <v>hydro</v>
      </c>
    </row>
    <row r="2706" spans="1:6" x14ac:dyDescent="0.25">
      <c r="A2706" t="s">
        <v>177</v>
      </c>
      <c r="B2706" t="s">
        <v>86</v>
      </c>
      <c r="C2706">
        <v>2010</v>
      </c>
      <c r="D2706">
        <v>3.3</v>
      </c>
      <c r="E2706">
        <v>5</v>
      </c>
      <c r="F2706" t="str">
        <f t="shared" si="42"/>
        <v>hydro</v>
      </c>
    </row>
    <row r="2707" spans="1:6" x14ac:dyDescent="0.25">
      <c r="A2707" t="s">
        <v>177</v>
      </c>
      <c r="B2707" t="s">
        <v>86</v>
      </c>
      <c r="C2707">
        <v>2012</v>
      </c>
      <c r="D2707">
        <v>1.1000000000000001</v>
      </c>
      <c r="E2707">
        <v>1.1000000000000001</v>
      </c>
      <c r="F2707" t="str">
        <f t="shared" si="42"/>
        <v>hydro</v>
      </c>
    </row>
    <row r="2708" spans="1:6" x14ac:dyDescent="0.25">
      <c r="A2708" t="s">
        <v>177</v>
      </c>
      <c r="B2708" t="s">
        <v>86</v>
      </c>
      <c r="C2708">
        <v>2014</v>
      </c>
      <c r="D2708">
        <v>7.5</v>
      </c>
      <c r="E2708">
        <v>7.5</v>
      </c>
      <c r="F2708" t="str">
        <f t="shared" si="42"/>
        <v>hydro</v>
      </c>
    </row>
    <row r="2709" spans="1:6" x14ac:dyDescent="0.25">
      <c r="A2709" t="s">
        <v>177</v>
      </c>
      <c r="B2709" t="s">
        <v>86</v>
      </c>
      <c r="C2709">
        <v>2015</v>
      </c>
      <c r="D2709">
        <v>4</v>
      </c>
      <c r="E2709">
        <v>5.6</v>
      </c>
      <c r="F2709" t="str">
        <f t="shared" si="42"/>
        <v>hydro</v>
      </c>
    </row>
    <row r="2710" spans="1:6" x14ac:dyDescent="0.25">
      <c r="A2710" t="s">
        <v>177</v>
      </c>
      <c r="B2710" t="s">
        <v>86</v>
      </c>
      <c r="C2710">
        <v>2018</v>
      </c>
      <c r="D2710">
        <v>1.1000000000000001</v>
      </c>
      <c r="E2710">
        <v>1.2</v>
      </c>
      <c r="F2710" t="str">
        <f t="shared" si="42"/>
        <v>hydro</v>
      </c>
    </row>
    <row r="2711" spans="1:6" x14ac:dyDescent="0.25">
      <c r="A2711" t="s">
        <v>177</v>
      </c>
      <c r="B2711" t="s">
        <v>86</v>
      </c>
      <c r="C2711">
        <v>2023</v>
      </c>
      <c r="D2711">
        <v>18</v>
      </c>
      <c r="E2711">
        <v>18</v>
      </c>
      <c r="F2711" t="str">
        <f t="shared" si="42"/>
        <v>hydro</v>
      </c>
    </row>
    <row r="2712" spans="1:6" x14ac:dyDescent="0.25">
      <c r="A2712" t="s">
        <v>177</v>
      </c>
      <c r="B2712" t="s">
        <v>84</v>
      </c>
      <c r="C2712">
        <v>1995</v>
      </c>
      <c r="D2712">
        <v>244.2</v>
      </c>
      <c r="E2712">
        <v>296</v>
      </c>
      <c r="F2712" t="str">
        <f t="shared" si="42"/>
        <v>natural gas combined cycle</v>
      </c>
    </row>
    <row r="2713" spans="1:6" x14ac:dyDescent="0.25">
      <c r="A2713" t="s">
        <v>177</v>
      </c>
      <c r="B2713" t="s">
        <v>84</v>
      </c>
      <c r="C2713">
        <v>1996</v>
      </c>
      <c r="D2713">
        <v>464</v>
      </c>
      <c r="E2713">
        <v>621.20000000000005</v>
      </c>
      <c r="F2713" t="str">
        <f t="shared" si="42"/>
        <v>natural gas combined cycle</v>
      </c>
    </row>
    <row r="2714" spans="1:6" x14ac:dyDescent="0.25">
      <c r="A2714" t="s">
        <v>177</v>
      </c>
      <c r="B2714" t="s">
        <v>84</v>
      </c>
      <c r="C2714">
        <v>2001</v>
      </c>
      <c r="D2714">
        <v>490</v>
      </c>
      <c r="E2714">
        <v>501.5</v>
      </c>
      <c r="F2714" t="str">
        <f t="shared" si="42"/>
        <v>natural gas combined cycle</v>
      </c>
    </row>
    <row r="2715" spans="1:6" x14ac:dyDescent="0.25">
      <c r="A2715" t="s">
        <v>177</v>
      </c>
      <c r="B2715" t="s">
        <v>84</v>
      </c>
      <c r="C2715">
        <v>2002</v>
      </c>
      <c r="D2715">
        <v>629</v>
      </c>
      <c r="E2715">
        <v>689.4</v>
      </c>
      <c r="F2715" t="str">
        <f t="shared" si="42"/>
        <v>natural gas combined cycle</v>
      </c>
    </row>
    <row r="2716" spans="1:6" x14ac:dyDescent="0.25">
      <c r="A2716" t="s">
        <v>177</v>
      </c>
      <c r="B2716" t="s">
        <v>84</v>
      </c>
      <c r="C2716">
        <v>2003</v>
      </c>
      <c r="D2716">
        <v>290</v>
      </c>
      <c r="E2716">
        <v>287</v>
      </c>
      <c r="F2716" t="str">
        <f t="shared" si="42"/>
        <v>natural gas combined cycle</v>
      </c>
    </row>
    <row r="2717" spans="1:6" x14ac:dyDescent="0.25">
      <c r="A2717" t="s">
        <v>177</v>
      </c>
      <c r="B2717" t="s">
        <v>84</v>
      </c>
      <c r="C2717">
        <v>2007</v>
      </c>
      <c r="D2717">
        <v>392.2</v>
      </c>
      <c r="E2717">
        <v>483</v>
      </c>
      <c r="F2717" t="str">
        <f t="shared" si="42"/>
        <v>natural gas combined cycle</v>
      </c>
    </row>
    <row r="2718" spans="1:6" x14ac:dyDescent="0.25">
      <c r="A2718" t="s">
        <v>177</v>
      </c>
      <c r="B2718" t="s">
        <v>84</v>
      </c>
      <c r="C2718">
        <v>2010</v>
      </c>
      <c r="D2718">
        <v>0.5</v>
      </c>
      <c r="E2718">
        <v>1</v>
      </c>
      <c r="F2718" t="str">
        <f t="shared" si="42"/>
        <v>natural gas combined cycle</v>
      </c>
    </row>
    <row r="2719" spans="1:6" x14ac:dyDescent="0.25">
      <c r="A2719" t="s">
        <v>177</v>
      </c>
      <c r="B2719" t="s">
        <v>84</v>
      </c>
      <c r="C2719">
        <v>2012</v>
      </c>
      <c r="D2719">
        <v>9</v>
      </c>
      <c r="E2719">
        <v>11</v>
      </c>
      <c r="F2719" t="str">
        <f t="shared" si="42"/>
        <v>natural gas combined cycle</v>
      </c>
    </row>
    <row r="2720" spans="1:6" x14ac:dyDescent="0.25">
      <c r="A2720" t="s">
        <v>177</v>
      </c>
      <c r="B2720" t="s">
        <v>84</v>
      </c>
      <c r="C2720">
        <v>2016</v>
      </c>
      <c r="D2720">
        <v>416.3</v>
      </c>
      <c r="E2720">
        <v>500</v>
      </c>
      <c r="F2720" t="str">
        <f t="shared" si="42"/>
        <v>natural gas combined cycle</v>
      </c>
    </row>
    <row r="2721" spans="1:6" x14ac:dyDescent="0.25">
      <c r="A2721" t="s">
        <v>177</v>
      </c>
      <c r="B2721" t="s">
        <v>93</v>
      </c>
      <c r="C2721">
        <v>2001</v>
      </c>
      <c r="D2721">
        <v>24</v>
      </c>
      <c r="E2721">
        <v>24.5</v>
      </c>
      <c r="F2721" t="str">
        <f t="shared" si="42"/>
        <v>natural gas peaker</v>
      </c>
    </row>
    <row r="2722" spans="1:6" x14ac:dyDescent="0.25">
      <c r="A2722" t="s">
        <v>177</v>
      </c>
      <c r="B2722" t="s">
        <v>93</v>
      </c>
      <c r="C2722">
        <v>2002</v>
      </c>
      <c r="D2722">
        <v>100</v>
      </c>
      <c r="E2722">
        <v>117.6</v>
      </c>
      <c r="F2722" t="str">
        <f t="shared" si="42"/>
        <v>natural gas peaker</v>
      </c>
    </row>
    <row r="2723" spans="1:6" x14ac:dyDescent="0.25">
      <c r="A2723" t="s">
        <v>177</v>
      </c>
      <c r="B2723" t="s">
        <v>93</v>
      </c>
      <c r="C2723">
        <v>2010</v>
      </c>
      <c r="D2723">
        <v>5.2</v>
      </c>
      <c r="E2723">
        <v>5.5</v>
      </c>
      <c r="F2723" t="str">
        <f t="shared" si="42"/>
        <v>natural gas peaker</v>
      </c>
    </row>
    <row r="2724" spans="1:6" x14ac:dyDescent="0.25">
      <c r="A2724" t="s">
        <v>177</v>
      </c>
      <c r="B2724" t="s">
        <v>93</v>
      </c>
      <c r="C2724">
        <v>2012</v>
      </c>
      <c r="D2724">
        <v>4.8</v>
      </c>
      <c r="E2724">
        <v>4.8</v>
      </c>
      <c r="F2724" t="str">
        <f t="shared" si="42"/>
        <v>natural gas peaker</v>
      </c>
    </row>
    <row r="2725" spans="1:6" x14ac:dyDescent="0.25">
      <c r="A2725" t="s">
        <v>177</v>
      </c>
      <c r="B2725" t="s">
        <v>93</v>
      </c>
      <c r="C2725">
        <v>2014</v>
      </c>
      <c r="D2725">
        <v>205.7</v>
      </c>
      <c r="E2725">
        <v>206.8</v>
      </c>
      <c r="F2725" t="str">
        <f t="shared" si="42"/>
        <v>natural gas peaker</v>
      </c>
    </row>
    <row r="2726" spans="1:6" x14ac:dyDescent="0.25">
      <c r="A2726" t="s">
        <v>177</v>
      </c>
      <c r="B2726" t="s">
        <v>93</v>
      </c>
      <c r="C2726">
        <v>2015</v>
      </c>
      <c r="D2726">
        <v>18.7</v>
      </c>
      <c r="E2726">
        <v>18.8</v>
      </c>
      <c r="F2726" t="str">
        <f t="shared" si="42"/>
        <v>natural gas peaker</v>
      </c>
    </row>
    <row r="2727" spans="1:6" x14ac:dyDescent="0.25">
      <c r="A2727" t="s">
        <v>177</v>
      </c>
      <c r="B2727" t="s">
        <v>87</v>
      </c>
      <c r="C2727">
        <v>1998</v>
      </c>
      <c r="D2727">
        <v>25</v>
      </c>
      <c r="E2727">
        <v>25</v>
      </c>
      <c r="F2727" t="str">
        <f t="shared" si="42"/>
        <v>onshore wind</v>
      </c>
    </row>
    <row r="2728" spans="1:6" x14ac:dyDescent="0.25">
      <c r="A2728" t="s">
        <v>177</v>
      </c>
      <c r="B2728" t="s">
        <v>87</v>
      </c>
      <c r="C2728">
        <v>2001</v>
      </c>
      <c r="D2728">
        <v>147.4</v>
      </c>
      <c r="E2728">
        <v>147.4</v>
      </c>
      <c r="F2728" t="str">
        <f t="shared" si="42"/>
        <v>onshore wind</v>
      </c>
    </row>
    <row r="2729" spans="1:6" x14ac:dyDescent="0.25">
      <c r="A2729" t="s">
        <v>177</v>
      </c>
      <c r="B2729" t="s">
        <v>87</v>
      </c>
      <c r="C2729">
        <v>2002</v>
      </c>
      <c r="D2729">
        <v>49.2</v>
      </c>
      <c r="E2729">
        <v>49.7</v>
      </c>
      <c r="F2729" t="str">
        <f t="shared" si="42"/>
        <v>onshore wind</v>
      </c>
    </row>
    <row r="2730" spans="1:6" x14ac:dyDescent="0.25">
      <c r="A2730" t="s">
        <v>177</v>
      </c>
      <c r="B2730" t="s">
        <v>87</v>
      </c>
      <c r="C2730">
        <v>2003</v>
      </c>
      <c r="D2730">
        <v>41</v>
      </c>
      <c r="E2730">
        <v>43</v>
      </c>
      <c r="F2730" t="str">
        <f t="shared" si="42"/>
        <v>onshore wind</v>
      </c>
    </row>
    <row r="2731" spans="1:6" x14ac:dyDescent="0.25">
      <c r="A2731" t="s">
        <v>177</v>
      </c>
      <c r="B2731" t="s">
        <v>87</v>
      </c>
      <c r="C2731">
        <v>2005</v>
      </c>
      <c r="D2731">
        <v>81</v>
      </c>
      <c r="E2731">
        <v>75</v>
      </c>
      <c r="F2731" t="str">
        <f t="shared" si="42"/>
        <v>onshore wind</v>
      </c>
    </row>
    <row r="2732" spans="1:6" x14ac:dyDescent="0.25">
      <c r="A2732" t="s">
        <v>177</v>
      </c>
      <c r="B2732" t="s">
        <v>87</v>
      </c>
      <c r="C2732">
        <v>2006</v>
      </c>
      <c r="D2732">
        <v>100.5</v>
      </c>
      <c r="E2732">
        <v>110.4</v>
      </c>
      <c r="F2732" t="str">
        <f t="shared" si="42"/>
        <v>onshore wind</v>
      </c>
    </row>
    <row r="2733" spans="1:6" x14ac:dyDescent="0.25">
      <c r="A2733" t="s">
        <v>177</v>
      </c>
      <c r="B2733" t="s">
        <v>87</v>
      </c>
      <c r="C2733">
        <v>2007</v>
      </c>
      <c r="D2733">
        <v>447.1</v>
      </c>
      <c r="E2733">
        <v>447.1</v>
      </c>
      <c r="F2733" t="str">
        <f t="shared" si="42"/>
        <v>onshore wind</v>
      </c>
    </row>
    <row r="2734" spans="1:6" x14ac:dyDescent="0.25">
      <c r="A2734" t="s">
        <v>177</v>
      </c>
      <c r="B2734" t="s">
        <v>87</v>
      </c>
      <c r="C2734">
        <v>2008</v>
      </c>
      <c r="D2734">
        <v>179.4</v>
      </c>
      <c r="E2734">
        <v>179.4</v>
      </c>
      <c r="F2734" t="str">
        <f t="shared" si="42"/>
        <v>onshore wind</v>
      </c>
    </row>
    <row r="2735" spans="1:6" x14ac:dyDescent="0.25">
      <c r="A2735" t="s">
        <v>177</v>
      </c>
      <c r="B2735" t="s">
        <v>87</v>
      </c>
      <c r="C2735">
        <v>2009</v>
      </c>
      <c r="D2735">
        <v>712.6</v>
      </c>
      <c r="E2735">
        <v>712.6</v>
      </c>
      <c r="F2735" t="str">
        <f t="shared" si="42"/>
        <v>onshore wind</v>
      </c>
    </row>
    <row r="2736" spans="1:6" x14ac:dyDescent="0.25">
      <c r="A2736" t="s">
        <v>177</v>
      </c>
      <c r="B2736" t="s">
        <v>87</v>
      </c>
      <c r="C2736">
        <v>2010</v>
      </c>
      <c r="D2736">
        <v>330.7</v>
      </c>
      <c r="E2736">
        <v>334.8</v>
      </c>
      <c r="F2736" t="str">
        <f t="shared" si="42"/>
        <v>onshore wind</v>
      </c>
    </row>
    <row r="2737" spans="1:6" x14ac:dyDescent="0.25">
      <c r="A2737" t="s">
        <v>177</v>
      </c>
      <c r="B2737" t="s">
        <v>87</v>
      </c>
      <c r="C2737">
        <v>2011</v>
      </c>
      <c r="D2737">
        <v>202.2</v>
      </c>
      <c r="E2737">
        <v>202.2</v>
      </c>
      <c r="F2737" t="str">
        <f t="shared" si="42"/>
        <v>onshore wind</v>
      </c>
    </row>
    <row r="2738" spans="1:6" x14ac:dyDescent="0.25">
      <c r="A2738" t="s">
        <v>177</v>
      </c>
      <c r="B2738" t="s">
        <v>87</v>
      </c>
      <c r="C2738">
        <v>2012</v>
      </c>
      <c r="D2738">
        <v>845</v>
      </c>
      <c r="E2738">
        <v>845</v>
      </c>
      <c r="F2738" t="str">
        <f t="shared" si="42"/>
        <v>onshore wind</v>
      </c>
    </row>
    <row r="2739" spans="1:6" x14ac:dyDescent="0.25">
      <c r="A2739" t="s">
        <v>177</v>
      </c>
      <c r="B2739" t="s">
        <v>87</v>
      </c>
      <c r="C2739">
        <v>2016</v>
      </c>
      <c r="D2739">
        <v>10</v>
      </c>
      <c r="E2739">
        <v>10</v>
      </c>
      <c r="F2739" t="str">
        <f t="shared" si="42"/>
        <v>onshore wind</v>
      </c>
    </row>
    <row r="2740" spans="1:6" x14ac:dyDescent="0.25">
      <c r="A2740" t="s">
        <v>177</v>
      </c>
      <c r="B2740" t="s">
        <v>87</v>
      </c>
      <c r="C2740">
        <v>2017</v>
      </c>
      <c r="D2740">
        <v>50</v>
      </c>
      <c r="E2740">
        <v>50</v>
      </c>
      <c r="F2740" t="str">
        <f t="shared" si="42"/>
        <v>onshore wind</v>
      </c>
    </row>
    <row r="2741" spans="1:6" x14ac:dyDescent="0.25">
      <c r="A2741" t="s">
        <v>177</v>
      </c>
      <c r="B2741" t="s">
        <v>87</v>
      </c>
      <c r="C2741">
        <v>2019</v>
      </c>
      <c r="D2741">
        <v>200</v>
      </c>
      <c r="E2741">
        <v>200</v>
      </c>
      <c r="F2741" t="str">
        <f t="shared" si="42"/>
        <v>onshore wind</v>
      </c>
    </row>
    <row r="2742" spans="1:6" x14ac:dyDescent="0.25">
      <c r="A2742" t="s">
        <v>177</v>
      </c>
      <c r="B2742" t="s">
        <v>87</v>
      </c>
      <c r="C2742">
        <v>2020</v>
      </c>
      <c r="D2742">
        <v>340</v>
      </c>
      <c r="E2742">
        <v>340</v>
      </c>
      <c r="F2742" t="str">
        <f t="shared" si="42"/>
        <v>onshore wind</v>
      </c>
    </row>
    <row r="2743" spans="1:6" x14ac:dyDescent="0.25">
      <c r="A2743" t="s">
        <v>177</v>
      </c>
      <c r="B2743" t="s">
        <v>87</v>
      </c>
      <c r="C2743">
        <v>2022</v>
      </c>
      <c r="D2743">
        <v>209.3</v>
      </c>
      <c r="E2743">
        <v>209.3</v>
      </c>
      <c r="F2743" t="str">
        <f t="shared" si="42"/>
        <v>onshore wind</v>
      </c>
    </row>
    <row r="2744" spans="1:6" x14ac:dyDescent="0.25">
      <c r="A2744" t="s">
        <v>177</v>
      </c>
      <c r="B2744" t="s">
        <v>87</v>
      </c>
      <c r="C2744">
        <v>2025</v>
      </c>
      <c r="D2744">
        <v>200</v>
      </c>
      <c r="E2744">
        <v>200</v>
      </c>
      <c r="F2744" t="str">
        <f t="shared" si="42"/>
        <v>onshore wind</v>
      </c>
    </row>
    <row r="2745" spans="1:6" x14ac:dyDescent="0.25">
      <c r="A2745" t="s">
        <v>177</v>
      </c>
      <c r="B2745" t="s">
        <v>92</v>
      </c>
      <c r="C2745">
        <v>2009</v>
      </c>
      <c r="D2745">
        <v>6.6</v>
      </c>
      <c r="E2745">
        <v>6.6</v>
      </c>
      <c r="F2745" t="str">
        <f t="shared" si="42"/>
        <v>petroleum</v>
      </c>
    </row>
    <row r="2746" spans="1:6" x14ac:dyDescent="0.25">
      <c r="A2746" t="s">
        <v>177</v>
      </c>
      <c r="B2746" t="s">
        <v>249</v>
      </c>
      <c r="C2746">
        <v>2011</v>
      </c>
      <c r="D2746">
        <v>2.6</v>
      </c>
      <c r="E2746">
        <v>2.6</v>
      </c>
      <c r="F2746" t="str">
        <f t="shared" si="42"/>
        <v>solar pv</v>
      </c>
    </row>
    <row r="2747" spans="1:6" x14ac:dyDescent="0.25">
      <c r="A2747" t="s">
        <v>177</v>
      </c>
      <c r="B2747" t="s">
        <v>249</v>
      </c>
      <c r="C2747">
        <v>2012</v>
      </c>
      <c r="D2747">
        <v>7.8</v>
      </c>
      <c r="E2747">
        <v>7.8</v>
      </c>
      <c r="F2747" t="str">
        <f t="shared" si="42"/>
        <v>solar pv</v>
      </c>
    </row>
    <row r="2748" spans="1:6" x14ac:dyDescent="0.25">
      <c r="A2748" t="s">
        <v>177</v>
      </c>
      <c r="B2748" t="s">
        <v>249</v>
      </c>
      <c r="C2748">
        <v>2014</v>
      </c>
      <c r="D2748">
        <v>2.9</v>
      </c>
      <c r="E2748">
        <v>2.9</v>
      </c>
      <c r="F2748" t="str">
        <f t="shared" si="42"/>
        <v>solar pv</v>
      </c>
    </row>
    <row r="2749" spans="1:6" x14ac:dyDescent="0.25">
      <c r="A2749" t="s">
        <v>177</v>
      </c>
      <c r="B2749" t="s">
        <v>249</v>
      </c>
      <c r="C2749">
        <v>2015</v>
      </c>
      <c r="D2749">
        <v>5</v>
      </c>
      <c r="E2749">
        <v>5</v>
      </c>
      <c r="F2749" t="str">
        <f t="shared" si="42"/>
        <v>solar pv</v>
      </c>
    </row>
    <row r="2750" spans="1:6" x14ac:dyDescent="0.25">
      <c r="A2750" t="s">
        <v>177</v>
      </c>
      <c r="B2750" t="s">
        <v>249</v>
      </c>
      <c r="C2750">
        <v>2016</v>
      </c>
      <c r="D2750">
        <v>81</v>
      </c>
      <c r="E2750">
        <v>81</v>
      </c>
      <c r="F2750" t="str">
        <f t="shared" si="42"/>
        <v>solar pv</v>
      </c>
    </row>
    <row r="2751" spans="1:6" x14ac:dyDescent="0.25">
      <c r="A2751" t="s">
        <v>177</v>
      </c>
      <c r="B2751" t="s">
        <v>249</v>
      </c>
      <c r="C2751">
        <v>2017</v>
      </c>
      <c r="D2751">
        <v>124.3</v>
      </c>
      <c r="E2751">
        <v>124.6</v>
      </c>
      <c r="F2751" t="str">
        <f t="shared" si="42"/>
        <v>solar pv</v>
      </c>
    </row>
    <row r="2752" spans="1:6" x14ac:dyDescent="0.25">
      <c r="A2752" t="s">
        <v>177</v>
      </c>
      <c r="B2752" t="s">
        <v>249</v>
      </c>
      <c r="C2752">
        <v>2018</v>
      </c>
      <c r="D2752">
        <v>86.3</v>
      </c>
      <c r="E2752">
        <v>86.3</v>
      </c>
      <c r="F2752" t="str">
        <f t="shared" si="42"/>
        <v>solar pv</v>
      </c>
    </row>
    <row r="2753" spans="1:6" x14ac:dyDescent="0.25">
      <c r="A2753" t="s">
        <v>177</v>
      </c>
      <c r="B2753" t="s">
        <v>249</v>
      </c>
      <c r="C2753">
        <v>2019</v>
      </c>
      <c r="D2753">
        <v>87.9</v>
      </c>
      <c r="E2753">
        <v>87.9</v>
      </c>
      <c r="F2753" t="str">
        <f t="shared" si="42"/>
        <v>solar pv</v>
      </c>
    </row>
    <row r="2754" spans="1:6" x14ac:dyDescent="0.25">
      <c r="A2754" t="s">
        <v>177</v>
      </c>
      <c r="B2754" t="s">
        <v>249</v>
      </c>
      <c r="C2754">
        <v>2020</v>
      </c>
      <c r="D2754">
        <v>175.7</v>
      </c>
      <c r="E2754">
        <v>175.7</v>
      </c>
      <c r="F2754" t="str">
        <f t="shared" ref="F2754:F2817" si="43">LOWER($B2754)</f>
        <v>solar pv</v>
      </c>
    </row>
    <row r="2755" spans="1:6" x14ac:dyDescent="0.25">
      <c r="A2755" t="s">
        <v>177</v>
      </c>
      <c r="B2755" t="s">
        <v>249</v>
      </c>
      <c r="C2755">
        <v>2021</v>
      </c>
      <c r="D2755">
        <v>155.1</v>
      </c>
      <c r="E2755">
        <v>147.5</v>
      </c>
      <c r="F2755" t="str">
        <f t="shared" si="43"/>
        <v>solar pv</v>
      </c>
    </row>
    <row r="2756" spans="1:6" x14ac:dyDescent="0.25">
      <c r="A2756" t="s">
        <v>177</v>
      </c>
      <c r="B2756" t="s">
        <v>249</v>
      </c>
      <c r="C2756">
        <v>2022</v>
      </c>
      <c r="D2756">
        <v>65.099999999999994</v>
      </c>
      <c r="E2756">
        <v>65.099999999999994</v>
      </c>
      <c r="F2756" t="str">
        <f t="shared" si="43"/>
        <v>solar pv</v>
      </c>
    </row>
    <row r="2757" spans="1:6" x14ac:dyDescent="0.25">
      <c r="A2757" t="s">
        <v>177</v>
      </c>
      <c r="B2757" t="s">
        <v>249</v>
      </c>
      <c r="C2757">
        <v>2023</v>
      </c>
      <c r="D2757">
        <v>220</v>
      </c>
      <c r="E2757">
        <v>226.2</v>
      </c>
      <c r="F2757" t="str">
        <f t="shared" si="43"/>
        <v>solar pv</v>
      </c>
    </row>
    <row r="2758" spans="1:6" x14ac:dyDescent="0.25">
      <c r="A2758" t="s">
        <v>177</v>
      </c>
      <c r="B2758" t="s">
        <v>249</v>
      </c>
      <c r="C2758">
        <v>2024</v>
      </c>
      <c r="D2758">
        <v>39.1</v>
      </c>
      <c r="E2758">
        <v>39.1</v>
      </c>
      <c r="F2758" t="str">
        <f t="shared" si="43"/>
        <v>solar pv</v>
      </c>
    </row>
    <row r="2759" spans="1:6" x14ac:dyDescent="0.25">
      <c r="A2759" t="s">
        <v>177</v>
      </c>
      <c r="B2759" t="s">
        <v>249</v>
      </c>
      <c r="C2759">
        <v>2025</v>
      </c>
      <c r="D2759">
        <v>238.2</v>
      </c>
      <c r="E2759">
        <v>238.2</v>
      </c>
      <c r="F2759" t="str">
        <f t="shared" si="43"/>
        <v>solar pv</v>
      </c>
    </row>
    <row r="2760" spans="1:6" x14ac:dyDescent="0.25">
      <c r="A2760" t="s">
        <v>179</v>
      </c>
      <c r="B2760" t="s">
        <v>90</v>
      </c>
      <c r="C2760">
        <v>1991</v>
      </c>
      <c r="D2760">
        <v>2.9</v>
      </c>
      <c r="E2760">
        <v>3</v>
      </c>
      <c r="F2760" t="str">
        <f t="shared" si="43"/>
        <v>biomass</v>
      </c>
    </row>
    <row r="2761" spans="1:6" x14ac:dyDescent="0.25">
      <c r="A2761" t="s">
        <v>179</v>
      </c>
      <c r="B2761" t="s">
        <v>90</v>
      </c>
      <c r="C2761">
        <v>1993</v>
      </c>
      <c r="D2761">
        <v>49</v>
      </c>
      <c r="E2761">
        <v>54</v>
      </c>
      <c r="F2761" t="str">
        <f t="shared" si="43"/>
        <v>biomass</v>
      </c>
    </row>
    <row r="2762" spans="1:6" x14ac:dyDescent="0.25">
      <c r="A2762" t="s">
        <v>179</v>
      </c>
      <c r="B2762" t="s">
        <v>90</v>
      </c>
      <c r="C2762">
        <v>1994</v>
      </c>
      <c r="D2762">
        <v>31.2</v>
      </c>
      <c r="E2762">
        <v>39.1</v>
      </c>
      <c r="F2762" t="str">
        <f t="shared" si="43"/>
        <v>biomass</v>
      </c>
    </row>
    <row r="2763" spans="1:6" x14ac:dyDescent="0.25">
      <c r="A2763" t="s">
        <v>179</v>
      </c>
      <c r="B2763" t="s">
        <v>90</v>
      </c>
      <c r="C2763">
        <v>1996</v>
      </c>
      <c r="D2763">
        <v>64</v>
      </c>
      <c r="E2763">
        <v>66</v>
      </c>
      <c r="F2763" t="str">
        <f t="shared" si="43"/>
        <v>biomass</v>
      </c>
    </row>
    <row r="2764" spans="1:6" x14ac:dyDescent="0.25">
      <c r="A2764" t="s">
        <v>179</v>
      </c>
      <c r="B2764" t="s">
        <v>90</v>
      </c>
      <c r="C2764">
        <v>1997</v>
      </c>
      <c r="D2764">
        <v>6</v>
      </c>
      <c r="E2764">
        <v>6</v>
      </c>
      <c r="F2764" t="str">
        <f t="shared" si="43"/>
        <v>biomass</v>
      </c>
    </row>
    <row r="2765" spans="1:6" x14ac:dyDescent="0.25">
      <c r="A2765" t="s">
        <v>179</v>
      </c>
      <c r="B2765" t="s">
        <v>90</v>
      </c>
      <c r="C2765">
        <v>2001</v>
      </c>
      <c r="D2765">
        <v>7.2</v>
      </c>
      <c r="E2765">
        <v>9.9</v>
      </c>
      <c r="F2765" t="str">
        <f t="shared" si="43"/>
        <v>biomass</v>
      </c>
    </row>
    <row r="2766" spans="1:6" x14ac:dyDescent="0.25">
      <c r="A2766" t="s">
        <v>179</v>
      </c>
      <c r="B2766" t="s">
        <v>90</v>
      </c>
      <c r="C2766">
        <v>2003</v>
      </c>
      <c r="D2766">
        <v>14.4</v>
      </c>
      <c r="E2766">
        <v>14.4</v>
      </c>
      <c r="F2766" t="str">
        <f t="shared" si="43"/>
        <v>biomass</v>
      </c>
    </row>
    <row r="2767" spans="1:6" x14ac:dyDescent="0.25">
      <c r="A2767" t="s">
        <v>179</v>
      </c>
      <c r="B2767" t="s">
        <v>90</v>
      </c>
      <c r="C2767">
        <v>2006</v>
      </c>
      <c r="D2767">
        <v>4.8</v>
      </c>
      <c r="E2767">
        <v>4.8</v>
      </c>
      <c r="F2767" t="str">
        <f t="shared" si="43"/>
        <v>biomass</v>
      </c>
    </row>
    <row r="2768" spans="1:6" x14ac:dyDescent="0.25">
      <c r="A2768" t="s">
        <v>179</v>
      </c>
      <c r="B2768" t="s">
        <v>90</v>
      </c>
      <c r="C2768">
        <v>2007</v>
      </c>
      <c r="D2768">
        <v>4.0999999999999996</v>
      </c>
      <c r="E2768">
        <v>4.0999999999999996</v>
      </c>
      <c r="F2768" t="str">
        <f t="shared" si="43"/>
        <v>biomass</v>
      </c>
    </row>
    <row r="2769" spans="1:6" x14ac:dyDescent="0.25">
      <c r="A2769" t="s">
        <v>179</v>
      </c>
      <c r="B2769" t="s">
        <v>90</v>
      </c>
      <c r="C2769">
        <v>2008</v>
      </c>
      <c r="D2769">
        <v>12.9</v>
      </c>
      <c r="E2769">
        <v>12.9</v>
      </c>
      <c r="F2769" t="str">
        <f t="shared" si="43"/>
        <v>biomass</v>
      </c>
    </row>
    <row r="2770" spans="1:6" x14ac:dyDescent="0.25">
      <c r="A2770" t="s">
        <v>179</v>
      </c>
      <c r="B2770" t="s">
        <v>90</v>
      </c>
      <c r="C2770">
        <v>2009</v>
      </c>
      <c r="D2770">
        <v>12.8</v>
      </c>
      <c r="E2770">
        <v>12.8</v>
      </c>
      <c r="F2770" t="str">
        <f t="shared" si="43"/>
        <v>biomass</v>
      </c>
    </row>
    <row r="2771" spans="1:6" x14ac:dyDescent="0.25">
      <c r="A2771" t="s">
        <v>179</v>
      </c>
      <c r="B2771" t="s">
        <v>90</v>
      </c>
      <c r="C2771">
        <v>2010</v>
      </c>
      <c r="D2771">
        <v>11.2</v>
      </c>
      <c r="E2771">
        <v>12.4</v>
      </c>
      <c r="F2771" t="str">
        <f t="shared" si="43"/>
        <v>biomass</v>
      </c>
    </row>
    <row r="2772" spans="1:6" x14ac:dyDescent="0.25">
      <c r="A2772" t="s">
        <v>179</v>
      </c>
      <c r="B2772" t="s">
        <v>90</v>
      </c>
      <c r="C2772">
        <v>2011</v>
      </c>
      <c r="D2772">
        <v>8.6999999999999993</v>
      </c>
      <c r="E2772">
        <v>9.6999999999999993</v>
      </c>
      <c r="F2772" t="str">
        <f t="shared" si="43"/>
        <v>biomass</v>
      </c>
    </row>
    <row r="2773" spans="1:6" x14ac:dyDescent="0.25">
      <c r="A2773" t="s">
        <v>179</v>
      </c>
      <c r="B2773" t="s">
        <v>90</v>
      </c>
      <c r="C2773">
        <v>2012</v>
      </c>
      <c r="D2773">
        <v>15.4</v>
      </c>
      <c r="E2773">
        <v>17.600000000000001</v>
      </c>
      <c r="F2773" t="str">
        <f t="shared" si="43"/>
        <v>biomass</v>
      </c>
    </row>
    <row r="2774" spans="1:6" x14ac:dyDescent="0.25">
      <c r="A2774" t="s">
        <v>179</v>
      </c>
      <c r="B2774" t="s">
        <v>90</v>
      </c>
      <c r="C2774">
        <v>2013</v>
      </c>
      <c r="D2774">
        <v>20.9</v>
      </c>
      <c r="E2774">
        <v>21.7</v>
      </c>
      <c r="F2774" t="str">
        <f t="shared" si="43"/>
        <v>biomass</v>
      </c>
    </row>
    <row r="2775" spans="1:6" x14ac:dyDescent="0.25">
      <c r="A2775" t="s">
        <v>179</v>
      </c>
      <c r="B2775" t="s">
        <v>90</v>
      </c>
      <c r="C2775">
        <v>2016</v>
      </c>
      <c r="D2775">
        <v>1.6</v>
      </c>
      <c r="E2775">
        <v>1.6</v>
      </c>
      <c r="F2775" t="str">
        <f t="shared" si="43"/>
        <v>biomass</v>
      </c>
    </row>
    <row r="2776" spans="1:6" x14ac:dyDescent="0.25">
      <c r="A2776" t="s">
        <v>179</v>
      </c>
      <c r="B2776" t="s">
        <v>90</v>
      </c>
      <c r="C2776">
        <v>2024</v>
      </c>
      <c r="D2776">
        <v>3.2</v>
      </c>
      <c r="E2776">
        <v>3.2</v>
      </c>
      <c r="F2776" t="str">
        <f t="shared" si="43"/>
        <v>biomass</v>
      </c>
    </row>
    <row r="2777" spans="1:6" x14ac:dyDescent="0.25">
      <c r="A2777" t="s">
        <v>179</v>
      </c>
      <c r="B2777" t="s">
        <v>81</v>
      </c>
      <c r="C2777">
        <v>1990</v>
      </c>
      <c r="D2777">
        <v>179</v>
      </c>
      <c r="E2777">
        <v>204.1</v>
      </c>
      <c r="F2777" t="str">
        <f t="shared" si="43"/>
        <v>hard coal</v>
      </c>
    </row>
    <row r="2778" spans="1:6" x14ac:dyDescent="0.25">
      <c r="A2778" t="s">
        <v>179</v>
      </c>
      <c r="B2778" t="s">
        <v>81</v>
      </c>
      <c r="C2778">
        <v>1992</v>
      </c>
      <c r="D2778">
        <v>80</v>
      </c>
      <c r="E2778">
        <v>94</v>
      </c>
      <c r="F2778" t="str">
        <f t="shared" si="43"/>
        <v>hard coal</v>
      </c>
    </row>
    <row r="2779" spans="1:6" x14ac:dyDescent="0.25">
      <c r="A2779" t="s">
        <v>179</v>
      </c>
      <c r="B2779" t="s">
        <v>81</v>
      </c>
      <c r="C2779">
        <v>1993</v>
      </c>
      <c r="D2779">
        <v>83.82</v>
      </c>
      <c r="E2779">
        <v>94.7</v>
      </c>
      <c r="F2779" t="str">
        <f t="shared" si="43"/>
        <v>hard coal</v>
      </c>
    </row>
    <row r="2780" spans="1:6" x14ac:dyDescent="0.25">
      <c r="A2780" t="s">
        <v>179</v>
      </c>
      <c r="B2780" t="s">
        <v>81</v>
      </c>
      <c r="C2780">
        <v>1995</v>
      </c>
      <c r="D2780">
        <v>222</v>
      </c>
      <c r="E2780">
        <v>252.1</v>
      </c>
      <c r="F2780" t="str">
        <f t="shared" si="43"/>
        <v>hard coal</v>
      </c>
    </row>
    <row r="2781" spans="1:6" x14ac:dyDescent="0.25">
      <c r="A2781" t="s">
        <v>179</v>
      </c>
      <c r="B2781" t="s">
        <v>81</v>
      </c>
      <c r="C2781">
        <v>2004</v>
      </c>
      <c r="D2781">
        <v>521</v>
      </c>
      <c r="E2781">
        <v>585</v>
      </c>
      <c r="F2781" t="str">
        <f t="shared" si="43"/>
        <v>hard coal</v>
      </c>
    </row>
    <row r="2782" spans="1:6" x14ac:dyDescent="0.25">
      <c r="A2782" t="s">
        <v>179</v>
      </c>
      <c r="B2782" t="s">
        <v>86</v>
      </c>
      <c r="C2782">
        <v>1990</v>
      </c>
      <c r="D2782">
        <v>31.4</v>
      </c>
      <c r="E2782">
        <v>31.4</v>
      </c>
      <c r="F2782" t="str">
        <f t="shared" si="43"/>
        <v>hydro</v>
      </c>
    </row>
    <row r="2783" spans="1:6" x14ac:dyDescent="0.25">
      <c r="A2783" t="s">
        <v>179</v>
      </c>
      <c r="B2783" t="s">
        <v>86</v>
      </c>
      <c r="C2783">
        <v>2011</v>
      </c>
      <c r="D2783">
        <v>2.4</v>
      </c>
      <c r="E2783">
        <v>2.8</v>
      </c>
      <c r="F2783" t="str">
        <f t="shared" si="43"/>
        <v>hydro</v>
      </c>
    </row>
    <row r="2784" spans="1:6" x14ac:dyDescent="0.25">
      <c r="A2784" t="s">
        <v>179</v>
      </c>
      <c r="B2784" t="s">
        <v>86</v>
      </c>
      <c r="C2784">
        <v>2013</v>
      </c>
      <c r="D2784">
        <v>135.9</v>
      </c>
      <c r="E2784">
        <v>138</v>
      </c>
      <c r="F2784" t="str">
        <f t="shared" si="43"/>
        <v>hydro</v>
      </c>
    </row>
    <row r="2785" spans="1:6" x14ac:dyDescent="0.25">
      <c r="A2785" t="s">
        <v>179</v>
      </c>
      <c r="B2785" t="s">
        <v>98</v>
      </c>
      <c r="C2785">
        <v>1990</v>
      </c>
      <c r="D2785">
        <v>32.4</v>
      </c>
      <c r="E2785">
        <v>35.700000000000003</v>
      </c>
      <c r="F2785" t="str">
        <f t="shared" si="43"/>
        <v>municipal solid waste</v>
      </c>
    </row>
    <row r="2786" spans="1:6" x14ac:dyDescent="0.25">
      <c r="A2786" t="s">
        <v>179</v>
      </c>
      <c r="B2786" t="s">
        <v>98</v>
      </c>
      <c r="C2786">
        <v>1991</v>
      </c>
      <c r="D2786">
        <v>108</v>
      </c>
      <c r="E2786">
        <v>122.1</v>
      </c>
      <c r="F2786" t="str">
        <f t="shared" si="43"/>
        <v>municipal solid waste</v>
      </c>
    </row>
    <row r="2787" spans="1:6" x14ac:dyDescent="0.25">
      <c r="A2787" t="s">
        <v>179</v>
      </c>
      <c r="B2787" t="s">
        <v>98</v>
      </c>
      <c r="C2787">
        <v>1994</v>
      </c>
      <c r="D2787">
        <v>43.9</v>
      </c>
      <c r="E2787">
        <v>53.3</v>
      </c>
      <c r="F2787" t="str">
        <f t="shared" si="43"/>
        <v>municipal solid waste</v>
      </c>
    </row>
    <row r="2788" spans="1:6" x14ac:dyDescent="0.25">
      <c r="A2788" t="s">
        <v>179</v>
      </c>
      <c r="B2788" t="s">
        <v>98</v>
      </c>
      <c r="C2788">
        <v>2006</v>
      </c>
      <c r="D2788">
        <v>16.7</v>
      </c>
      <c r="E2788">
        <v>24.1</v>
      </c>
      <c r="F2788" t="str">
        <f t="shared" si="43"/>
        <v>municipal solid waste</v>
      </c>
    </row>
    <row r="2789" spans="1:6" x14ac:dyDescent="0.25">
      <c r="A2789" t="s">
        <v>179</v>
      </c>
      <c r="B2789" t="s">
        <v>84</v>
      </c>
      <c r="C2789">
        <v>1991</v>
      </c>
      <c r="D2789">
        <v>0.8</v>
      </c>
      <c r="E2789">
        <v>1.2</v>
      </c>
      <c r="F2789" t="str">
        <f t="shared" si="43"/>
        <v>natural gas combined cycle</v>
      </c>
    </row>
    <row r="2790" spans="1:6" x14ac:dyDescent="0.25">
      <c r="A2790" t="s">
        <v>179</v>
      </c>
      <c r="B2790" t="s">
        <v>84</v>
      </c>
      <c r="C2790">
        <v>1998</v>
      </c>
      <c r="D2790">
        <v>4.5</v>
      </c>
      <c r="E2790">
        <v>4.7</v>
      </c>
      <c r="F2790" t="str">
        <f t="shared" si="43"/>
        <v>natural gas combined cycle</v>
      </c>
    </row>
    <row r="2791" spans="1:6" x14ac:dyDescent="0.25">
      <c r="A2791" t="s">
        <v>179</v>
      </c>
      <c r="B2791" t="s">
        <v>84</v>
      </c>
      <c r="C2791">
        <v>2001</v>
      </c>
      <c r="D2791">
        <v>760</v>
      </c>
      <c r="E2791">
        <v>777.6</v>
      </c>
      <c r="F2791" t="str">
        <f t="shared" si="43"/>
        <v>natural gas combined cycle</v>
      </c>
    </row>
    <row r="2792" spans="1:6" x14ac:dyDescent="0.25">
      <c r="A2792" t="s">
        <v>179</v>
      </c>
      <c r="B2792" t="s">
        <v>84</v>
      </c>
      <c r="C2792">
        <v>2002</v>
      </c>
      <c r="D2792">
        <v>1482.9</v>
      </c>
      <c r="E2792">
        <v>1723</v>
      </c>
      <c r="F2792" t="str">
        <f t="shared" si="43"/>
        <v>natural gas combined cycle</v>
      </c>
    </row>
    <row r="2793" spans="1:6" x14ac:dyDescent="0.25">
      <c r="A2793" t="s">
        <v>179</v>
      </c>
      <c r="B2793" t="s">
        <v>84</v>
      </c>
      <c r="C2793">
        <v>2003</v>
      </c>
      <c r="D2793">
        <v>2801.2</v>
      </c>
      <c r="E2793">
        <v>2940.9</v>
      </c>
      <c r="F2793" t="str">
        <f t="shared" si="43"/>
        <v>natural gas combined cycle</v>
      </c>
    </row>
    <row r="2794" spans="1:6" x14ac:dyDescent="0.25">
      <c r="A2794" t="s">
        <v>179</v>
      </c>
      <c r="B2794" t="s">
        <v>84</v>
      </c>
      <c r="C2794">
        <v>2004</v>
      </c>
      <c r="D2794">
        <v>2758.6</v>
      </c>
      <c r="E2794">
        <v>2825.7</v>
      </c>
      <c r="F2794" t="str">
        <f t="shared" si="43"/>
        <v>natural gas combined cycle</v>
      </c>
    </row>
    <row r="2795" spans="1:6" x14ac:dyDescent="0.25">
      <c r="A2795" t="s">
        <v>179</v>
      </c>
      <c r="B2795" t="s">
        <v>84</v>
      </c>
      <c r="C2795">
        <v>2011</v>
      </c>
      <c r="D2795">
        <v>665</v>
      </c>
      <c r="E2795">
        <v>656</v>
      </c>
      <c r="F2795" t="str">
        <f t="shared" si="43"/>
        <v>natural gas combined cycle</v>
      </c>
    </row>
    <row r="2796" spans="1:6" x14ac:dyDescent="0.25">
      <c r="A2796" t="s">
        <v>179</v>
      </c>
      <c r="B2796" t="s">
        <v>84</v>
      </c>
      <c r="C2796">
        <v>2016</v>
      </c>
      <c r="D2796">
        <v>1625</v>
      </c>
      <c r="E2796">
        <v>1740</v>
      </c>
      <c r="F2796" t="str">
        <f t="shared" si="43"/>
        <v>natural gas combined cycle</v>
      </c>
    </row>
    <row r="2797" spans="1:6" x14ac:dyDescent="0.25">
      <c r="A2797" t="s">
        <v>179</v>
      </c>
      <c r="B2797" t="s">
        <v>84</v>
      </c>
      <c r="C2797">
        <v>2018</v>
      </c>
      <c r="D2797">
        <v>4439.7</v>
      </c>
      <c r="E2797">
        <v>4931.8999999999996</v>
      </c>
      <c r="F2797" t="str">
        <f t="shared" si="43"/>
        <v>natural gas combined cycle</v>
      </c>
    </row>
    <row r="2798" spans="1:6" x14ac:dyDescent="0.25">
      <c r="A2798" t="s">
        <v>179</v>
      </c>
      <c r="B2798" t="s">
        <v>84</v>
      </c>
      <c r="C2798">
        <v>2019</v>
      </c>
      <c r="D2798">
        <v>2376.6</v>
      </c>
      <c r="E2798">
        <v>2611.4</v>
      </c>
      <c r="F2798" t="str">
        <f t="shared" si="43"/>
        <v>natural gas combined cycle</v>
      </c>
    </row>
    <row r="2799" spans="1:6" x14ac:dyDescent="0.25">
      <c r="A2799" t="s">
        <v>179</v>
      </c>
      <c r="B2799" t="s">
        <v>84</v>
      </c>
      <c r="C2799">
        <v>2020</v>
      </c>
      <c r="D2799">
        <v>1018.7</v>
      </c>
      <c r="E2799">
        <v>1102.9000000000001</v>
      </c>
      <c r="F2799" t="str">
        <f t="shared" si="43"/>
        <v>natural gas combined cycle</v>
      </c>
    </row>
    <row r="2800" spans="1:6" x14ac:dyDescent="0.25">
      <c r="A2800" t="s">
        <v>179</v>
      </c>
      <c r="B2800" t="s">
        <v>84</v>
      </c>
      <c r="C2800">
        <v>2021</v>
      </c>
      <c r="D2800">
        <v>880.2</v>
      </c>
      <c r="E2800">
        <v>974.5</v>
      </c>
      <c r="F2800" t="str">
        <f t="shared" si="43"/>
        <v>natural gas combined cycle</v>
      </c>
    </row>
    <row r="2801" spans="1:6" x14ac:dyDescent="0.25">
      <c r="A2801" t="s">
        <v>179</v>
      </c>
      <c r="B2801" t="s">
        <v>93</v>
      </c>
      <c r="C2801">
        <v>1993</v>
      </c>
      <c r="D2801">
        <v>16</v>
      </c>
      <c r="E2801">
        <v>16</v>
      </c>
      <c r="F2801" t="str">
        <f t="shared" si="43"/>
        <v>natural gas peaker</v>
      </c>
    </row>
    <row r="2802" spans="1:6" x14ac:dyDescent="0.25">
      <c r="A2802" t="s">
        <v>179</v>
      </c>
      <c r="B2802" t="s">
        <v>93</v>
      </c>
      <c r="C2802">
        <v>1994</v>
      </c>
      <c r="D2802">
        <v>0.7</v>
      </c>
      <c r="E2802">
        <v>0.7</v>
      </c>
      <c r="F2802" t="str">
        <f t="shared" si="43"/>
        <v>natural gas peaker</v>
      </c>
    </row>
    <row r="2803" spans="1:6" x14ac:dyDescent="0.25">
      <c r="A2803" t="s">
        <v>179</v>
      </c>
      <c r="B2803" t="s">
        <v>93</v>
      </c>
      <c r="C2803">
        <v>1995</v>
      </c>
      <c r="D2803">
        <v>1.7</v>
      </c>
      <c r="E2803">
        <v>1.7</v>
      </c>
      <c r="F2803" t="str">
        <f t="shared" si="43"/>
        <v>natural gas peaker</v>
      </c>
    </row>
    <row r="2804" spans="1:6" x14ac:dyDescent="0.25">
      <c r="A2804" t="s">
        <v>179</v>
      </c>
      <c r="B2804" t="s">
        <v>93</v>
      </c>
      <c r="C2804">
        <v>1997</v>
      </c>
      <c r="D2804">
        <v>118.3</v>
      </c>
      <c r="E2804">
        <v>140.6</v>
      </c>
      <c r="F2804" t="str">
        <f t="shared" si="43"/>
        <v>natural gas peaker</v>
      </c>
    </row>
    <row r="2805" spans="1:6" x14ac:dyDescent="0.25">
      <c r="A2805" t="s">
        <v>179</v>
      </c>
      <c r="B2805" t="s">
        <v>93</v>
      </c>
      <c r="C2805">
        <v>1999</v>
      </c>
      <c r="D2805">
        <v>97.8</v>
      </c>
      <c r="E2805">
        <v>88.6</v>
      </c>
      <c r="F2805" t="str">
        <f t="shared" si="43"/>
        <v>natural gas peaker</v>
      </c>
    </row>
    <row r="2806" spans="1:6" x14ac:dyDescent="0.25">
      <c r="A2806" t="s">
        <v>179</v>
      </c>
      <c r="B2806" t="s">
        <v>93</v>
      </c>
      <c r="C2806">
        <v>2000</v>
      </c>
      <c r="D2806">
        <v>142.19999999999999</v>
      </c>
      <c r="E2806">
        <v>131.6</v>
      </c>
      <c r="F2806" t="str">
        <f t="shared" si="43"/>
        <v>natural gas peaker</v>
      </c>
    </row>
    <row r="2807" spans="1:6" x14ac:dyDescent="0.25">
      <c r="A2807" t="s">
        <v>179</v>
      </c>
      <c r="B2807" t="s">
        <v>93</v>
      </c>
      <c r="C2807">
        <v>2001</v>
      </c>
      <c r="D2807">
        <v>453</v>
      </c>
      <c r="E2807">
        <v>484.2</v>
      </c>
      <c r="F2807" t="str">
        <f t="shared" si="43"/>
        <v>natural gas peaker</v>
      </c>
    </row>
    <row r="2808" spans="1:6" x14ac:dyDescent="0.25">
      <c r="A2808" t="s">
        <v>179</v>
      </c>
      <c r="B2808" t="s">
        <v>93</v>
      </c>
      <c r="C2808">
        <v>2002</v>
      </c>
      <c r="D2808">
        <v>757.4</v>
      </c>
      <c r="E2808">
        <v>787</v>
      </c>
      <c r="F2808" t="str">
        <f t="shared" si="43"/>
        <v>natural gas peaker</v>
      </c>
    </row>
    <row r="2809" spans="1:6" x14ac:dyDescent="0.25">
      <c r="A2809" t="s">
        <v>179</v>
      </c>
      <c r="B2809" t="s">
        <v>93</v>
      </c>
      <c r="C2809">
        <v>2003</v>
      </c>
      <c r="D2809">
        <v>23.2</v>
      </c>
      <c r="E2809">
        <v>24</v>
      </c>
      <c r="F2809" t="str">
        <f t="shared" si="43"/>
        <v>natural gas peaker</v>
      </c>
    </row>
    <row r="2810" spans="1:6" x14ac:dyDescent="0.25">
      <c r="A2810" t="s">
        <v>179</v>
      </c>
      <c r="B2810" t="s">
        <v>93</v>
      </c>
      <c r="C2810">
        <v>2004</v>
      </c>
      <c r="D2810">
        <v>1.8</v>
      </c>
      <c r="E2810">
        <v>2.6</v>
      </c>
      <c r="F2810" t="str">
        <f t="shared" si="43"/>
        <v>natural gas peaker</v>
      </c>
    </row>
    <row r="2811" spans="1:6" x14ac:dyDescent="0.25">
      <c r="A2811" t="s">
        <v>179</v>
      </c>
      <c r="B2811" t="s">
        <v>93</v>
      </c>
      <c r="C2811">
        <v>2011</v>
      </c>
      <c r="D2811">
        <v>8.5</v>
      </c>
      <c r="E2811">
        <v>8.1</v>
      </c>
      <c r="F2811" t="str">
        <f t="shared" si="43"/>
        <v>natural gas peaker</v>
      </c>
    </row>
    <row r="2812" spans="1:6" x14ac:dyDescent="0.25">
      <c r="A2812" t="s">
        <v>179</v>
      </c>
      <c r="B2812" t="s">
        <v>93</v>
      </c>
      <c r="C2812">
        <v>2013</v>
      </c>
      <c r="D2812">
        <v>67.8</v>
      </c>
      <c r="E2812">
        <v>67.8</v>
      </c>
      <c r="F2812" t="str">
        <f t="shared" si="43"/>
        <v>natural gas peaker</v>
      </c>
    </row>
    <row r="2813" spans="1:6" x14ac:dyDescent="0.25">
      <c r="A2813" t="s">
        <v>179</v>
      </c>
      <c r="B2813" t="s">
        <v>93</v>
      </c>
      <c r="C2813">
        <v>2014</v>
      </c>
      <c r="D2813">
        <v>1</v>
      </c>
      <c r="E2813">
        <v>1</v>
      </c>
      <c r="F2813" t="str">
        <f t="shared" si="43"/>
        <v>natural gas peaker</v>
      </c>
    </row>
    <row r="2814" spans="1:6" x14ac:dyDescent="0.25">
      <c r="A2814" t="s">
        <v>179</v>
      </c>
      <c r="B2814" t="s">
        <v>93</v>
      </c>
      <c r="C2814">
        <v>2015</v>
      </c>
      <c r="D2814">
        <v>22.5</v>
      </c>
      <c r="E2814">
        <v>23.5</v>
      </c>
      <c r="F2814" t="str">
        <f t="shared" si="43"/>
        <v>natural gas peaker</v>
      </c>
    </row>
    <row r="2815" spans="1:6" x14ac:dyDescent="0.25">
      <c r="A2815" t="s">
        <v>179</v>
      </c>
      <c r="B2815" t="s">
        <v>93</v>
      </c>
      <c r="C2815">
        <v>2016</v>
      </c>
      <c r="D2815">
        <v>23.6</v>
      </c>
      <c r="E2815">
        <v>24.6</v>
      </c>
      <c r="F2815" t="str">
        <f t="shared" si="43"/>
        <v>natural gas peaker</v>
      </c>
    </row>
    <row r="2816" spans="1:6" x14ac:dyDescent="0.25">
      <c r="A2816" t="s">
        <v>179</v>
      </c>
      <c r="B2816" t="s">
        <v>93</v>
      </c>
      <c r="C2816">
        <v>2017</v>
      </c>
      <c r="D2816">
        <v>47.9</v>
      </c>
      <c r="E2816">
        <v>49.3</v>
      </c>
      <c r="F2816" t="str">
        <f t="shared" si="43"/>
        <v>natural gas peaker</v>
      </c>
    </row>
    <row r="2817" spans="1:6" x14ac:dyDescent="0.25">
      <c r="A2817" t="s">
        <v>179</v>
      </c>
      <c r="B2817" t="s">
        <v>93</v>
      </c>
      <c r="C2817">
        <v>2018</v>
      </c>
      <c r="D2817">
        <v>2</v>
      </c>
      <c r="E2817">
        <v>2</v>
      </c>
      <c r="F2817" t="str">
        <f t="shared" si="43"/>
        <v>natural gas peaker</v>
      </c>
    </row>
    <row r="2818" spans="1:6" x14ac:dyDescent="0.25">
      <c r="A2818" t="s">
        <v>179</v>
      </c>
      <c r="B2818" t="s">
        <v>93</v>
      </c>
      <c r="C2818">
        <v>2019</v>
      </c>
      <c r="D2818">
        <v>43</v>
      </c>
      <c r="E2818">
        <v>44</v>
      </c>
      <c r="F2818" t="str">
        <f t="shared" ref="F2818:F2881" si="44">LOWER($B2818)</f>
        <v>natural gas peaker</v>
      </c>
    </row>
    <row r="2819" spans="1:6" x14ac:dyDescent="0.25">
      <c r="A2819" t="s">
        <v>179</v>
      </c>
      <c r="B2819" t="s">
        <v>93</v>
      </c>
      <c r="C2819">
        <v>2020</v>
      </c>
      <c r="D2819">
        <v>1.1000000000000001</v>
      </c>
      <c r="E2819">
        <v>1.3</v>
      </c>
      <c r="F2819" t="str">
        <f t="shared" si="44"/>
        <v>natural gas peaker</v>
      </c>
    </row>
    <row r="2820" spans="1:6" x14ac:dyDescent="0.25">
      <c r="A2820" t="s">
        <v>179</v>
      </c>
      <c r="B2820" t="s">
        <v>93</v>
      </c>
      <c r="C2820">
        <v>2021</v>
      </c>
      <c r="D2820">
        <v>31</v>
      </c>
      <c r="E2820">
        <v>32.9</v>
      </c>
      <c r="F2820" t="str">
        <f t="shared" si="44"/>
        <v>natural gas peaker</v>
      </c>
    </row>
    <row r="2821" spans="1:6" x14ac:dyDescent="0.25">
      <c r="A2821" t="s">
        <v>179</v>
      </c>
      <c r="B2821" t="s">
        <v>93</v>
      </c>
      <c r="C2821">
        <v>2022</v>
      </c>
      <c r="D2821">
        <v>2</v>
      </c>
      <c r="E2821">
        <v>2</v>
      </c>
      <c r="F2821" t="str">
        <f t="shared" si="44"/>
        <v>natural gas peaker</v>
      </c>
    </row>
    <row r="2822" spans="1:6" x14ac:dyDescent="0.25">
      <c r="A2822" t="s">
        <v>179</v>
      </c>
      <c r="B2822" t="s">
        <v>93</v>
      </c>
      <c r="C2822">
        <v>2024</v>
      </c>
      <c r="D2822">
        <v>5.5</v>
      </c>
      <c r="E2822">
        <v>5.5</v>
      </c>
      <c r="F2822" t="str">
        <f t="shared" si="44"/>
        <v>natural gas peaker</v>
      </c>
    </row>
    <row r="2823" spans="1:6" x14ac:dyDescent="0.25">
      <c r="A2823" t="s">
        <v>179</v>
      </c>
      <c r="B2823" t="s">
        <v>83</v>
      </c>
      <c r="C2823">
        <v>1997</v>
      </c>
      <c r="D2823">
        <v>56.6</v>
      </c>
      <c r="E2823">
        <v>57.6</v>
      </c>
      <c r="F2823" t="str">
        <f t="shared" si="44"/>
        <v>natural gas steam turbine</v>
      </c>
    </row>
    <row r="2824" spans="1:6" x14ac:dyDescent="0.25">
      <c r="A2824" t="s">
        <v>179</v>
      </c>
      <c r="B2824" t="s">
        <v>83</v>
      </c>
      <c r="C2824">
        <v>2017</v>
      </c>
      <c r="D2824">
        <v>3</v>
      </c>
      <c r="E2824">
        <v>5.0999999999999996</v>
      </c>
      <c r="F2824" t="str">
        <f t="shared" si="44"/>
        <v>natural gas steam turbine</v>
      </c>
    </row>
    <row r="2825" spans="1:6" x14ac:dyDescent="0.25">
      <c r="A2825" t="s">
        <v>179</v>
      </c>
      <c r="B2825" t="s">
        <v>83</v>
      </c>
      <c r="C2825">
        <v>2021</v>
      </c>
      <c r="D2825">
        <v>1.8</v>
      </c>
      <c r="E2825">
        <v>2.8</v>
      </c>
      <c r="F2825" t="str">
        <f t="shared" si="44"/>
        <v>natural gas steam turbine</v>
      </c>
    </row>
    <row r="2826" spans="1:6" x14ac:dyDescent="0.25">
      <c r="A2826" t="s">
        <v>179</v>
      </c>
      <c r="B2826" t="s">
        <v>85</v>
      </c>
      <c r="C2826">
        <v>1990</v>
      </c>
      <c r="D2826">
        <v>1122.0999999999999</v>
      </c>
      <c r="E2826">
        <v>1138.5</v>
      </c>
      <c r="F2826" t="str">
        <f t="shared" si="44"/>
        <v>nuclear</v>
      </c>
    </row>
    <row r="2827" spans="1:6" x14ac:dyDescent="0.25">
      <c r="A2827" t="s">
        <v>179</v>
      </c>
      <c r="B2827" t="s">
        <v>87</v>
      </c>
      <c r="C2827">
        <v>2000</v>
      </c>
      <c r="D2827">
        <v>10.4</v>
      </c>
      <c r="E2827">
        <v>10.4</v>
      </c>
      <c r="F2827" t="str">
        <f t="shared" si="44"/>
        <v>onshore wind</v>
      </c>
    </row>
    <row r="2828" spans="1:6" x14ac:dyDescent="0.25">
      <c r="A2828" t="s">
        <v>179</v>
      </c>
      <c r="B2828" t="s">
        <v>87</v>
      </c>
      <c r="C2828">
        <v>2001</v>
      </c>
      <c r="D2828">
        <v>24</v>
      </c>
      <c r="E2828">
        <v>24</v>
      </c>
      <c r="F2828" t="str">
        <f t="shared" si="44"/>
        <v>onshore wind</v>
      </c>
    </row>
    <row r="2829" spans="1:6" x14ac:dyDescent="0.25">
      <c r="A2829" t="s">
        <v>179</v>
      </c>
      <c r="B2829" t="s">
        <v>87</v>
      </c>
      <c r="C2829">
        <v>2003</v>
      </c>
      <c r="D2829">
        <v>94.5</v>
      </c>
      <c r="E2829">
        <v>94.5</v>
      </c>
      <c r="F2829" t="str">
        <f t="shared" si="44"/>
        <v>onshore wind</v>
      </c>
    </row>
    <row r="2830" spans="1:6" x14ac:dyDescent="0.25">
      <c r="A2830" t="s">
        <v>179</v>
      </c>
      <c r="B2830" t="s">
        <v>87</v>
      </c>
      <c r="C2830">
        <v>2006</v>
      </c>
      <c r="D2830">
        <v>24</v>
      </c>
      <c r="E2830">
        <v>24</v>
      </c>
      <c r="F2830" t="str">
        <f t="shared" si="44"/>
        <v>onshore wind</v>
      </c>
    </row>
    <row r="2831" spans="1:6" x14ac:dyDescent="0.25">
      <c r="A2831" t="s">
        <v>179</v>
      </c>
      <c r="B2831" t="s">
        <v>87</v>
      </c>
      <c r="C2831">
        <v>2007</v>
      </c>
      <c r="D2831">
        <v>140.5</v>
      </c>
      <c r="E2831">
        <v>140.5</v>
      </c>
      <c r="F2831" t="str">
        <f t="shared" si="44"/>
        <v>onshore wind</v>
      </c>
    </row>
    <row r="2832" spans="1:6" x14ac:dyDescent="0.25">
      <c r="A2832" t="s">
        <v>179</v>
      </c>
      <c r="B2832" t="s">
        <v>87</v>
      </c>
      <c r="C2832">
        <v>2008</v>
      </c>
      <c r="D2832">
        <v>67.2</v>
      </c>
      <c r="E2832">
        <v>67.2</v>
      </c>
      <c r="F2832" t="str">
        <f t="shared" si="44"/>
        <v>onshore wind</v>
      </c>
    </row>
    <row r="2833" spans="1:6" x14ac:dyDescent="0.25">
      <c r="A2833" t="s">
        <v>179</v>
      </c>
      <c r="B2833" t="s">
        <v>87</v>
      </c>
      <c r="C2833">
        <v>2009</v>
      </c>
      <c r="D2833">
        <v>392.5</v>
      </c>
      <c r="E2833">
        <v>392.5</v>
      </c>
      <c r="F2833" t="str">
        <f t="shared" si="44"/>
        <v>onshore wind</v>
      </c>
    </row>
    <row r="2834" spans="1:6" x14ac:dyDescent="0.25">
      <c r="A2834" t="s">
        <v>179</v>
      </c>
      <c r="B2834" t="s">
        <v>87</v>
      </c>
      <c r="C2834">
        <v>2011</v>
      </c>
      <c r="D2834">
        <v>41.2</v>
      </c>
      <c r="E2834">
        <v>41.2</v>
      </c>
      <c r="F2834" t="str">
        <f t="shared" si="44"/>
        <v>onshore wind</v>
      </c>
    </row>
    <row r="2835" spans="1:6" x14ac:dyDescent="0.25">
      <c r="A2835" t="s">
        <v>179</v>
      </c>
      <c r="B2835" t="s">
        <v>87</v>
      </c>
      <c r="C2835">
        <v>2012</v>
      </c>
      <c r="D2835">
        <v>552.79999999999995</v>
      </c>
      <c r="E2835">
        <v>554.6</v>
      </c>
      <c r="F2835" t="str">
        <f t="shared" si="44"/>
        <v>onshore wind</v>
      </c>
    </row>
    <row r="2836" spans="1:6" x14ac:dyDescent="0.25">
      <c r="A2836" t="s">
        <v>179</v>
      </c>
      <c r="B2836" t="s">
        <v>87</v>
      </c>
      <c r="C2836">
        <v>2016</v>
      </c>
      <c r="D2836">
        <v>38.299999999999997</v>
      </c>
      <c r="E2836">
        <v>39.9</v>
      </c>
      <c r="F2836" t="str">
        <f t="shared" si="44"/>
        <v>onshore wind</v>
      </c>
    </row>
    <row r="2837" spans="1:6" x14ac:dyDescent="0.25">
      <c r="A2837" t="s">
        <v>179</v>
      </c>
      <c r="B2837" t="s">
        <v>87</v>
      </c>
      <c r="C2837">
        <v>2019</v>
      </c>
      <c r="D2837">
        <v>90</v>
      </c>
      <c r="E2837">
        <v>90</v>
      </c>
      <c r="F2837" t="str">
        <f t="shared" si="44"/>
        <v>onshore wind</v>
      </c>
    </row>
    <row r="2838" spans="1:6" x14ac:dyDescent="0.25">
      <c r="A2838" t="s">
        <v>179</v>
      </c>
      <c r="B2838" t="s">
        <v>87</v>
      </c>
      <c r="C2838">
        <v>2023</v>
      </c>
      <c r="D2838">
        <v>87.6</v>
      </c>
      <c r="E2838">
        <v>87.6</v>
      </c>
      <c r="F2838" t="str">
        <f t="shared" si="44"/>
        <v>onshore wind</v>
      </c>
    </row>
    <row r="2839" spans="1:6" x14ac:dyDescent="0.25">
      <c r="A2839" t="s">
        <v>179</v>
      </c>
      <c r="B2839" t="s">
        <v>92</v>
      </c>
      <c r="C2839">
        <v>1993</v>
      </c>
      <c r="D2839">
        <v>1.2</v>
      </c>
      <c r="E2839">
        <v>1.2</v>
      </c>
      <c r="F2839" t="str">
        <f t="shared" si="44"/>
        <v>petroleum</v>
      </c>
    </row>
    <row r="2840" spans="1:6" x14ac:dyDescent="0.25">
      <c r="A2840" t="s">
        <v>179</v>
      </c>
      <c r="B2840" t="s">
        <v>92</v>
      </c>
      <c r="C2840">
        <v>1994</v>
      </c>
      <c r="D2840">
        <v>1.2</v>
      </c>
      <c r="E2840">
        <v>1.2</v>
      </c>
      <c r="F2840" t="str">
        <f t="shared" si="44"/>
        <v>petroleum</v>
      </c>
    </row>
    <row r="2841" spans="1:6" x14ac:dyDescent="0.25">
      <c r="A2841" t="s">
        <v>179</v>
      </c>
      <c r="B2841" t="s">
        <v>92</v>
      </c>
      <c r="C2841">
        <v>1996</v>
      </c>
      <c r="D2841">
        <v>3</v>
      </c>
      <c r="E2841">
        <v>3</v>
      </c>
      <c r="F2841" t="str">
        <f t="shared" si="44"/>
        <v>petroleum</v>
      </c>
    </row>
    <row r="2842" spans="1:6" x14ac:dyDescent="0.25">
      <c r="A2842" t="s">
        <v>179</v>
      </c>
      <c r="B2842" t="s">
        <v>92</v>
      </c>
      <c r="C2842">
        <v>1997</v>
      </c>
      <c r="D2842">
        <v>140.5</v>
      </c>
      <c r="E2842">
        <v>156</v>
      </c>
      <c r="F2842" t="str">
        <f t="shared" si="44"/>
        <v>petroleum</v>
      </c>
    </row>
    <row r="2843" spans="1:6" x14ac:dyDescent="0.25">
      <c r="A2843" t="s">
        <v>179</v>
      </c>
      <c r="B2843" t="s">
        <v>92</v>
      </c>
      <c r="C2843">
        <v>1998</v>
      </c>
      <c r="D2843">
        <v>0.8</v>
      </c>
      <c r="E2843">
        <v>0.8</v>
      </c>
      <c r="F2843" t="str">
        <f t="shared" si="44"/>
        <v>petroleum</v>
      </c>
    </row>
    <row r="2844" spans="1:6" x14ac:dyDescent="0.25">
      <c r="A2844" t="s">
        <v>179</v>
      </c>
      <c r="B2844" t="s">
        <v>92</v>
      </c>
      <c r="C2844">
        <v>2000</v>
      </c>
      <c r="D2844">
        <v>0.3</v>
      </c>
      <c r="E2844">
        <v>0.3</v>
      </c>
      <c r="F2844" t="str">
        <f t="shared" si="44"/>
        <v>petroleum</v>
      </c>
    </row>
    <row r="2845" spans="1:6" x14ac:dyDescent="0.25">
      <c r="A2845" t="s">
        <v>179</v>
      </c>
      <c r="B2845" t="s">
        <v>92</v>
      </c>
      <c r="C2845">
        <v>2010</v>
      </c>
      <c r="D2845">
        <v>0.9</v>
      </c>
      <c r="E2845">
        <v>1</v>
      </c>
      <c r="F2845" t="str">
        <f t="shared" si="44"/>
        <v>petroleum</v>
      </c>
    </row>
    <row r="2846" spans="1:6" x14ac:dyDescent="0.25">
      <c r="A2846" t="s">
        <v>179</v>
      </c>
      <c r="B2846" t="s">
        <v>92</v>
      </c>
      <c r="C2846">
        <v>2021</v>
      </c>
      <c r="D2846">
        <v>7.4</v>
      </c>
      <c r="E2846">
        <v>7.4</v>
      </c>
      <c r="F2846" t="str">
        <f t="shared" si="44"/>
        <v>petroleum</v>
      </c>
    </row>
    <row r="2847" spans="1:6" x14ac:dyDescent="0.25">
      <c r="A2847" t="s">
        <v>179</v>
      </c>
      <c r="B2847" t="s">
        <v>92</v>
      </c>
      <c r="C2847">
        <v>2022</v>
      </c>
      <c r="D2847">
        <v>15.2</v>
      </c>
      <c r="E2847">
        <v>15.2</v>
      </c>
      <c r="F2847" t="str">
        <f t="shared" si="44"/>
        <v>petroleum</v>
      </c>
    </row>
    <row r="2848" spans="1:6" x14ac:dyDescent="0.25">
      <c r="A2848" t="s">
        <v>179</v>
      </c>
      <c r="B2848" t="s">
        <v>92</v>
      </c>
      <c r="C2848">
        <v>2023</v>
      </c>
      <c r="D2848">
        <v>21.6</v>
      </c>
      <c r="E2848">
        <v>21.6</v>
      </c>
      <c r="F2848" t="str">
        <f t="shared" si="44"/>
        <v>petroleum</v>
      </c>
    </row>
    <row r="2849" spans="1:6" x14ac:dyDescent="0.25">
      <c r="A2849" t="s">
        <v>179</v>
      </c>
      <c r="B2849" t="s">
        <v>92</v>
      </c>
      <c r="C2849">
        <v>2024</v>
      </c>
      <c r="D2849">
        <v>5.4</v>
      </c>
      <c r="E2849">
        <v>5.4</v>
      </c>
      <c r="F2849" t="str">
        <f t="shared" si="44"/>
        <v>petroleum</v>
      </c>
    </row>
    <row r="2850" spans="1:6" x14ac:dyDescent="0.25">
      <c r="A2850" t="s">
        <v>179</v>
      </c>
      <c r="B2850" t="s">
        <v>249</v>
      </c>
      <c r="C2850">
        <v>2008</v>
      </c>
      <c r="D2850">
        <v>3</v>
      </c>
      <c r="E2850">
        <v>3</v>
      </c>
      <c r="F2850" t="str">
        <f t="shared" si="44"/>
        <v>solar pv</v>
      </c>
    </row>
    <row r="2851" spans="1:6" x14ac:dyDescent="0.25">
      <c r="A2851" t="s">
        <v>179</v>
      </c>
      <c r="B2851" t="s">
        <v>249</v>
      </c>
      <c r="C2851">
        <v>2009</v>
      </c>
      <c r="D2851">
        <v>0.9</v>
      </c>
      <c r="E2851">
        <v>1</v>
      </c>
      <c r="F2851" t="str">
        <f t="shared" si="44"/>
        <v>solar pv</v>
      </c>
    </row>
    <row r="2852" spans="1:6" x14ac:dyDescent="0.25">
      <c r="A2852" t="s">
        <v>179</v>
      </c>
      <c r="B2852" t="s">
        <v>249</v>
      </c>
      <c r="C2852">
        <v>2010</v>
      </c>
      <c r="D2852">
        <v>10.5</v>
      </c>
      <c r="E2852">
        <v>11.9</v>
      </c>
      <c r="F2852" t="str">
        <f t="shared" si="44"/>
        <v>solar pv</v>
      </c>
    </row>
    <row r="2853" spans="1:6" x14ac:dyDescent="0.25">
      <c r="A2853" t="s">
        <v>179</v>
      </c>
      <c r="B2853" t="s">
        <v>249</v>
      </c>
      <c r="C2853">
        <v>2011</v>
      </c>
      <c r="D2853">
        <v>11.1</v>
      </c>
      <c r="E2853">
        <v>11.5</v>
      </c>
      <c r="F2853" t="str">
        <f t="shared" si="44"/>
        <v>solar pv</v>
      </c>
    </row>
    <row r="2854" spans="1:6" x14ac:dyDescent="0.25">
      <c r="A2854" t="s">
        <v>179</v>
      </c>
      <c r="B2854" t="s">
        <v>249</v>
      </c>
      <c r="C2854">
        <v>2012</v>
      </c>
      <c r="D2854">
        <v>19.5</v>
      </c>
      <c r="E2854">
        <v>19.7</v>
      </c>
      <c r="F2854" t="str">
        <f t="shared" si="44"/>
        <v>solar pv</v>
      </c>
    </row>
    <row r="2855" spans="1:6" x14ac:dyDescent="0.25">
      <c r="A2855" t="s">
        <v>179</v>
      </c>
      <c r="B2855" t="s">
        <v>249</v>
      </c>
      <c r="C2855">
        <v>2013</v>
      </c>
      <c r="D2855">
        <v>3.9</v>
      </c>
      <c r="E2855">
        <v>3.9</v>
      </c>
      <c r="F2855" t="str">
        <f t="shared" si="44"/>
        <v>solar pv</v>
      </c>
    </row>
    <row r="2856" spans="1:6" x14ac:dyDescent="0.25">
      <c r="A2856" t="s">
        <v>179</v>
      </c>
      <c r="B2856" t="s">
        <v>249</v>
      </c>
      <c r="C2856">
        <v>2016</v>
      </c>
      <c r="D2856">
        <v>5</v>
      </c>
      <c r="E2856">
        <v>5</v>
      </c>
      <c r="F2856" t="str">
        <f t="shared" si="44"/>
        <v>solar pv</v>
      </c>
    </row>
    <row r="2857" spans="1:6" x14ac:dyDescent="0.25">
      <c r="A2857" t="s">
        <v>179</v>
      </c>
      <c r="B2857" t="s">
        <v>249</v>
      </c>
      <c r="C2857">
        <v>2018</v>
      </c>
      <c r="D2857">
        <v>4.5</v>
      </c>
      <c r="E2857">
        <v>4.5</v>
      </c>
      <c r="F2857" t="str">
        <f t="shared" si="44"/>
        <v>solar pv</v>
      </c>
    </row>
    <row r="2858" spans="1:6" x14ac:dyDescent="0.25">
      <c r="A2858" t="s">
        <v>179</v>
      </c>
      <c r="B2858" t="s">
        <v>249</v>
      </c>
      <c r="C2858">
        <v>2019</v>
      </c>
      <c r="D2858">
        <v>20.100000000000001</v>
      </c>
      <c r="E2858">
        <v>20.100000000000001</v>
      </c>
      <c r="F2858" t="str">
        <f t="shared" si="44"/>
        <v>solar pv</v>
      </c>
    </row>
    <row r="2859" spans="1:6" x14ac:dyDescent="0.25">
      <c r="A2859" t="s">
        <v>179</v>
      </c>
      <c r="B2859" t="s">
        <v>249</v>
      </c>
      <c r="C2859">
        <v>2020</v>
      </c>
      <c r="D2859">
        <v>68</v>
      </c>
      <c r="E2859">
        <v>68</v>
      </c>
      <c r="F2859" t="str">
        <f t="shared" si="44"/>
        <v>solar pv</v>
      </c>
    </row>
    <row r="2860" spans="1:6" x14ac:dyDescent="0.25">
      <c r="A2860" t="s">
        <v>179</v>
      </c>
      <c r="B2860" t="s">
        <v>249</v>
      </c>
      <c r="C2860">
        <v>2021</v>
      </c>
      <c r="D2860">
        <v>7.4</v>
      </c>
      <c r="E2860">
        <v>7.4</v>
      </c>
      <c r="F2860" t="str">
        <f t="shared" si="44"/>
        <v>solar pv</v>
      </c>
    </row>
    <row r="2861" spans="1:6" x14ac:dyDescent="0.25">
      <c r="A2861" t="s">
        <v>179</v>
      </c>
      <c r="B2861" t="s">
        <v>249</v>
      </c>
      <c r="C2861">
        <v>2022</v>
      </c>
      <c r="D2861">
        <v>20</v>
      </c>
      <c r="E2861">
        <v>20</v>
      </c>
      <c r="F2861" t="str">
        <f t="shared" si="44"/>
        <v>solar pv</v>
      </c>
    </row>
    <row r="2862" spans="1:6" x14ac:dyDescent="0.25">
      <c r="A2862" t="s">
        <v>179</v>
      </c>
      <c r="B2862" t="s">
        <v>249</v>
      </c>
      <c r="C2862">
        <v>2023</v>
      </c>
      <c r="D2862">
        <v>515.6</v>
      </c>
      <c r="E2862">
        <v>515.6</v>
      </c>
      <c r="F2862" t="str">
        <f t="shared" si="44"/>
        <v>solar pv</v>
      </c>
    </row>
    <row r="2863" spans="1:6" x14ac:dyDescent="0.25">
      <c r="A2863" t="s">
        <v>179</v>
      </c>
      <c r="B2863" t="s">
        <v>249</v>
      </c>
      <c r="C2863">
        <v>2024</v>
      </c>
      <c r="D2863">
        <v>185.5</v>
      </c>
      <c r="E2863">
        <v>185.5</v>
      </c>
      <c r="F2863" t="str">
        <f t="shared" si="44"/>
        <v>solar pv</v>
      </c>
    </row>
    <row r="2864" spans="1:6" x14ac:dyDescent="0.25">
      <c r="A2864" t="s">
        <v>179</v>
      </c>
      <c r="B2864" t="s">
        <v>249</v>
      </c>
      <c r="C2864">
        <v>2025</v>
      </c>
      <c r="D2864">
        <v>254.4</v>
      </c>
      <c r="E2864">
        <v>254.4</v>
      </c>
      <c r="F2864" t="str">
        <f t="shared" si="44"/>
        <v>solar pv</v>
      </c>
    </row>
    <row r="2865" spans="1:6" x14ac:dyDescent="0.25">
      <c r="A2865" t="s">
        <v>181</v>
      </c>
      <c r="B2865" t="s">
        <v>90</v>
      </c>
      <c r="C2865">
        <v>1990</v>
      </c>
      <c r="D2865">
        <v>13.6</v>
      </c>
      <c r="E2865">
        <v>15.2</v>
      </c>
      <c r="F2865" t="str">
        <f t="shared" si="44"/>
        <v>biomass</v>
      </c>
    </row>
    <row r="2866" spans="1:6" x14ac:dyDescent="0.25">
      <c r="A2866" t="s">
        <v>181</v>
      </c>
      <c r="B2866" t="s">
        <v>90</v>
      </c>
      <c r="C2866">
        <v>1997</v>
      </c>
      <c r="D2866">
        <v>1.7</v>
      </c>
      <c r="E2866">
        <v>1.9</v>
      </c>
      <c r="F2866" t="str">
        <f t="shared" si="44"/>
        <v>biomass</v>
      </c>
    </row>
    <row r="2867" spans="1:6" x14ac:dyDescent="0.25">
      <c r="A2867" t="s">
        <v>181</v>
      </c>
      <c r="B2867" t="s">
        <v>90</v>
      </c>
      <c r="C2867">
        <v>2004</v>
      </c>
      <c r="D2867">
        <v>2.4</v>
      </c>
      <c r="E2867">
        <v>2.6</v>
      </c>
      <c r="F2867" t="str">
        <f t="shared" si="44"/>
        <v>biomass</v>
      </c>
    </row>
    <row r="2868" spans="1:6" x14ac:dyDescent="0.25">
      <c r="A2868" t="s">
        <v>181</v>
      </c>
      <c r="B2868" t="s">
        <v>90</v>
      </c>
      <c r="C2868">
        <v>2005</v>
      </c>
      <c r="D2868">
        <v>6</v>
      </c>
      <c r="E2868">
        <v>6.4</v>
      </c>
      <c r="F2868" t="str">
        <f t="shared" si="44"/>
        <v>biomass</v>
      </c>
    </row>
    <row r="2869" spans="1:6" x14ac:dyDescent="0.25">
      <c r="A2869" t="s">
        <v>181</v>
      </c>
      <c r="B2869" t="s">
        <v>90</v>
      </c>
      <c r="C2869">
        <v>2013</v>
      </c>
      <c r="D2869">
        <v>30.9</v>
      </c>
      <c r="E2869">
        <v>35.700000000000003</v>
      </c>
      <c r="F2869" t="str">
        <f t="shared" si="44"/>
        <v>biomass</v>
      </c>
    </row>
    <row r="2870" spans="1:6" x14ac:dyDescent="0.25">
      <c r="A2870" t="s">
        <v>181</v>
      </c>
      <c r="B2870" t="s">
        <v>90</v>
      </c>
      <c r="C2870">
        <v>2017</v>
      </c>
      <c r="D2870">
        <v>3.2</v>
      </c>
      <c r="E2870">
        <v>3.2</v>
      </c>
      <c r="F2870" t="str">
        <f t="shared" si="44"/>
        <v>biomass</v>
      </c>
    </row>
    <row r="2871" spans="1:6" x14ac:dyDescent="0.25">
      <c r="A2871" t="s">
        <v>181</v>
      </c>
      <c r="B2871" t="s">
        <v>84</v>
      </c>
      <c r="C2871">
        <v>1990</v>
      </c>
      <c r="D2871">
        <v>231.8</v>
      </c>
      <c r="E2871">
        <v>254.2</v>
      </c>
      <c r="F2871" t="str">
        <f t="shared" si="44"/>
        <v>natural gas combined cycle</v>
      </c>
    </row>
    <row r="2872" spans="1:6" x14ac:dyDescent="0.25">
      <c r="A2872" t="s">
        <v>181</v>
      </c>
      <c r="B2872" t="s">
        <v>84</v>
      </c>
      <c r="C2872">
        <v>1991</v>
      </c>
      <c r="D2872">
        <v>267.60000000000002</v>
      </c>
      <c r="E2872">
        <v>306.60000000000002</v>
      </c>
      <c r="F2872" t="str">
        <f t="shared" si="44"/>
        <v>natural gas combined cycle</v>
      </c>
    </row>
    <row r="2873" spans="1:6" x14ac:dyDescent="0.25">
      <c r="A2873" t="s">
        <v>181</v>
      </c>
      <c r="B2873" t="s">
        <v>84</v>
      </c>
      <c r="C2873">
        <v>1995</v>
      </c>
      <c r="D2873">
        <v>471</v>
      </c>
      <c r="E2873">
        <v>515</v>
      </c>
      <c r="F2873" t="str">
        <f t="shared" si="44"/>
        <v>natural gas combined cycle</v>
      </c>
    </row>
    <row r="2874" spans="1:6" x14ac:dyDescent="0.25">
      <c r="A2874" t="s">
        <v>181</v>
      </c>
      <c r="B2874" t="s">
        <v>84</v>
      </c>
      <c r="C2874">
        <v>2000</v>
      </c>
      <c r="D2874">
        <v>273</v>
      </c>
      <c r="E2874">
        <v>274.5</v>
      </c>
      <c r="F2874" t="str">
        <f t="shared" si="44"/>
        <v>natural gas combined cycle</v>
      </c>
    </row>
    <row r="2875" spans="1:6" x14ac:dyDescent="0.25">
      <c r="A2875" t="s">
        <v>181</v>
      </c>
      <c r="B2875" t="s">
        <v>84</v>
      </c>
      <c r="C2875">
        <v>2002</v>
      </c>
      <c r="D2875">
        <v>554</v>
      </c>
      <c r="E2875">
        <v>596</v>
      </c>
      <c r="F2875" t="str">
        <f t="shared" si="44"/>
        <v>natural gas combined cycle</v>
      </c>
    </row>
    <row r="2876" spans="1:6" x14ac:dyDescent="0.25">
      <c r="A2876" t="s">
        <v>181</v>
      </c>
      <c r="B2876" t="s">
        <v>93</v>
      </c>
      <c r="C2876">
        <v>2003</v>
      </c>
      <c r="D2876">
        <v>6.8</v>
      </c>
      <c r="E2876">
        <v>7.5</v>
      </c>
      <c r="F2876" t="str">
        <f t="shared" si="44"/>
        <v>natural gas peaker</v>
      </c>
    </row>
    <row r="2877" spans="1:6" x14ac:dyDescent="0.25">
      <c r="A2877" t="s">
        <v>181</v>
      </c>
      <c r="B2877" t="s">
        <v>93</v>
      </c>
      <c r="C2877">
        <v>2004</v>
      </c>
      <c r="D2877">
        <v>5.6</v>
      </c>
      <c r="E2877">
        <v>7</v>
      </c>
      <c r="F2877" t="str">
        <f t="shared" si="44"/>
        <v>natural gas peaker</v>
      </c>
    </row>
    <row r="2878" spans="1:6" x14ac:dyDescent="0.25">
      <c r="A2878" t="s">
        <v>181</v>
      </c>
      <c r="B2878" t="s">
        <v>93</v>
      </c>
      <c r="C2878">
        <v>2014</v>
      </c>
      <c r="D2878">
        <v>12.5</v>
      </c>
      <c r="E2878">
        <v>12.5</v>
      </c>
      <c r="F2878" t="str">
        <f t="shared" si="44"/>
        <v>natural gas peaker</v>
      </c>
    </row>
    <row r="2879" spans="1:6" x14ac:dyDescent="0.25">
      <c r="A2879" t="s">
        <v>181</v>
      </c>
      <c r="B2879" t="s">
        <v>93</v>
      </c>
      <c r="C2879">
        <v>2015</v>
      </c>
      <c r="D2879">
        <v>2</v>
      </c>
      <c r="E2879">
        <v>2</v>
      </c>
      <c r="F2879" t="str">
        <f t="shared" si="44"/>
        <v>natural gas peaker</v>
      </c>
    </row>
    <row r="2880" spans="1:6" x14ac:dyDescent="0.25">
      <c r="A2880" t="s">
        <v>181</v>
      </c>
      <c r="B2880" t="s">
        <v>83</v>
      </c>
      <c r="C2880">
        <v>1993</v>
      </c>
      <c r="D2880">
        <v>7</v>
      </c>
      <c r="E2880">
        <v>7</v>
      </c>
      <c r="F2880" t="str">
        <f t="shared" si="44"/>
        <v>natural gas steam turbine</v>
      </c>
    </row>
    <row r="2881" spans="1:6" x14ac:dyDescent="0.25">
      <c r="A2881" t="s">
        <v>181</v>
      </c>
      <c r="B2881" t="s">
        <v>95</v>
      </c>
      <c r="C2881">
        <v>2016</v>
      </c>
      <c r="D2881">
        <v>29.3</v>
      </c>
      <c r="E2881">
        <v>30</v>
      </c>
      <c r="F2881" t="str">
        <f t="shared" si="44"/>
        <v>offshore wind</v>
      </c>
    </row>
    <row r="2882" spans="1:6" x14ac:dyDescent="0.25">
      <c r="A2882" t="s">
        <v>181</v>
      </c>
      <c r="B2882" t="s">
        <v>87</v>
      </c>
      <c r="C2882">
        <v>2012</v>
      </c>
      <c r="D2882">
        <v>6</v>
      </c>
      <c r="E2882">
        <v>6</v>
      </c>
      <c r="F2882" t="str">
        <f t="shared" ref="F2882:F2945" si="45">LOWER($B2882)</f>
        <v>onshore wind</v>
      </c>
    </row>
    <row r="2883" spans="1:6" x14ac:dyDescent="0.25">
      <c r="A2883" t="s">
        <v>181</v>
      </c>
      <c r="B2883" t="s">
        <v>87</v>
      </c>
      <c r="C2883">
        <v>2016</v>
      </c>
      <c r="D2883">
        <v>15</v>
      </c>
      <c r="E2883">
        <v>15</v>
      </c>
      <c r="F2883" t="str">
        <f t="shared" si="45"/>
        <v>onshore wind</v>
      </c>
    </row>
    <row r="2884" spans="1:6" x14ac:dyDescent="0.25">
      <c r="A2884" t="s">
        <v>181</v>
      </c>
      <c r="B2884" t="s">
        <v>87</v>
      </c>
      <c r="C2884">
        <v>2017</v>
      </c>
      <c r="D2884">
        <v>1.5</v>
      </c>
      <c r="E2884">
        <v>1.5</v>
      </c>
      <c r="F2884" t="str">
        <f t="shared" si="45"/>
        <v>onshore wind</v>
      </c>
    </row>
    <row r="2885" spans="1:6" x14ac:dyDescent="0.25">
      <c r="A2885" t="s">
        <v>181</v>
      </c>
      <c r="B2885" t="s">
        <v>87</v>
      </c>
      <c r="C2885">
        <v>2019</v>
      </c>
      <c r="D2885">
        <v>21</v>
      </c>
      <c r="E2885">
        <v>21</v>
      </c>
      <c r="F2885" t="str">
        <f t="shared" si="45"/>
        <v>onshore wind</v>
      </c>
    </row>
    <row r="2886" spans="1:6" x14ac:dyDescent="0.25">
      <c r="A2886" t="s">
        <v>181</v>
      </c>
      <c r="B2886" t="s">
        <v>87</v>
      </c>
      <c r="C2886">
        <v>2021</v>
      </c>
      <c r="D2886">
        <v>4.5</v>
      </c>
      <c r="E2886">
        <v>4.5</v>
      </c>
      <c r="F2886" t="str">
        <f t="shared" si="45"/>
        <v>onshore wind</v>
      </c>
    </row>
    <row r="2887" spans="1:6" x14ac:dyDescent="0.25">
      <c r="A2887" t="s">
        <v>181</v>
      </c>
      <c r="B2887" t="s">
        <v>92</v>
      </c>
      <c r="C2887">
        <v>1993</v>
      </c>
      <c r="D2887">
        <v>1</v>
      </c>
      <c r="E2887">
        <v>1.1000000000000001</v>
      </c>
      <c r="F2887" t="str">
        <f t="shared" si="45"/>
        <v>petroleum</v>
      </c>
    </row>
    <row r="2888" spans="1:6" x14ac:dyDescent="0.25">
      <c r="A2888" t="s">
        <v>181</v>
      </c>
      <c r="B2888" t="s">
        <v>92</v>
      </c>
      <c r="C2888">
        <v>1997</v>
      </c>
      <c r="D2888">
        <v>1.5</v>
      </c>
      <c r="E2888">
        <v>1.6</v>
      </c>
      <c r="F2888" t="str">
        <f t="shared" si="45"/>
        <v>petroleum</v>
      </c>
    </row>
    <row r="2889" spans="1:6" x14ac:dyDescent="0.25">
      <c r="A2889" t="s">
        <v>181</v>
      </c>
      <c r="B2889" t="s">
        <v>92</v>
      </c>
      <c r="C2889">
        <v>1999</v>
      </c>
      <c r="D2889">
        <v>1.2</v>
      </c>
      <c r="E2889">
        <v>1.3</v>
      </c>
      <c r="F2889" t="str">
        <f t="shared" si="45"/>
        <v>petroleum</v>
      </c>
    </row>
    <row r="2890" spans="1:6" x14ac:dyDescent="0.25">
      <c r="A2890" t="s">
        <v>181</v>
      </c>
      <c r="B2890" t="s">
        <v>92</v>
      </c>
      <c r="C2890">
        <v>2001</v>
      </c>
      <c r="D2890">
        <v>1.2</v>
      </c>
      <c r="E2890">
        <v>1.2</v>
      </c>
      <c r="F2890" t="str">
        <f t="shared" si="45"/>
        <v>petroleum</v>
      </c>
    </row>
    <row r="2891" spans="1:6" x14ac:dyDescent="0.25">
      <c r="A2891" t="s">
        <v>181</v>
      </c>
      <c r="B2891" t="s">
        <v>92</v>
      </c>
      <c r="C2891">
        <v>2002</v>
      </c>
      <c r="D2891">
        <v>1.6</v>
      </c>
      <c r="E2891">
        <v>1.6</v>
      </c>
      <c r="F2891" t="str">
        <f t="shared" si="45"/>
        <v>petroleum</v>
      </c>
    </row>
    <row r="2892" spans="1:6" x14ac:dyDescent="0.25">
      <c r="A2892" t="s">
        <v>181</v>
      </c>
      <c r="B2892" t="s">
        <v>92</v>
      </c>
      <c r="C2892">
        <v>2006</v>
      </c>
      <c r="D2892">
        <v>1.8</v>
      </c>
      <c r="E2892">
        <v>1.8</v>
      </c>
      <c r="F2892" t="str">
        <f t="shared" si="45"/>
        <v>petroleum</v>
      </c>
    </row>
    <row r="2893" spans="1:6" x14ac:dyDescent="0.25">
      <c r="A2893" t="s">
        <v>181</v>
      </c>
      <c r="B2893" t="s">
        <v>92</v>
      </c>
      <c r="C2893">
        <v>2012</v>
      </c>
      <c r="D2893">
        <v>1.8</v>
      </c>
      <c r="E2893">
        <v>1.8</v>
      </c>
      <c r="F2893" t="str">
        <f t="shared" si="45"/>
        <v>petroleum</v>
      </c>
    </row>
    <row r="2894" spans="1:6" x14ac:dyDescent="0.25">
      <c r="A2894" t="s">
        <v>181</v>
      </c>
      <c r="B2894" t="s">
        <v>92</v>
      </c>
      <c r="C2894">
        <v>2018</v>
      </c>
      <c r="D2894">
        <v>2.5</v>
      </c>
      <c r="E2894">
        <v>2.5</v>
      </c>
      <c r="F2894" t="str">
        <f t="shared" si="45"/>
        <v>petroleum</v>
      </c>
    </row>
    <row r="2895" spans="1:6" x14ac:dyDescent="0.25">
      <c r="A2895" t="s">
        <v>181</v>
      </c>
      <c r="B2895" t="s">
        <v>249</v>
      </c>
      <c r="C2895">
        <v>2013</v>
      </c>
      <c r="D2895">
        <v>6.9</v>
      </c>
      <c r="E2895">
        <v>6.9</v>
      </c>
      <c r="F2895" t="str">
        <f t="shared" si="45"/>
        <v>solar pv</v>
      </c>
    </row>
    <row r="2896" spans="1:6" x14ac:dyDescent="0.25">
      <c r="A2896" t="s">
        <v>181</v>
      </c>
      <c r="B2896" t="s">
        <v>249</v>
      </c>
      <c r="C2896">
        <v>2014</v>
      </c>
      <c r="D2896">
        <v>1.3</v>
      </c>
      <c r="E2896">
        <v>1.3</v>
      </c>
      <c r="F2896" t="str">
        <f t="shared" si="45"/>
        <v>solar pv</v>
      </c>
    </row>
    <row r="2897" spans="1:6" x14ac:dyDescent="0.25">
      <c r="A2897" t="s">
        <v>181</v>
      </c>
      <c r="B2897" t="s">
        <v>249</v>
      </c>
      <c r="C2897">
        <v>2015</v>
      </c>
      <c r="D2897">
        <v>2.4</v>
      </c>
      <c r="E2897">
        <v>2.4</v>
      </c>
      <c r="F2897" t="str">
        <f t="shared" si="45"/>
        <v>solar pv</v>
      </c>
    </row>
    <row r="2898" spans="1:6" x14ac:dyDescent="0.25">
      <c r="A2898" t="s">
        <v>181</v>
      </c>
      <c r="B2898" t="s">
        <v>249</v>
      </c>
      <c r="C2898">
        <v>2016</v>
      </c>
      <c r="D2898">
        <v>1.1000000000000001</v>
      </c>
      <c r="E2898">
        <v>1.2</v>
      </c>
      <c r="F2898" t="str">
        <f t="shared" si="45"/>
        <v>solar pv</v>
      </c>
    </row>
    <row r="2899" spans="1:6" x14ac:dyDescent="0.25">
      <c r="A2899" t="s">
        <v>181</v>
      </c>
      <c r="B2899" t="s">
        <v>249</v>
      </c>
      <c r="C2899">
        <v>2017</v>
      </c>
      <c r="D2899">
        <v>8.5</v>
      </c>
      <c r="E2899">
        <v>8.5</v>
      </c>
      <c r="F2899" t="str">
        <f t="shared" si="45"/>
        <v>solar pv</v>
      </c>
    </row>
    <row r="2900" spans="1:6" x14ac:dyDescent="0.25">
      <c r="A2900" t="s">
        <v>181</v>
      </c>
      <c r="B2900" t="s">
        <v>249</v>
      </c>
      <c r="C2900">
        <v>2018</v>
      </c>
      <c r="D2900">
        <v>22.4</v>
      </c>
      <c r="E2900">
        <v>22.4</v>
      </c>
      <c r="F2900" t="str">
        <f t="shared" si="45"/>
        <v>solar pv</v>
      </c>
    </row>
    <row r="2901" spans="1:6" x14ac:dyDescent="0.25">
      <c r="A2901" t="s">
        <v>181</v>
      </c>
      <c r="B2901" t="s">
        <v>249</v>
      </c>
      <c r="C2901">
        <v>2019</v>
      </c>
      <c r="D2901">
        <v>76.099999999999994</v>
      </c>
      <c r="E2901">
        <v>76.099999999999994</v>
      </c>
      <c r="F2901" t="str">
        <f t="shared" si="45"/>
        <v>solar pv</v>
      </c>
    </row>
    <row r="2902" spans="1:6" x14ac:dyDescent="0.25">
      <c r="A2902" t="s">
        <v>181</v>
      </c>
      <c r="B2902" t="s">
        <v>249</v>
      </c>
      <c r="C2902">
        <v>2020</v>
      </c>
      <c r="D2902">
        <v>57.1</v>
      </c>
      <c r="E2902">
        <v>57.1</v>
      </c>
      <c r="F2902" t="str">
        <f t="shared" si="45"/>
        <v>solar pv</v>
      </c>
    </row>
    <row r="2903" spans="1:6" x14ac:dyDescent="0.25">
      <c r="A2903" t="s">
        <v>181</v>
      </c>
      <c r="B2903" t="s">
        <v>249</v>
      </c>
      <c r="C2903">
        <v>2021</v>
      </c>
      <c r="D2903">
        <v>55.2</v>
      </c>
      <c r="E2903">
        <v>55.2</v>
      </c>
      <c r="F2903" t="str">
        <f t="shared" si="45"/>
        <v>solar pv</v>
      </c>
    </row>
    <row r="2904" spans="1:6" x14ac:dyDescent="0.25">
      <c r="A2904" t="s">
        <v>181</v>
      </c>
      <c r="B2904" t="s">
        <v>249</v>
      </c>
      <c r="C2904">
        <v>2022</v>
      </c>
      <c r="D2904">
        <v>57.1</v>
      </c>
      <c r="E2904">
        <v>57.1</v>
      </c>
      <c r="F2904" t="str">
        <f t="shared" si="45"/>
        <v>solar pv</v>
      </c>
    </row>
    <row r="2905" spans="1:6" x14ac:dyDescent="0.25">
      <c r="A2905" t="s">
        <v>181</v>
      </c>
      <c r="B2905" t="s">
        <v>249</v>
      </c>
      <c r="C2905">
        <v>2023</v>
      </c>
      <c r="D2905">
        <v>105.2</v>
      </c>
      <c r="E2905">
        <v>105.3</v>
      </c>
      <c r="F2905" t="str">
        <f t="shared" si="45"/>
        <v>solar pv</v>
      </c>
    </row>
    <row r="2906" spans="1:6" x14ac:dyDescent="0.25">
      <c r="A2906" t="s">
        <v>181</v>
      </c>
      <c r="B2906" t="s">
        <v>249</v>
      </c>
      <c r="C2906">
        <v>2024</v>
      </c>
      <c r="D2906">
        <v>33.200000000000003</v>
      </c>
      <c r="E2906">
        <v>33.200000000000003</v>
      </c>
      <c r="F2906" t="str">
        <f t="shared" si="45"/>
        <v>solar pv</v>
      </c>
    </row>
    <row r="2907" spans="1:6" x14ac:dyDescent="0.25">
      <c r="A2907" t="s">
        <v>181</v>
      </c>
      <c r="B2907" t="s">
        <v>249</v>
      </c>
      <c r="C2907">
        <v>2025</v>
      </c>
      <c r="D2907">
        <v>12.8</v>
      </c>
      <c r="E2907">
        <v>12.8</v>
      </c>
      <c r="F2907" t="str">
        <f t="shared" si="45"/>
        <v>solar pv</v>
      </c>
    </row>
    <row r="2908" spans="1:6" x14ac:dyDescent="0.25">
      <c r="A2908" t="s">
        <v>183</v>
      </c>
      <c r="B2908" t="s">
        <v>90</v>
      </c>
      <c r="C2908">
        <v>1991</v>
      </c>
      <c r="D2908">
        <v>57</v>
      </c>
      <c r="E2908">
        <v>61.2</v>
      </c>
      <c r="F2908" t="str">
        <f t="shared" si="45"/>
        <v>biomass</v>
      </c>
    </row>
    <row r="2909" spans="1:6" x14ac:dyDescent="0.25">
      <c r="A2909" t="s">
        <v>183</v>
      </c>
      <c r="B2909" t="s">
        <v>90</v>
      </c>
      <c r="C2909">
        <v>2001</v>
      </c>
      <c r="D2909">
        <v>2.2000000000000002</v>
      </c>
      <c r="E2909">
        <v>2.8</v>
      </c>
      <c r="F2909" t="str">
        <f t="shared" si="45"/>
        <v>biomass</v>
      </c>
    </row>
    <row r="2910" spans="1:6" x14ac:dyDescent="0.25">
      <c r="A2910" t="s">
        <v>183</v>
      </c>
      <c r="B2910" t="s">
        <v>90</v>
      </c>
      <c r="C2910">
        <v>2003</v>
      </c>
      <c r="D2910">
        <v>1.1000000000000001</v>
      </c>
      <c r="E2910">
        <v>1.4</v>
      </c>
      <c r="F2910" t="str">
        <f t="shared" si="45"/>
        <v>biomass</v>
      </c>
    </row>
    <row r="2911" spans="1:6" x14ac:dyDescent="0.25">
      <c r="A2911" t="s">
        <v>183</v>
      </c>
      <c r="B2911" t="s">
        <v>90</v>
      </c>
      <c r="C2911">
        <v>2005</v>
      </c>
      <c r="D2911">
        <v>5.4</v>
      </c>
      <c r="E2911">
        <v>5.7</v>
      </c>
      <c r="F2911" t="str">
        <f t="shared" si="45"/>
        <v>biomass</v>
      </c>
    </row>
    <row r="2912" spans="1:6" x14ac:dyDescent="0.25">
      <c r="A2912" t="s">
        <v>183</v>
      </c>
      <c r="B2912" t="s">
        <v>90</v>
      </c>
      <c r="C2912">
        <v>2006</v>
      </c>
      <c r="D2912">
        <v>10.4</v>
      </c>
      <c r="E2912">
        <v>11.2</v>
      </c>
      <c r="F2912" t="str">
        <f t="shared" si="45"/>
        <v>biomass</v>
      </c>
    </row>
    <row r="2913" spans="1:6" x14ac:dyDescent="0.25">
      <c r="A2913" t="s">
        <v>183</v>
      </c>
      <c r="B2913" t="s">
        <v>90</v>
      </c>
      <c r="C2913">
        <v>2008</v>
      </c>
      <c r="D2913">
        <v>3</v>
      </c>
      <c r="E2913">
        <v>3.2</v>
      </c>
      <c r="F2913" t="str">
        <f t="shared" si="45"/>
        <v>biomass</v>
      </c>
    </row>
    <row r="2914" spans="1:6" x14ac:dyDescent="0.25">
      <c r="A2914" t="s">
        <v>183</v>
      </c>
      <c r="B2914" t="s">
        <v>90</v>
      </c>
      <c r="C2914">
        <v>2009</v>
      </c>
      <c r="D2914">
        <v>10</v>
      </c>
      <c r="E2914">
        <v>11</v>
      </c>
      <c r="F2914" t="str">
        <f t="shared" si="45"/>
        <v>biomass</v>
      </c>
    </row>
    <row r="2915" spans="1:6" x14ac:dyDescent="0.25">
      <c r="A2915" t="s">
        <v>183</v>
      </c>
      <c r="B2915" t="s">
        <v>90</v>
      </c>
      <c r="C2915">
        <v>2010</v>
      </c>
      <c r="D2915">
        <v>38.200000000000003</v>
      </c>
      <c r="E2915">
        <v>55.9</v>
      </c>
      <c r="F2915" t="str">
        <f t="shared" si="45"/>
        <v>biomass</v>
      </c>
    </row>
    <row r="2916" spans="1:6" x14ac:dyDescent="0.25">
      <c r="A2916" t="s">
        <v>183</v>
      </c>
      <c r="B2916" t="s">
        <v>90</v>
      </c>
      <c r="C2916">
        <v>2011</v>
      </c>
      <c r="D2916">
        <v>4.5999999999999996</v>
      </c>
      <c r="E2916">
        <v>4.8</v>
      </c>
      <c r="F2916" t="str">
        <f t="shared" si="45"/>
        <v>biomass</v>
      </c>
    </row>
    <row r="2917" spans="1:6" x14ac:dyDescent="0.25">
      <c r="A2917" t="s">
        <v>183</v>
      </c>
      <c r="B2917" t="s">
        <v>90</v>
      </c>
      <c r="C2917">
        <v>2012</v>
      </c>
      <c r="D2917">
        <v>19</v>
      </c>
      <c r="E2917">
        <v>20.8</v>
      </c>
      <c r="F2917" t="str">
        <f t="shared" si="45"/>
        <v>biomass</v>
      </c>
    </row>
    <row r="2918" spans="1:6" x14ac:dyDescent="0.25">
      <c r="A2918" t="s">
        <v>183</v>
      </c>
      <c r="B2918" t="s">
        <v>90</v>
      </c>
      <c r="C2918">
        <v>2013</v>
      </c>
      <c r="D2918">
        <v>39</v>
      </c>
      <c r="E2918">
        <v>45</v>
      </c>
      <c r="F2918" t="str">
        <f t="shared" si="45"/>
        <v>biomass</v>
      </c>
    </row>
    <row r="2919" spans="1:6" x14ac:dyDescent="0.25">
      <c r="A2919" t="s">
        <v>183</v>
      </c>
      <c r="B2919" t="s">
        <v>90</v>
      </c>
      <c r="C2919">
        <v>2015</v>
      </c>
      <c r="D2919">
        <v>2.4</v>
      </c>
      <c r="E2919">
        <v>3.2</v>
      </c>
      <c r="F2919" t="str">
        <f t="shared" si="45"/>
        <v>biomass</v>
      </c>
    </row>
    <row r="2920" spans="1:6" x14ac:dyDescent="0.25">
      <c r="A2920" t="s">
        <v>183</v>
      </c>
      <c r="B2920" t="s">
        <v>81</v>
      </c>
      <c r="C2920">
        <v>1995</v>
      </c>
      <c r="D2920">
        <v>580</v>
      </c>
      <c r="E2920">
        <v>591.4</v>
      </c>
      <c r="F2920" t="str">
        <f t="shared" si="45"/>
        <v>hard coal</v>
      </c>
    </row>
    <row r="2921" spans="1:6" x14ac:dyDescent="0.25">
      <c r="A2921" t="s">
        <v>183</v>
      </c>
      <c r="B2921" t="s">
        <v>81</v>
      </c>
      <c r="C2921">
        <v>2007</v>
      </c>
      <c r="D2921">
        <v>585</v>
      </c>
      <c r="E2921">
        <v>652</v>
      </c>
      <c r="F2921" t="str">
        <f t="shared" si="45"/>
        <v>hard coal</v>
      </c>
    </row>
    <row r="2922" spans="1:6" x14ac:dyDescent="0.25">
      <c r="A2922" t="s">
        <v>183</v>
      </c>
      <c r="B2922" t="s">
        <v>81</v>
      </c>
      <c r="C2922">
        <v>2008</v>
      </c>
      <c r="D2922">
        <v>605</v>
      </c>
      <c r="E2922">
        <v>652</v>
      </c>
      <c r="F2922" t="str">
        <f t="shared" si="45"/>
        <v>hard coal</v>
      </c>
    </row>
    <row r="2923" spans="1:6" x14ac:dyDescent="0.25">
      <c r="A2923" t="s">
        <v>183</v>
      </c>
      <c r="B2923" t="s">
        <v>86</v>
      </c>
      <c r="C2923">
        <v>1996</v>
      </c>
      <c r="D2923">
        <v>8.6</v>
      </c>
      <c r="E2923">
        <v>7.8</v>
      </c>
      <c r="F2923" t="str">
        <f t="shared" si="45"/>
        <v>hydro</v>
      </c>
    </row>
    <row r="2924" spans="1:6" x14ac:dyDescent="0.25">
      <c r="A2924" t="s">
        <v>183</v>
      </c>
      <c r="B2924" t="s">
        <v>86</v>
      </c>
      <c r="C2924">
        <v>2013</v>
      </c>
      <c r="D2924">
        <v>1.1000000000000001</v>
      </c>
      <c r="E2924">
        <v>1.1000000000000001</v>
      </c>
      <c r="F2924" t="str">
        <f t="shared" si="45"/>
        <v>hydro</v>
      </c>
    </row>
    <row r="2925" spans="1:6" x14ac:dyDescent="0.25">
      <c r="A2925" t="s">
        <v>183</v>
      </c>
      <c r="B2925" t="s">
        <v>84</v>
      </c>
      <c r="C2925">
        <v>1998</v>
      </c>
      <c r="D2925">
        <v>86</v>
      </c>
      <c r="E2925">
        <v>117.7</v>
      </c>
      <c r="F2925" t="str">
        <f t="shared" si="45"/>
        <v>natural gas combined cycle</v>
      </c>
    </row>
    <row r="2926" spans="1:6" x14ac:dyDescent="0.25">
      <c r="A2926" t="s">
        <v>183</v>
      </c>
      <c r="B2926" t="s">
        <v>84</v>
      </c>
      <c r="C2926">
        <v>2001</v>
      </c>
      <c r="D2926">
        <v>460</v>
      </c>
      <c r="E2926">
        <v>544.6</v>
      </c>
      <c r="F2926" t="str">
        <f t="shared" si="45"/>
        <v>natural gas combined cycle</v>
      </c>
    </row>
    <row r="2927" spans="1:6" x14ac:dyDescent="0.25">
      <c r="A2927" t="s">
        <v>183</v>
      </c>
      <c r="B2927" t="s">
        <v>84</v>
      </c>
      <c r="C2927">
        <v>2002</v>
      </c>
      <c r="D2927">
        <v>330</v>
      </c>
      <c r="E2927">
        <v>397.8</v>
      </c>
      <c r="F2927" t="str">
        <f t="shared" si="45"/>
        <v>natural gas combined cycle</v>
      </c>
    </row>
    <row r="2928" spans="1:6" x14ac:dyDescent="0.25">
      <c r="A2928" t="s">
        <v>183</v>
      </c>
      <c r="B2928" t="s">
        <v>84</v>
      </c>
      <c r="C2928">
        <v>2004</v>
      </c>
      <c r="D2928">
        <v>1507</v>
      </c>
      <c r="E2928">
        <v>1736.7</v>
      </c>
      <c r="F2928" t="str">
        <f t="shared" si="45"/>
        <v>natural gas combined cycle</v>
      </c>
    </row>
    <row r="2929" spans="1:6" x14ac:dyDescent="0.25">
      <c r="A2929" t="s">
        <v>183</v>
      </c>
      <c r="B2929" t="s">
        <v>84</v>
      </c>
      <c r="C2929">
        <v>2018</v>
      </c>
      <c r="D2929">
        <v>760</v>
      </c>
      <c r="E2929">
        <v>846.7</v>
      </c>
      <c r="F2929" t="str">
        <f t="shared" si="45"/>
        <v>natural gas combined cycle</v>
      </c>
    </row>
    <row r="2930" spans="1:6" x14ac:dyDescent="0.25">
      <c r="A2930" t="s">
        <v>183</v>
      </c>
      <c r="B2930" t="s">
        <v>93</v>
      </c>
      <c r="C2930">
        <v>1991</v>
      </c>
      <c r="D2930">
        <v>88</v>
      </c>
      <c r="E2930">
        <v>122</v>
      </c>
      <c r="F2930" t="str">
        <f t="shared" si="45"/>
        <v>natural gas peaker</v>
      </c>
    </row>
    <row r="2931" spans="1:6" x14ac:dyDescent="0.25">
      <c r="A2931" t="s">
        <v>183</v>
      </c>
      <c r="B2931" t="s">
        <v>93</v>
      </c>
      <c r="C2931">
        <v>1994</v>
      </c>
      <c r="D2931">
        <v>8.4</v>
      </c>
      <c r="E2931">
        <v>9.6</v>
      </c>
      <c r="F2931" t="str">
        <f t="shared" si="45"/>
        <v>natural gas peaker</v>
      </c>
    </row>
    <row r="2932" spans="1:6" x14ac:dyDescent="0.25">
      <c r="A2932" t="s">
        <v>183</v>
      </c>
      <c r="B2932" t="s">
        <v>93</v>
      </c>
      <c r="C2932">
        <v>1997</v>
      </c>
      <c r="D2932">
        <v>230</v>
      </c>
      <c r="E2932">
        <v>316</v>
      </c>
      <c r="F2932" t="str">
        <f t="shared" si="45"/>
        <v>natural gas peaker</v>
      </c>
    </row>
    <row r="2933" spans="1:6" x14ac:dyDescent="0.25">
      <c r="A2933" t="s">
        <v>183</v>
      </c>
      <c r="B2933" t="s">
        <v>93</v>
      </c>
      <c r="C2933">
        <v>1999</v>
      </c>
      <c r="D2933">
        <v>48</v>
      </c>
      <c r="E2933">
        <v>58.9</v>
      </c>
      <c r="F2933" t="str">
        <f t="shared" si="45"/>
        <v>natural gas peaker</v>
      </c>
    </row>
    <row r="2934" spans="1:6" x14ac:dyDescent="0.25">
      <c r="A2934" t="s">
        <v>183</v>
      </c>
      <c r="B2934" t="s">
        <v>93</v>
      </c>
      <c r="C2934">
        <v>2000</v>
      </c>
      <c r="D2934">
        <v>524.25</v>
      </c>
      <c r="E2934">
        <v>601</v>
      </c>
      <c r="F2934" t="str">
        <f t="shared" si="45"/>
        <v>natural gas peaker</v>
      </c>
    </row>
    <row r="2935" spans="1:6" x14ac:dyDescent="0.25">
      <c r="A2935" t="s">
        <v>183</v>
      </c>
      <c r="B2935" t="s">
        <v>93</v>
      </c>
      <c r="C2935">
        <v>2001</v>
      </c>
      <c r="D2935">
        <v>346.46</v>
      </c>
      <c r="E2935">
        <v>394</v>
      </c>
      <c r="F2935" t="str">
        <f t="shared" si="45"/>
        <v>natural gas peaker</v>
      </c>
    </row>
    <row r="2936" spans="1:6" x14ac:dyDescent="0.25">
      <c r="A2936" t="s">
        <v>183</v>
      </c>
      <c r="B2936" t="s">
        <v>93</v>
      </c>
      <c r="C2936">
        <v>2002</v>
      </c>
      <c r="D2936">
        <v>574</v>
      </c>
      <c r="E2936">
        <v>749.8</v>
      </c>
      <c r="F2936" t="str">
        <f t="shared" si="45"/>
        <v>natural gas peaker</v>
      </c>
    </row>
    <row r="2937" spans="1:6" x14ac:dyDescent="0.25">
      <c r="A2937" t="s">
        <v>183</v>
      </c>
      <c r="B2937" t="s">
        <v>93</v>
      </c>
      <c r="C2937">
        <v>2003</v>
      </c>
      <c r="D2937">
        <v>281</v>
      </c>
      <c r="E2937">
        <v>399.6</v>
      </c>
      <c r="F2937" t="str">
        <f t="shared" si="45"/>
        <v>natural gas peaker</v>
      </c>
    </row>
    <row r="2938" spans="1:6" x14ac:dyDescent="0.25">
      <c r="A2938" t="s">
        <v>183</v>
      </c>
      <c r="B2938" t="s">
        <v>93</v>
      </c>
      <c r="C2938">
        <v>2004</v>
      </c>
      <c r="D2938">
        <v>225</v>
      </c>
      <c r="E2938">
        <v>259.5</v>
      </c>
      <c r="F2938" t="str">
        <f t="shared" si="45"/>
        <v>natural gas peaker</v>
      </c>
    </row>
    <row r="2939" spans="1:6" x14ac:dyDescent="0.25">
      <c r="A2939" t="s">
        <v>183</v>
      </c>
      <c r="B2939" t="s">
        <v>93</v>
      </c>
      <c r="C2939">
        <v>2005</v>
      </c>
      <c r="D2939">
        <v>2</v>
      </c>
      <c r="E2939">
        <v>2</v>
      </c>
      <c r="F2939" t="str">
        <f t="shared" si="45"/>
        <v>natural gas peaker</v>
      </c>
    </row>
    <row r="2940" spans="1:6" x14ac:dyDescent="0.25">
      <c r="A2940" t="s">
        <v>183</v>
      </c>
      <c r="B2940" t="s">
        <v>93</v>
      </c>
      <c r="C2940">
        <v>2007</v>
      </c>
      <c r="D2940">
        <v>84</v>
      </c>
      <c r="E2940">
        <v>108</v>
      </c>
      <c r="F2940" t="str">
        <f t="shared" si="45"/>
        <v>natural gas peaker</v>
      </c>
    </row>
    <row r="2941" spans="1:6" x14ac:dyDescent="0.25">
      <c r="A2941" t="s">
        <v>183</v>
      </c>
      <c r="B2941" t="s">
        <v>93</v>
      </c>
      <c r="C2941">
        <v>2009</v>
      </c>
      <c r="D2941">
        <v>18</v>
      </c>
      <c r="E2941">
        <v>27.4</v>
      </c>
      <c r="F2941" t="str">
        <f t="shared" si="45"/>
        <v>natural gas peaker</v>
      </c>
    </row>
    <row r="2942" spans="1:6" x14ac:dyDescent="0.25">
      <c r="A2942" t="s">
        <v>183</v>
      </c>
      <c r="B2942" t="s">
        <v>93</v>
      </c>
      <c r="C2942">
        <v>2010</v>
      </c>
      <c r="D2942">
        <v>20</v>
      </c>
      <c r="E2942">
        <v>27.9</v>
      </c>
      <c r="F2942" t="str">
        <f t="shared" si="45"/>
        <v>natural gas peaker</v>
      </c>
    </row>
    <row r="2943" spans="1:6" x14ac:dyDescent="0.25">
      <c r="A2943" t="s">
        <v>183</v>
      </c>
      <c r="B2943" t="s">
        <v>93</v>
      </c>
      <c r="C2943">
        <v>2014</v>
      </c>
      <c r="D2943">
        <v>2</v>
      </c>
      <c r="E2943">
        <v>2</v>
      </c>
      <c r="F2943" t="str">
        <f t="shared" si="45"/>
        <v>natural gas peaker</v>
      </c>
    </row>
    <row r="2944" spans="1:6" x14ac:dyDescent="0.25">
      <c r="A2944" t="s">
        <v>183</v>
      </c>
      <c r="B2944" t="s">
        <v>93</v>
      </c>
      <c r="C2944">
        <v>2019</v>
      </c>
      <c r="D2944">
        <v>16</v>
      </c>
      <c r="E2944">
        <v>16.899999999999999</v>
      </c>
      <c r="F2944" t="str">
        <f t="shared" si="45"/>
        <v>natural gas peaker</v>
      </c>
    </row>
    <row r="2945" spans="1:6" x14ac:dyDescent="0.25">
      <c r="A2945" t="s">
        <v>183</v>
      </c>
      <c r="B2945" t="s">
        <v>93</v>
      </c>
      <c r="C2945">
        <v>2024</v>
      </c>
      <c r="D2945">
        <v>42</v>
      </c>
      <c r="E2945">
        <v>65.400000000000006</v>
      </c>
      <c r="F2945" t="str">
        <f t="shared" si="45"/>
        <v>natural gas peaker</v>
      </c>
    </row>
    <row r="2946" spans="1:6" x14ac:dyDescent="0.25">
      <c r="A2946" t="s">
        <v>183</v>
      </c>
      <c r="B2946" t="s">
        <v>93</v>
      </c>
      <c r="C2946">
        <v>2025</v>
      </c>
      <c r="D2946">
        <v>84</v>
      </c>
      <c r="E2946">
        <v>130.80000000000001</v>
      </c>
      <c r="F2946" t="str">
        <f t="shared" ref="F2946:F3009" si="46">LOWER($B2946)</f>
        <v>natural gas peaker</v>
      </c>
    </row>
    <row r="2947" spans="1:6" x14ac:dyDescent="0.25">
      <c r="A2947" t="s">
        <v>183</v>
      </c>
      <c r="B2947" t="s">
        <v>83</v>
      </c>
      <c r="C2947">
        <v>1993</v>
      </c>
      <c r="D2947">
        <v>17.5</v>
      </c>
      <c r="E2947">
        <v>19</v>
      </c>
      <c r="F2947" t="str">
        <f t="shared" si="46"/>
        <v>natural gas steam turbine</v>
      </c>
    </row>
    <row r="2948" spans="1:6" x14ac:dyDescent="0.25">
      <c r="A2948" t="s">
        <v>183</v>
      </c>
      <c r="B2948" t="s">
        <v>83</v>
      </c>
      <c r="C2948">
        <v>1996</v>
      </c>
      <c r="D2948">
        <v>415</v>
      </c>
      <c r="E2948">
        <v>417.3</v>
      </c>
      <c r="F2948" t="str">
        <f t="shared" si="46"/>
        <v>natural gas steam turbine</v>
      </c>
    </row>
    <row r="2949" spans="1:6" x14ac:dyDescent="0.25">
      <c r="A2949" t="s">
        <v>183</v>
      </c>
      <c r="B2949" t="s">
        <v>92</v>
      </c>
      <c r="C2949">
        <v>1998</v>
      </c>
      <c r="D2949">
        <v>1.6</v>
      </c>
      <c r="E2949">
        <v>1.6</v>
      </c>
      <c r="F2949" t="str">
        <f t="shared" si="46"/>
        <v>petroleum</v>
      </c>
    </row>
    <row r="2950" spans="1:6" x14ac:dyDescent="0.25">
      <c r="A2950" t="s">
        <v>183</v>
      </c>
      <c r="B2950" t="s">
        <v>92</v>
      </c>
      <c r="C2950">
        <v>2003</v>
      </c>
      <c r="D2950">
        <v>18.2</v>
      </c>
      <c r="E2950">
        <v>20.3</v>
      </c>
      <c r="F2950" t="str">
        <f t="shared" si="46"/>
        <v>petroleum</v>
      </c>
    </row>
    <row r="2951" spans="1:6" x14ac:dyDescent="0.25">
      <c r="A2951" t="s">
        <v>183</v>
      </c>
      <c r="B2951" t="s">
        <v>92</v>
      </c>
      <c r="C2951">
        <v>2004</v>
      </c>
      <c r="D2951">
        <v>9</v>
      </c>
      <c r="E2951">
        <v>10</v>
      </c>
      <c r="F2951" t="str">
        <f t="shared" si="46"/>
        <v>petroleum</v>
      </c>
    </row>
    <row r="2952" spans="1:6" x14ac:dyDescent="0.25">
      <c r="A2952" t="s">
        <v>183</v>
      </c>
      <c r="B2952" t="s">
        <v>92</v>
      </c>
      <c r="C2952">
        <v>2006</v>
      </c>
      <c r="D2952">
        <v>5.4</v>
      </c>
      <c r="E2952">
        <v>5.4</v>
      </c>
      <c r="F2952" t="str">
        <f t="shared" si="46"/>
        <v>petroleum</v>
      </c>
    </row>
    <row r="2953" spans="1:6" x14ac:dyDescent="0.25">
      <c r="A2953" t="s">
        <v>183</v>
      </c>
      <c r="B2953" t="s">
        <v>92</v>
      </c>
      <c r="C2953">
        <v>2008</v>
      </c>
      <c r="D2953">
        <v>3</v>
      </c>
      <c r="E2953">
        <v>3</v>
      </c>
      <c r="F2953" t="str">
        <f t="shared" si="46"/>
        <v>petroleum</v>
      </c>
    </row>
    <row r="2954" spans="1:6" x14ac:dyDescent="0.25">
      <c r="A2954" t="s">
        <v>183</v>
      </c>
      <c r="B2954" t="s">
        <v>92</v>
      </c>
      <c r="C2954">
        <v>2011</v>
      </c>
      <c r="D2954">
        <v>10.5</v>
      </c>
      <c r="E2954">
        <v>10.5</v>
      </c>
      <c r="F2954" t="str">
        <f t="shared" si="46"/>
        <v>petroleum</v>
      </c>
    </row>
    <row r="2955" spans="1:6" x14ac:dyDescent="0.25">
      <c r="A2955" t="s">
        <v>183</v>
      </c>
      <c r="B2955" t="s">
        <v>92</v>
      </c>
      <c r="C2955">
        <v>2013</v>
      </c>
      <c r="D2955">
        <v>1</v>
      </c>
      <c r="E2955">
        <v>1.3</v>
      </c>
      <c r="F2955" t="str">
        <f t="shared" si="46"/>
        <v>petroleum</v>
      </c>
    </row>
    <row r="2956" spans="1:6" x14ac:dyDescent="0.25">
      <c r="A2956" t="s">
        <v>183</v>
      </c>
      <c r="B2956" t="s">
        <v>92</v>
      </c>
      <c r="C2956">
        <v>2019</v>
      </c>
      <c r="D2956">
        <v>3.5</v>
      </c>
      <c r="E2956">
        <v>3.5</v>
      </c>
      <c r="F2956" t="str">
        <f t="shared" si="46"/>
        <v>petroleum</v>
      </c>
    </row>
    <row r="2957" spans="1:6" x14ac:dyDescent="0.25">
      <c r="A2957" t="s">
        <v>183</v>
      </c>
      <c r="B2957" t="s">
        <v>92</v>
      </c>
      <c r="C2957">
        <v>2025</v>
      </c>
      <c r="D2957">
        <v>2.2999999999999998</v>
      </c>
      <c r="E2957">
        <v>2.2999999999999998</v>
      </c>
      <c r="F2957" t="str">
        <f t="shared" si="46"/>
        <v>petroleum</v>
      </c>
    </row>
    <row r="2958" spans="1:6" x14ac:dyDescent="0.25">
      <c r="A2958" t="s">
        <v>183</v>
      </c>
      <c r="B2958" t="s">
        <v>249</v>
      </c>
      <c r="C2958">
        <v>2012</v>
      </c>
      <c r="D2958">
        <v>0.1</v>
      </c>
      <c r="E2958">
        <v>0.1</v>
      </c>
      <c r="F2958" t="str">
        <f t="shared" si="46"/>
        <v>solar pv</v>
      </c>
    </row>
    <row r="2959" spans="1:6" x14ac:dyDescent="0.25">
      <c r="A2959" t="s">
        <v>183</v>
      </c>
      <c r="B2959" t="s">
        <v>249</v>
      </c>
      <c r="C2959">
        <v>2013</v>
      </c>
      <c r="D2959">
        <v>2.5</v>
      </c>
      <c r="E2959">
        <v>2.5</v>
      </c>
      <c r="F2959" t="str">
        <f t="shared" si="46"/>
        <v>solar pv</v>
      </c>
    </row>
    <row r="2960" spans="1:6" x14ac:dyDescent="0.25">
      <c r="A2960" t="s">
        <v>183</v>
      </c>
      <c r="B2960" t="s">
        <v>249</v>
      </c>
      <c r="C2960">
        <v>2016</v>
      </c>
      <c r="D2960">
        <v>16.8</v>
      </c>
      <c r="E2960">
        <v>16.8</v>
      </c>
      <c r="F2960" t="str">
        <f t="shared" si="46"/>
        <v>solar pv</v>
      </c>
    </row>
    <row r="2961" spans="1:6" x14ac:dyDescent="0.25">
      <c r="A2961" t="s">
        <v>183</v>
      </c>
      <c r="B2961" t="s">
        <v>249</v>
      </c>
      <c r="C2961">
        <v>2017</v>
      </c>
      <c r="D2961">
        <v>236.3</v>
      </c>
      <c r="E2961">
        <v>236.3</v>
      </c>
      <c r="F2961" t="str">
        <f t="shared" si="46"/>
        <v>solar pv</v>
      </c>
    </row>
    <row r="2962" spans="1:6" x14ac:dyDescent="0.25">
      <c r="A2962" t="s">
        <v>183</v>
      </c>
      <c r="B2962" t="s">
        <v>249</v>
      </c>
      <c r="C2962">
        <v>2018</v>
      </c>
      <c r="D2962">
        <v>97.4</v>
      </c>
      <c r="E2962">
        <v>97.4</v>
      </c>
      <c r="F2962" t="str">
        <f t="shared" si="46"/>
        <v>solar pv</v>
      </c>
    </row>
    <row r="2963" spans="1:6" x14ac:dyDescent="0.25">
      <c r="A2963" t="s">
        <v>183</v>
      </c>
      <c r="B2963" t="s">
        <v>249</v>
      </c>
      <c r="C2963">
        <v>2019</v>
      </c>
      <c r="D2963">
        <v>305.10000000000002</v>
      </c>
      <c r="E2963">
        <v>305.10000000000002</v>
      </c>
      <c r="F2963" t="str">
        <f t="shared" si="46"/>
        <v>solar pv</v>
      </c>
    </row>
    <row r="2964" spans="1:6" x14ac:dyDescent="0.25">
      <c r="A2964" t="s">
        <v>183</v>
      </c>
      <c r="B2964" t="s">
        <v>249</v>
      </c>
      <c r="C2964">
        <v>2020</v>
      </c>
      <c r="D2964">
        <v>455.3</v>
      </c>
      <c r="E2964">
        <v>457.2</v>
      </c>
      <c r="F2964" t="str">
        <f t="shared" si="46"/>
        <v>solar pv</v>
      </c>
    </row>
    <row r="2965" spans="1:6" x14ac:dyDescent="0.25">
      <c r="A2965" t="s">
        <v>183</v>
      </c>
      <c r="B2965" t="s">
        <v>249</v>
      </c>
      <c r="C2965">
        <v>2021</v>
      </c>
      <c r="D2965">
        <v>27.5</v>
      </c>
      <c r="E2965">
        <v>27.3</v>
      </c>
      <c r="F2965" t="str">
        <f t="shared" si="46"/>
        <v>solar pv</v>
      </c>
    </row>
    <row r="2966" spans="1:6" x14ac:dyDescent="0.25">
      <c r="A2966" t="s">
        <v>183</v>
      </c>
      <c r="B2966" t="s">
        <v>249</v>
      </c>
      <c r="C2966">
        <v>2022</v>
      </c>
      <c r="D2966">
        <v>198.1</v>
      </c>
      <c r="E2966">
        <v>198.9</v>
      </c>
      <c r="F2966" t="str">
        <f t="shared" si="46"/>
        <v>solar pv</v>
      </c>
    </row>
    <row r="2967" spans="1:6" x14ac:dyDescent="0.25">
      <c r="A2967" t="s">
        <v>183</v>
      </c>
      <c r="B2967" t="s">
        <v>249</v>
      </c>
      <c r="C2967">
        <v>2023</v>
      </c>
      <c r="D2967">
        <v>222.5</v>
      </c>
      <c r="E2967">
        <v>222.5</v>
      </c>
      <c r="F2967" t="str">
        <f t="shared" si="46"/>
        <v>solar pv</v>
      </c>
    </row>
    <row r="2968" spans="1:6" x14ac:dyDescent="0.25">
      <c r="A2968" t="s">
        <v>183</v>
      </c>
      <c r="B2968" t="s">
        <v>249</v>
      </c>
      <c r="C2968">
        <v>2024</v>
      </c>
      <c r="D2968">
        <v>83.1</v>
      </c>
      <c r="E2968">
        <v>83.1</v>
      </c>
      <c r="F2968" t="str">
        <f t="shared" si="46"/>
        <v>solar pv</v>
      </c>
    </row>
    <row r="2969" spans="1:6" x14ac:dyDescent="0.25">
      <c r="A2969" t="s">
        <v>183</v>
      </c>
      <c r="B2969" t="s">
        <v>249</v>
      </c>
      <c r="C2969">
        <v>2025</v>
      </c>
      <c r="D2969">
        <v>279</v>
      </c>
      <c r="E2969">
        <v>279</v>
      </c>
      <c r="F2969" t="str">
        <f t="shared" si="46"/>
        <v>solar pv</v>
      </c>
    </row>
    <row r="2970" spans="1:6" x14ac:dyDescent="0.25">
      <c r="A2970" t="s">
        <v>185</v>
      </c>
      <c r="B2970" t="s">
        <v>90</v>
      </c>
      <c r="C2970">
        <v>2018</v>
      </c>
      <c r="D2970">
        <v>5.4</v>
      </c>
      <c r="E2970">
        <v>5.4</v>
      </c>
      <c r="F2970" t="str">
        <f t="shared" si="46"/>
        <v>biomass</v>
      </c>
    </row>
    <row r="2971" spans="1:6" x14ac:dyDescent="0.25">
      <c r="A2971" t="s">
        <v>185</v>
      </c>
      <c r="B2971" t="s">
        <v>84</v>
      </c>
      <c r="C2971">
        <v>2012</v>
      </c>
      <c r="D2971">
        <v>295</v>
      </c>
      <c r="E2971">
        <v>324</v>
      </c>
      <c r="F2971" t="str">
        <f t="shared" si="46"/>
        <v>natural gas combined cycle</v>
      </c>
    </row>
    <row r="2972" spans="1:6" x14ac:dyDescent="0.25">
      <c r="A2972" t="s">
        <v>185</v>
      </c>
      <c r="B2972" t="s">
        <v>93</v>
      </c>
      <c r="C2972">
        <v>1991</v>
      </c>
      <c r="D2972">
        <v>43.7</v>
      </c>
      <c r="E2972">
        <v>42.9</v>
      </c>
      <c r="F2972" t="str">
        <f t="shared" si="46"/>
        <v>natural gas peaker</v>
      </c>
    </row>
    <row r="2973" spans="1:6" x14ac:dyDescent="0.25">
      <c r="A2973" t="s">
        <v>185</v>
      </c>
      <c r="B2973" t="s">
        <v>93</v>
      </c>
      <c r="C2973">
        <v>1994</v>
      </c>
      <c r="D2973">
        <v>196</v>
      </c>
      <c r="E2973">
        <v>239.4</v>
      </c>
      <c r="F2973" t="str">
        <f t="shared" si="46"/>
        <v>natural gas peaker</v>
      </c>
    </row>
    <row r="2974" spans="1:6" x14ac:dyDescent="0.25">
      <c r="A2974" t="s">
        <v>185</v>
      </c>
      <c r="B2974" t="s">
        <v>93</v>
      </c>
      <c r="C2974">
        <v>2002</v>
      </c>
      <c r="D2974">
        <v>34</v>
      </c>
      <c r="E2974">
        <v>40</v>
      </c>
      <c r="F2974" t="str">
        <f t="shared" si="46"/>
        <v>natural gas peaker</v>
      </c>
    </row>
    <row r="2975" spans="1:6" x14ac:dyDescent="0.25">
      <c r="A2975" t="s">
        <v>185</v>
      </c>
      <c r="B2975" t="s">
        <v>93</v>
      </c>
      <c r="C2975">
        <v>2005</v>
      </c>
      <c r="D2975">
        <v>147</v>
      </c>
      <c r="E2975">
        <v>166.3</v>
      </c>
      <c r="F2975" t="str">
        <f t="shared" si="46"/>
        <v>natural gas peaker</v>
      </c>
    </row>
    <row r="2976" spans="1:6" x14ac:dyDescent="0.25">
      <c r="A2976" t="s">
        <v>185</v>
      </c>
      <c r="B2976" t="s">
        <v>93</v>
      </c>
      <c r="C2976">
        <v>2006</v>
      </c>
      <c r="D2976">
        <v>85</v>
      </c>
      <c r="E2976">
        <v>108.2</v>
      </c>
      <c r="F2976" t="str">
        <f t="shared" si="46"/>
        <v>natural gas peaker</v>
      </c>
    </row>
    <row r="2977" spans="1:6" x14ac:dyDescent="0.25">
      <c r="A2977" t="s">
        <v>185</v>
      </c>
      <c r="B2977" t="s">
        <v>93</v>
      </c>
      <c r="C2977">
        <v>2008</v>
      </c>
      <c r="D2977">
        <v>85</v>
      </c>
      <c r="E2977">
        <v>108.2</v>
      </c>
      <c r="F2977" t="str">
        <f t="shared" si="46"/>
        <v>natural gas peaker</v>
      </c>
    </row>
    <row r="2978" spans="1:6" x14ac:dyDescent="0.25">
      <c r="A2978" t="s">
        <v>185</v>
      </c>
      <c r="B2978" t="s">
        <v>93</v>
      </c>
      <c r="C2978">
        <v>2013</v>
      </c>
      <c r="D2978">
        <v>52</v>
      </c>
      <c r="E2978">
        <v>82.2</v>
      </c>
      <c r="F2978" t="str">
        <f t="shared" si="46"/>
        <v>natural gas peaker</v>
      </c>
    </row>
    <row r="2979" spans="1:6" x14ac:dyDescent="0.25">
      <c r="A2979" t="s">
        <v>185</v>
      </c>
      <c r="B2979" t="s">
        <v>93</v>
      </c>
      <c r="C2979">
        <v>2021</v>
      </c>
      <c r="D2979">
        <v>241.7</v>
      </c>
      <c r="E2979">
        <v>349</v>
      </c>
      <c r="F2979" t="str">
        <f t="shared" si="46"/>
        <v>natural gas peaker</v>
      </c>
    </row>
    <row r="2980" spans="1:6" x14ac:dyDescent="0.25">
      <c r="A2980" t="s">
        <v>185</v>
      </c>
      <c r="B2980" t="s">
        <v>93</v>
      </c>
      <c r="C2980">
        <v>2022</v>
      </c>
      <c r="D2980">
        <v>55.2</v>
      </c>
      <c r="E2980">
        <v>69</v>
      </c>
      <c r="F2980" t="str">
        <f t="shared" si="46"/>
        <v>natural gas peaker</v>
      </c>
    </row>
    <row r="2981" spans="1:6" x14ac:dyDescent="0.25">
      <c r="A2981" t="s">
        <v>185</v>
      </c>
      <c r="B2981" t="s">
        <v>83</v>
      </c>
      <c r="C2981">
        <v>2019</v>
      </c>
      <c r="D2981">
        <v>3.6</v>
      </c>
      <c r="E2981">
        <v>3.6</v>
      </c>
      <c r="F2981" t="str">
        <f t="shared" si="46"/>
        <v>natural gas steam turbine</v>
      </c>
    </row>
    <row r="2982" spans="1:6" x14ac:dyDescent="0.25">
      <c r="A2982" t="s">
        <v>185</v>
      </c>
      <c r="B2982" t="s">
        <v>83</v>
      </c>
      <c r="C2982">
        <v>2021</v>
      </c>
      <c r="D2982">
        <v>3.9</v>
      </c>
      <c r="E2982">
        <v>3.9</v>
      </c>
      <c r="F2982" t="str">
        <f t="shared" si="46"/>
        <v>natural gas steam turbine</v>
      </c>
    </row>
    <row r="2983" spans="1:6" x14ac:dyDescent="0.25">
      <c r="A2983" t="s">
        <v>185</v>
      </c>
      <c r="B2983" t="s">
        <v>87</v>
      </c>
      <c r="C2983">
        <v>2001</v>
      </c>
      <c r="D2983">
        <v>2.6</v>
      </c>
      <c r="E2983">
        <v>2.6</v>
      </c>
      <c r="F2983" t="str">
        <f t="shared" si="46"/>
        <v>onshore wind</v>
      </c>
    </row>
    <row r="2984" spans="1:6" x14ac:dyDescent="0.25">
      <c r="A2984" t="s">
        <v>185</v>
      </c>
      <c r="B2984" t="s">
        <v>87</v>
      </c>
      <c r="C2984">
        <v>2003</v>
      </c>
      <c r="D2984">
        <v>40.5</v>
      </c>
      <c r="E2984">
        <v>40.5</v>
      </c>
      <c r="F2984" t="str">
        <f t="shared" si="46"/>
        <v>onshore wind</v>
      </c>
    </row>
    <row r="2985" spans="1:6" x14ac:dyDescent="0.25">
      <c r="A2985" t="s">
        <v>185</v>
      </c>
      <c r="B2985" t="s">
        <v>87</v>
      </c>
      <c r="C2985">
        <v>2009</v>
      </c>
      <c r="D2985">
        <v>126.4</v>
      </c>
      <c r="E2985">
        <v>126.4</v>
      </c>
      <c r="F2985" t="str">
        <f t="shared" si="46"/>
        <v>onshore wind</v>
      </c>
    </row>
    <row r="2986" spans="1:6" x14ac:dyDescent="0.25">
      <c r="A2986" t="s">
        <v>185</v>
      </c>
      <c r="B2986" t="s">
        <v>87</v>
      </c>
      <c r="C2986">
        <v>2010</v>
      </c>
      <c r="D2986">
        <v>309</v>
      </c>
      <c r="E2986">
        <v>309</v>
      </c>
      <c r="F2986" t="str">
        <f t="shared" si="46"/>
        <v>onshore wind</v>
      </c>
    </row>
    <row r="2987" spans="1:6" x14ac:dyDescent="0.25">
      <c r="A2987" t="s">
        <v>185</v>
      </c>
      <c r="B2987" t="s">
        <v>87</v>
      </c>
      <c r="C2987">
        <v>2011</v>
      </c>
      <c r="D2987">
        <v>172</v>
      </c>
      <c r="E2987">
        <v>162</v>
      </c>
      <c r="F2987" t="str">
        <f t="shared" si="46"/>
        <v>onshore wind</v>
      </c>
    </row>
    <row r="2988" spans="1:6" x14ac:dyDescent="0.25">
      <c r="A2988" t="s">
        <v>185</v>
      </c>
      <c r="B2988" t="s">
        <v>87</v>
      </c>
      <c r="C2988">
        <v>2014</v>
      </c>
      <c r="D2988">
        <v>19.5</v>
      </c>
      <c r="E2988">
        <v>19.5</v>
      </c>
      <c r="F2988" t="str">
        <f t="shared" si="46"/>
        <v>onshore wind</v>
      </c>
    </row>
    <row r="2989" spans="1:6" x14ac:dyDescent="0.25">
      <c r="A2989" t="s">
        <v>185</v>
      </c>
      <c r="B2989" t="s">
        <v>87</v>
      </c>
      <c r="C2989">
        <v>2015</v>
      </c>
      <c r="D2989">
        <v>174.3</v>
      </c>
      <c r="E2989">
        <v>174.3</v>
      </c>
      <c r="F2989" t="str">
        <f t="shared" si="46"/>
        <v>onshore wind</v>
      </c>
    </row>
    <row r="2990" spans="1:6" x14ac:dyDescent="0.25">
      <c r="A2990" t="s">
        <v>185</v>
      </c>
      <c r="B2990" t="s">
        <v>87</v>
      </c>
      <c r="C2990">
        <v>2018</v>
      </c>
      <c r="D2990">
        <v>40</v>
      </c>
      <c r="E2990">
        <v>40</v>
      </c>
      <c r="F2990" t="str">
        <f t="shared" si="46"/>
        <v>onshore wind</v>
      </c>
    </row>
    <row r="2991" spans="1:6" x14ac:dyDescent="0.25">
      <c r="A2991" t="s">
        <v>185</v>
      </c>
      <c r="B2991" t="s">
        <v>87</v>
      </c>
      <c r="C2991">
        <v>2019</v>
      </c>
      <c r="D2991">
        <v>497.5</v>
      </c>
      <c r="E2991">
        <v>497.5</v>
      </c>
      <c r="F2991" t="str">
        <f t="shared" si="46"/>
        <v>onshore wind</v>
      </c>
    </row>
    <row r="2992" spans="1:6" x14ac:dyDescent="0.25">
      <c r="A2992" t="s">
        <v>185</v>
      </c>
      <c r="B2992" t="s">
        <v>87</v>
      </c>
      <c r="C2992">
        <v>2020</v>
      </c>
      <c r="D2992">
        <v>774.3</v>
      </c>
      <c r="E2992">
        <v>775.8</v>
      </c>
      <c r="F2992" t="str">
        <f t="shared" si="46"/>
        <v>onshore wind</v>
      </c>
    </row>
    <row r="2993" spans="1:6" x14ac:dyDescent="0.25">
      <c r="A2993" t="s">
        <v>185</v>
      </c>
      <c r="B2993" t="s">
        <v>87</v>
      </c>
      <c r="C2993">
        <v>2021</v>
      </c>
      <c r="D2993">
        <v>607.6</v>
      </c>
      <c r="E2993">
        <v>607.6</v>
      </c>
      <c r="F2993" t="str">
        <f t="shared" si="46"/>
        <v>onshore wind</v>
      </c>
    </row>
    <row r="2994" spans="1:6" x14ac:dyDescent="0.25">
      <c r="A2994" t="s">
        <v>185</v>
      </c>
      <c r="B2994" t="s">
        <v>87</v>
      </c>
      <c r="C2994">
        <v>2022</v>
      </c>
      <c r="D2994">
        <v>304</v>
      </c>
      <c r="E2994">
        <v>304</v>
      </c>
      <c r="F2994" t="str">
        <f t="shared" si="46"/>
        <v>onshore wind</v>
      </c>
    </row>
    <row r="2995" spans="1:6" x14ac:dyDescent="0.25">
      <c r="A2995" t="s">
        <v>185</v>
      </c>
      <c r="B2995" t="s">
        <v>87</v>
      </c>
      <c r="C2995">
        <v>2023</v>
      </c>
      <c r="D2995">
        <v>400</v>
      </c>
      <c r="E2995">
        <v>400</v>
      </c>
      <c r="F2995" t="str">
        <f t="shared" si="46"/>
        <v>onshore wind</v>
      </c>
    </row>
    <row r="2996" spans="1:6" x14ac:dyDescent="0.25">
      <c r="A2996" t="s">
        <v>185</v>
      </c>
      <c r="B2996" t="s">
        <v>92</v>
      </c>
      <c r="C2996">
        <v>1991</v>
      </c>
      <c r="D2996">
        <v>1.8</v>
      </c>
      <c r="E2996">
        <v>1.7</v>
      </c>
      <c r="F2996" t="str">
        <f t="shared" si="46"/>
        <v>petroleum</v>
      </c>
    </row>
    <row r="2997" spans="1:6" x14ac:dyDescent="0.25">
      <c r="A2997" t="s">
        <v>185</v>
      </c>
      <c r="B2997" t="s">
        <v>92</v>
      </c>
      <c r="C2997">
        <v>2001</v>
      </c>
      <c r="D2997">
        <v>1.7</v>
      </c>
      <c r="E2997">
        <v>1.7</v>
      </c>
      <c r="F2997" t="str">
        <f t="shared" si="46"/>
        <v>petroleum</v>
      </c>
    </row>
    <row r="2998" spans="1:6" x14ac:dyDescent="0.25">
      <c r="A2998" t="s">
        <v>185</v>
      </c>
      <c r="B2998" t="s">
        <v>92</v>
      </c>
      <c r="C2998">
        <v>2002</v>
      </c>
      <c r="D2998">
        <v>1</v>
      </c>
      <c r="E2998">
        <v>3</v>
      </c>
      <c r="F2998" t="str">
        <f t="shared" si="46"/>
        <v>petroleum</v>
      </c>
    </row>
    <row r="2999" spans="1:6" x14ac:dyDescent="0.25">
      <c r="A2999" t="s">
        <v>185</v>
      </c>
      <c r="B2999" t="s">
        <v>92</v>
      </c>
      <c r="C2999">
        <v>2004</v>
      </c>
      <c r="D2999">
        <v>6.5</v>
      </c>
      <c r="E2999">
        <v>7.5</v>
      </c>
      <c r="F2999" t="str">
        <f t="shared" si="46"/>
        <v>petroleum</v>
      </c>
    </row>
    <row r="3000" spans="1:6" x14ac:dyDescent="0.25">
      <c r="A3000" t="s">
        <v>185</v>
      </c>
      <c r="B3000" t="s">
        <v>92</v>
      </c>
      <c r="C3000">
        <v>2008</v>
      </c>
      <c r="D3000">
        <v>2</v>
      </c>
      <c r="E3000">
        <v>2</v>
      </c>
      <c r="F3000" t="str">
        <f t="shared" si="46"/>
        <v>petroleum</v>
      </c>
    </row>
    <row r="3001" spans="1:6" x14ac:dyDescent="0.25">
      <c r="A3001" t="s">
        <v>185</v>
      </c>
      <c r="B3001" t="s">
        <v>249</v>
      </c>
      <c r="C3001">
        <v>2016</v>
      </c>
      <c r="D3001">
        <v>1</v>
      </c>
      <c r="E3001">
        <v>1</v>
      </c>
      <c r="F3001" t="str">
        <f t="shared" si="46"/>
        <v>solar pv</v>
      </c>
    </row>
    <row r="3002" spans="1:6" x14ac:dyDescent="0.25">
      <c r="A3002" t="s">
        <v>185</v>
      </c>
      <c r="B3002" t="s">
        <v>249</v>
      </c>
      <c r="C3002">
        <v>2023</v>
      </c>
      <c r="D3002">
        <v>80</v>
      </c>
      <c r="E3002">
        <v>80</v>
      </c>
      <c r="F3002" t="str">
        <f t="shared" si="46"/>
        <v>solar pv</v>
      </c>
    </row>
    <row r="3003" spans="1:6" x14ac:dyDescent="0.25">
      <c r="A3003" t="s">
        <v>185</v>
      </c>
      <c r="B3003" t="s">
        <v>249</v>
      </c>
      <c r="C3003">
        <v>2024</v>
      </c>
      <c r="D3003">
        <v>136.30000000000001</v>
      </c>
      <c r="E3003">
        <v>136.30000000000001</v>
      </c>
      <c r="F3003" t="str">
        <f t="shared" si="46"/>
        <v>solar pv</v>
      </c>
    </row>
    <row r="3004" spans="1:6" x14ac:dyDescent="0.25">
      <c r="A3004" t="s">
        <v>187</v>
      </c>
      <c r="B3004" t="s">
        <v>90</v>
      </c>
      <c r="C3004">
        <v>1992</v>
      </c>
      <c r="D3004">
        <v>3.2</v>
      </c>
      <c r="E3004">
        <v>3.2</v>
      </c>
      <c r="F3004" t="str">
        <f t="shared" si="46"/>
        <v>biomass</v>
      </c>
    </row>
    <row r="3005" spans="1:6" x14ac:dyDescent="0.25">
      <c r="A3005" t="s">
        <v>187</v>
      </c>
      <c r="B3005" t="s">
        <v>90</v>
      </c>
      <c r="C3005">
        <v>2000</v>
      </c>
      <c r="D3005">
        <v>2.8</v>
      </c>
      <c r="E3005">
        <v>2.8</v>
      </c>
      <c r="F3005" t="str">
        <f t="shared" si="46"/>
        <v>biomass</v>
      </c>
    </row>
    <row r="3006" spans="1:6" x14ac:dyDescent="0.25">
      <c r="A3006" t="s">
        <v>187</v>
      </c>
      <c r="B3006" t="s">
        <v>90</v>
      </c>
      <c r="C3006">
        <v>2005</v>
      </c>
      <c r="D3006">
        <v>1.8</v>
      </c>
      <c r="E3006">
        <v>2</v>
      </c>
      <c r="F3006" t="str">
        <f t="shared" si="46"/>
        <v>biomass</v>
      </c>
    </row>
    <row r="3007" spans="1:6" x14ac:dyDescent="0.25">
      <c r="A3007" t="s">
        <v>187</v>
      </c>
      <c r="B3007" t="s">
        <v>90</v>
      </c>
      <c r="C3007">
        <v>2010</v>
      </c>
      <c r="D3007">
        <v>22.5</v>
      </c>
      <c r="E3007">
        <v>22.5</v>
      </c>
      <c r="F3007" t="str">
        <f t="shared" si="46"/>
        <v>biomass</v>
      </c>
    </row>
    <row r="3008" spans="1:6" x14ac:dyDescent="0.25">
      <c r="A3008" t="s">
        <v>187</v>
      </c>
      <c r="B3008" t="s">
        <v>90</v>
      </c>
      <c r="C3008">
        <v>2011</v>
      </c>
      <c r="D3008">
        <v>2.5</v>
      </c>
      <c r="E3008">
        <v>2.6</v>
      </c>
      <c r="F3008" t="str">
        <f t="shared" si="46"/>
        <v>biomass</v>
      </c>
    </row>
    <row r="3009" spans="1:6" x14ac:dyDescent="0.25">
      <c r="A3009" t="s">
        <v>187</v>
      </c>
      <c r="B3009" t="s">
        <v>90</v>
      </c>
      <c r="C3009">
        <v>2012</v>
      </c>
      <c r="D3009">
        <v>4.8</v>
      </c>
      <c r="E3009">
        <v>4.8</v>
      </c>
      <c r="F3009" t="str">
        <f t="shared" si="46"/>
        <v>biomass</v>
      </c>
    </row>
    <row r="3010" spans="1:6" x14ac:dyDescent="0.25">
      <c r="A3010" t="s">
        <v>187</v>
      </c>
      <c r="B3010" t="s">
        <v>90</v>
      </c>
      <c r="C3010">
        <v>2013</v>
      </c>
      <c r="D3010">
        <v>1.9</v>
      </c>
      <c r="E3010">
        <v>2</v>
      </c>
      <c r="F3010" t="str">
        <f t="shared" ref="F3010:F3073" si="47">LOWER($B3010)</f>
        <v>biomass</v>
      </c>
    </row>
    <row r="3011" spans="1:6" x14ac:dyDescent="0.25">
      <c r="A3011" t="s">
        <v>187</v>
      </c>
      <c r="B3011" t="s">
        <v>81</v>
      </c>
      <c r="C3011">
        <v>1994</v>
      </c>
      <c r="D3011">
        <v>34.6</v>
      </c>
      <c r="E3011">
        <v>34.6</v>
      </c>
      <c r="F3011" t="str">
        <f t="shared" si="47"/>
        <v>hard coal</v>
      </c>
    </row>
    <row r="3012" spans="1:6" x14ac:dyDescent="0.25">
      <c r="A3012" t="s">
        <v>187</v>
      </c>
      <c r="B3012" t="s">
        <v>84</v>
      </c>
      <c r="C3012">
        <v>2010</v>
      </c>
      <c r="D3012">
        <v>525</v>
      </c>
      <c r="E3012">
        <v>604.4</v>
      </c>
      <c r="F3012" t="str">
        <f t="shared" si="47"/>
        <v>natural gas combined cycle</v>
      </c>
    </row>
    <row r="3013" spans="1:6" x14ac:dyDescent="0.25">
      <c r="A3013" t="s">
        <v>187</v>
      </c>
      <c r="B3013" t="s">
        <v>84</v>
      </c>
      <c r="C3013">
        <v>2012</v>
      </c>
      <c r="D3013">
        <v>878</v>
      </c>
      <c r="E3013">
        <v>996.9</v>
      </c>
      <c r="F3013" t="str">
        <f t="shared" si="47"/>
        <v>natural gas combined cycle</v>
      </c>
    </row>
    <row r="3014" spans="1:6" x14ac:dyDescent="0.25">
      <c r="A3014" t="s">
        <v>187</v>
      </c>
      <c r="B3014" t="s">
        <v>84</v>
      </c>
      <c r="C3014">
        <v>2018</v>
      </c>
      <c r="D3014">
        <v>1052.0999999999999</v>
      </c>
      <c r="E3014">
        <v>1170.9000000000001</v>
      </c>
      <c r="F3014" t="str">
        <f t="shared" si="47"/>
        <v>natural gas combined cycle</v>
      </c>
    </row>
    <row r="3015" spans="1:6" x14ac:dyDescent="0.25">
      <c r="A3015" t="s">
        <v>187</v>
      </c>
      <c r="B3015" t="s">
        <v>93</v>
      </c>
      <c r="C3015">
        <v>1995</v>
      </c>
      <c r="D3015">
        <v>3.8</v>
      </c>
      <c r="E3015">
        <v>4.5</v>
      </c>
      <c r="F3015" t="str">
        <f t="shared" si="47"/>
        <v>natural gas peaker</v>
      </c>
    </row>
    <row r="3016" spans="1:6" x14ac:dyDescent="0.25">
      <c r="A3016" t="s">
        <v>187</v>
      </c>
      <c r="B3016" t="s">
        <v>93</v>
      </c>
      <c r="C3016">
        <v>1996</v>
      </c>
      <c r="D3016">
        <v>4.5</v>
      </c>
      <c r="E3016">
        <v>5</v>
      </c>
      <c r="F3016" t="str">
        <f t="shared" si="47"/>
        <v>natural gas peaker</v>
      </c>
    </row>
    <row r="3017" spans="1:6" x14ac:dyDescent="0.25">
      <c r="A3017" t="s">
        <v>187</v>
      </c>
      <c r="B3017" t="s">
        <v>93</v>
      </c>
      <c r="C3017">
        <v>1997</v>
      </c>
      <c r="D3017">
        <v>5</v>
      </c>
      <c r="E3017">
        <v>5</v>
      </c>
      <c r="F3017" t="str">
        <f t="shared" si="47"/>
        <v>natural gas peaker</v>
      </c>
    </row>
    <row r="3018" spans="1:6" x14ac:dyDescent="0.25">
      <c r="A3018" t="s">
        <v>187</v>
      </c>
      <c r="B3018" t="s">
        <v>93</v>
      </c>
      <c r="C3018">
        <v>1999</v>
      </c>
      <c r="D3018">
        <v>456</v>
      </c>
      <c r="E3018">
        <v>460</v>
      </c>
      <c r="F3018" t="str">
        <f t="shared" si="47"/>
        <v>natural gas peaker</v>
      </c>
    </row>
    <row r="3019" spans="1:6" x14ac:dyDescent="0.25">
      <c r="A3019" t="s">
        <v>187</v>
      </c>
      <c r="B3019" t="s">
        <v>93</v>
      </c>
      <c r="C3019">
        <v>2000</v>
      </c>
      <c r="D3019">
        <v>944.8</v>
      </c>
      <c r="E3019">
        <v>1243.8</v>
      </c>
      <c r="F3019" t="str">
        <f t="shared" si="47"/>
        <v>natural gas peaker</v>
      </c>
    </row>
    <row r="3020" spans="1:6" x14ac:dyDescent="0.25">
      <c r="A3020" t="s">
        <v>187</v>
      </c>
      <c r="B3020" t="s">
        <v>93</v>
      </c>
      <c r="C3020">
        <v>2001</v>
      </c>
      <c r="D3020">
        <v>591.20000000000005</v>
      </c>
      <c r="E3020">
        <v>676</v>
      </c>
      <c r="F3020" t="str">
        <f t="shared" si="47"/>
        <v>natural gas peaker</v>
      </c>
    </row>
    <row r="3021" spans="1:6" x14ac:dyDescent="0.25">
      <c r="A3021" t="s">
        <v>187</v>
      </c>
      <c r="B3021" t="s">
        <v>93</v>
      </c>
      <c r="C3021">
        <v>2002</v>
      </c>
      <c r="D3021">
        <v>302</v>
      </c>
      <c r="E3021">
        <v>358.4</v>
      </c>
      <c r="F3021" t="str">
        <f t="shared" si="47"/>
        <v>natural gas peaker</v>
      </c>
    </row>
    <row r="3022" spans="1:6" x14ac:dyDescent="0.25">
      <c r="A3022" t="s">
        <v>187</v>
      </c>
      <c r="B3022" t="s">
        <v>93</v>
      </c>
      <c r="C3022">
        <v>2015</v>
      </c>
      <c r="D3022">
        <v>7.8</v>
      </c>
      <c r="E3022">
        <v>7.2</v>
      </c>
      <c r="F3022" t="str">
        <f t="shared" si="47"/>
        <v>natural gas peaker</v>
      </c>
    </row>
    <row r="3023" spans="1:6" x14ac:dyDescent="0.25">
      <c r="A3023" t="s">
        <v>187</v>
      </c>
      <c r="B3023" t="s">
        <v>93</v>
      </c>
      <c r="C3023">
        <v>2016</v>
      </c>
      <c r="D3023">
        <v>52</v>
      </c>
      <c r="E3023">
        <v>61.4</v>
      </c>
      <c r="F3023" t="str">
        <f t="shared" si="47"/>
        <v>natural gas peaker</v>
      </c>
    </row>
    <row r="3024" spans="1:6" x14ac:dyDescent="0.25">
      <c r="A3024" t="s">
        <v>187</v>
      </c>
      <c r="B3024" t="s">
        <v>93</v>
      </c>
      <c r="C3024">
        <v>2017</v>
      </c>
      <c r="D3024">
        <v>5.8</v>
      </c>
      <c r="E3024">
        <v>6.3</v>
      </c>
      <c r="F3024" t="str">
        <f t="shared" si="47"/>
        <v>natural gas peaker</v>
      </c>
    </row>
    <row r="3025" spans="1:6" x14ac:dyDescent="0.25">
      <c r="A3025" t="s">
        <v>187</v>
      </c>
      <c r="B3025" t="s">
        <v>93</v>
      </c>
      <c r="C3025">
        <v>2025</v>
      </c>
      <c r="D3025">
        <v>530</v>
      </c>
      <c r="E3025">
        <v>658</v>
      </c>
      <c r="F3025" t="str">
        <f t="shared" si="47"/>
        <v>natural gas peaker</v>
      </c>
    </row>
    <row r="3026" spans="1:6" x14ac:dyDescent="0.25">
      <c r="A3026" t="s">
        <v>187</v>
      </c>
      <c r="B3026" t="s">
        <v>83</v>
      </c>
      <c r="C3026">
        <v>2006</v>
      </c>
      <c r="D3026">
        <v>46.5</v>
      </c>
      <c r="E3026">
        <v>50</v>
      </c>
      <c r="F3026" t="str">
        <f t="shared" si="47"/>
        <v>natural gas steam turbine</v>
      </c>
    </row>
    <row r="3027" spans="1:6" x14ac:dyDescent="0.25">
      <c r="A3027" t="s">
        <v>187</v>
      </c>
      <c r="B3027" t="s">
        <v>85</v>
      </c>
      <c r="C3027">
        <v>1996</v>
      </c>
      <c r="D3027">
        <v>1123</v>
      </c>
      <c r="E3027">
        <v>1269.9000000000001</v>
      </c>
      <c r="F3027" t="str">
        <f t="shared" si="47"/>
        <v>nuclear</v>
      </c>
    </row>
    <row r="3028" spans="1:6" x14ac:dyDescent="0.25">
      <c r="A3028" t="s">
        <v>187</v>
      </c>
      <c r="B3028" t="s">
        <v>85</v>
      </c>
      <c r="C3028">
        <v>2016</v>
      </c>
      <c r="D3028">
        <v>1122</v>
      </c>
      <c r="E3028">
        <v>1269.9000000000001</v>
      </c>
      <c r="F3028" t="str">
        <f t="shared" si="47"/>
        <v>nuclear</v>
      </c>
    </row>
    <row r="3029" spans="1:6" x14ac:dyDescent="0.25">
      <c r="A3029" t="s">
        <v>187</v>
      </c>
      <c r="B3029" t="s">
        <v>87</v>
      </c>
      <c r="C3029">
        <v>2000</v>
      </c>
      <c r="D3029">
        <v>2.1</v>
      </c>
      <c r="E3029">
        <v>1.8</v>
      </c>
      <c r="F3029" t="str">
        <f t="shared" si="47"/>
        <v>onshore wind</v>
      </c>
    </row>
    <row r="3030" spans="1:6" x14ac:dyDescent="0.25">
      <c r="A3030" t="s">
        <v>187</v>
      </c>
      <c r="B3030" t="s">
        <v>87</v>
      </c>
      <c r="C3030">
        <v>2004</v>
      </c>
      <c r="D3030">
        <v>27</v>
      </c>
      <c r="E3030">
        <v>27</v>
      </c>
      <c r="F3030" t="str">
        <f t="shared" si="47"/>
        <v>onshore wind</v>
      </c>
    </row>
    <row r="3031" spans="1:6" x14ac:dyDescent="0.25">
      <c r="A3031" t="s">
        <v>187</v>
      </c>
      <c r="B3031" t="s">
        <v>92</v>
      </c>
      <c r="C3031">
        <v>2000</v>
      </c>
      <c r="D3031">
        <v>19.8</v>
      </c>
      <c r="E3031">
        <v>22</v>
      </c>
      <c r="F3031" t="str">
        <f t="shared" si="47"/>
        <v>petroleum</v>
      </c>
    </row>
    <row r="3032" spans="1:6" x14ac:dyDescent="0.25">
      <c r="A3032" t="s">
        <v>187</v>
      </c>
      <c r="B3032" t="s">
        <v>92</v>
      </c>
      <c r="C3032">
        <v>2001</v>
      </c>
      <c r="D3032">
        <v>19.8</v>
      </c>
      <c r="E3032">
        <v>22</v>
      </c>
      <c r="F3032" t="str">
        <f t="shared" si="47"/>
        <v>petroleum</v>
      </c>
    </row>
    <row r="3033" spans="1:6" x14ac:dyDescent="0.25">
      <c r="A3033" t="s">
        <v>187</v>
      </c>
      <c r="B3033" t="s">
        <v>92</v>
      </c>
      <c r="C3033">
        <v>2002</v>
      </c>
      <c r="D3033">
        <v>3.6</v>
      </c>
      <c r="E3033">
        <v>3.6</v>
      </c>
      <c r="F3033" t="str">
        <f t="shared" si="47"/>
        <v>petroleum</v>
      </c>
    </row>
    <row r="3034" spans="1:6" x14ac:dyDescent="0.25">
      <c r="A3034" t="s">
        <v>187</v>
      </c>
      <c r="B3034" t="s">
        <v>92</v>
      </c>
      <c r="C3034">
        <v>2004</v>
      </c>
      <c r="D3034">
        <v>10</v>
      </c>
      <c r="E3034">
        <v>10</v>
      </c>
      <c r="F3034" t="str">
        <f t="shared" si="47"/>
        <v>petroleum</v>
      </c>
    </row>
    <row r="3035" spans="1:6" x14ac:dyDescent="0.25">
      <c r="A3035" t="s">
        <v>187</v>
      </c>
      <c r="B3035" t="s">
        <v>249</v>
      </c>
      <c r="C3035">
        <v>2011</v>
      </c>
      <c r="D3035">
        <v>0.7</v>
      </c>
      <c r="E3035">
        <v>0.9</v>
      </c>
      <c r="F3035" t="str">
        <f t="shared" si="47"/>
        <v>solar pv</v>
      </c>
    </row>
    <row r="3036" spans="1:6" x14ac:dyDescent="0.25">
      <c r="A3036" t="s">
        <v>187</v>
      </c>
      <c r="B3036" t="s">
        <v>249</v>
      </c>
      <c r="C3036">
        <v>2012</v>
      </c>
      <c r="D3036">
        <v>11.8</v>
      </c>
      <c r="E3036">
        <v>11.8</v>
      </c>
      <c r="F3036" t="str">
        <f t="shared" si="47"/>
        <v>solar pv</v>
      </c>
    </row>
    <row r="3037" spans="1:6" x14ac:dyDescent="0.25">
      <c r="A3037" t="s">
        <v>187</v>
      </c>
      <c r="B3037" t="s">
        <v>249</v>
      </c>
      <c r="C3037">
        <v>2013</v>
      </c>
      <c r="D3037">
        <v>0.8</v>
      </c>
      <c r="E3037">
        <v>1</v>
      </c>
      <c r="F3037" t="str">
        <f t="shared" si="47"/>
        <v>solar pv</v>
      </c>
    </row>
    <row r="3038" spans="1:6" x14ac:dyDescent="0.25">
      <c r="A3038" t="s">
        <v>187</v>
      </c>
      <c r="B3038" t="s">
        <v>249</v>
      </c>
      <c r="C3038">
        <v>2014</v>
      </c>
      <c r="D3038">
        <v>31.6</v>
      </c>
      <c r="E3038">
        <v>31.6</v>
      </c>
      <c r="F3038" t="str">
        <f t="shared" si="47"/>
        <v>solar pv</v>
      </c>
    </row>
    <row r="3039" spans="1:6" x14ac:dyDescent="0.25">
      <c r="A3039" t="s">
        <v>187</v>
      </c>
      <c r="B3039" t="s">
        <v>249</v>
      </c>
      <c r="C3039">
        <v>2016</v>
      </c>
      <c r="D3039">
        <v>25.1</v>
      </c>
      <c r="E3039">
        <v>25.1</v>
      </c>
      <c r="F3039" t="str">
        <f t="shared" si="47"/>
        <v>solar pv</v>
      </c>
    </row>
    <row r="3040" spans="1:6" x14ac:dyDescent="0.25">
      <c r="A3040" t="s">
        <v>187</v>
      </c>
      <c r="B3040" t="s">
        <v>249</v>
      </c>
      <c r="C3040">
        <v>2017</v>
      </c>
      <c r="D3040">
        <v>19</v>
      </c>
      <c r="E3040">
        <v>19</v>
      </c>
      <c r="F3040" t="str">
        <f t="shared" si="47"/>
        <v>solar pv</v>
      </c>
    </row>
    <row r="3041" spans="1:6" x14ac:dyDescent="0.25">
      <c r="A3041" t="s">
        <v>187</v>
      </c>
      <c r="B3041" t="s">
        <v>249</v>
      </c>
      <c r="C3041">
        <v>2018</v>
      </c>
      <c r="D3041">
        <v>88.68</v>
      </c>
      <c r="E3041">
        <v>89</v>
      </c>
      <c r="F3041" t="str">
        <f t="shared" si="47"/>
        <v>solar pv</v>
      </c>
    </row>
    <row r="3042" spans="1:6" x14ac:dyDescent="0.25">
      <c r="A3042" t="s">
        <v>187</v>
      </c>
      <c r="B3042" t="s">
        <v>249</v>
      </c>
      <c r="C3042">
        <v>2019</v>
      </c>
      <c r="D3042">
        <v>2.7</v>
      </c>
      <c r="E3042">
        <v>2.9</v>
      </c>
      <c r="F3042" t="str">
        <f t="shared" si="47"/>
        <v>solar pv</v>
      </c>
    </row>
    <row r="3043" spans="1:6" x14ac:dyDescent="0.25">
      <c r="A3043" t="s">
        <v>187</v>
      </c>
      <c r="B3043" t="s">
        <v>249</v>
      </c>
      <c r="C3043">
        <v>2020</v>
      </c>
      <c r="D3043">
        <v>1.5</v>
      </c>
      <c r="E3043">
        <v>1.5</v>
      </c>
      <c r="F3043" t="str">
        <f t="shared" si="47"/>
        <v>solar pv</v>
      </c>
    </row>
    <row r="3044" spans="1:6" x14ac:dyDescent="0.25">
      <c r="A3044" t="s">
        <v>187</v>
      </c>
      <c r="B3044" t="s">
        <v>249</v>
      </c>
      <c r="C3044">
        <v>2021</v>
      </c>
      <c r="D3044">
        <v>9</v>
      </c>
      <c r="E3044">
        <v>9</v>
      </c>
      <c r="F3044" t="str">
        <f t="shared" si="47"/>
        <v>solar pv</v>
      </c>
    </row>
    <row r="3045" spans="1:6" x14ac:dyDescent="0.25">
      <c r="A3045" t="s">
        <v>187</v>
      </c>
      <c r="B3045" t="s">
        <v>249</v>
      </c>
      <c r="C3045">
        <v>2022</v>
      </c>
      <c r="D3045">
        <v>170.7</v>
      </c>
      <c r="E3045">
        <v>170.7</v>
      </c>
      <c r="F3045" t="str">
        <f t="shared" si="47"/>
        <v>solar pv</v>
      </c>
    </row>
    <row r="3046" spans="1:6" x14ac:dyDescent="0.25">
      <c r="A3046" t="s">
        <v>187</v>
      </c>
      <c r="B3046" t="s">
        <v>249</v>
      </c>
      <c r="C3046">
        <v>2023</v>
      </c>
      <c r="D3046">
        <v>221.8</v>
      </c>
      <c r="E3046">
        <v>213.8</v>
      </c>
      <c r="F3046" t="str">
        <f t="shared" si="47"/>
        <v>solar pv</v>
      </c>
    </row>
    <row r="3047" spans="1:6" x14ac:dyDescent="0.25">
      <c r="A3047" t="s">
        <v>187</v>
      </c>
      <c r="B3047" t="s">
        <v>249</v>
      </c>
      <c r="C3047">
        <v>2024</v>
      </c>
      <c r="D3047">
        <v>17.3</v>
      </c>
      <c r="E3047">
        <v>17.3</v>
      </c>
      <c r="F3047" t="str">
        <f t="shared" si="47"/>
        <v>solar pv</v>
      </c>
    </row>
    <row r="3048" spans="1:6" x14ac:dyDescent="0.25">
      <c r="A3048" t="s">
        <v>187</v>
      </c>
      <c r="B3048" t="s">
        <v>249</v>
      </c>
      <c r="C3048">
        <v>2025</v>
      </c>
      <c r="D3048">
        <v>225.8</v>
      </c>
      <c r="E3048">
        <v>225.8</v>
      </c>
      <c r="F3048" t="str">
        <f t="shared" si="47"/>
        <v>solar pv</v>
      </c>
    </row>
    <row r="3049" spans="1:6" x14ac:dyDescent="0.25">
      <c r="A3049" t="s">
        <v>189</v>
      </c>
      <c r="B3049" t="s">
        <v>90</v>
      </c>
      <c r="C3049">
        <v>1996</v>
      </c>
      <c r="D3049">
        <v>2.7</v>
      </c>
      <c r="E3049">
        <v>3</v>
      </c>
      <c r="F3049" t="str">
        <f t="shared" si="47"/>
        <v>biomass</v>
      </c>
    </row>
    <row r="3050" spans="1:6" x14ac:dyDescent="0.25">
      <c r="A3050" t="s">
        <v>189</v>
      </c>
      <c r="B3050" t="s">
        <v>90</v>
      </c>
      <c r="C3050">
        <v>2003</v>
      </c>
      <c r="D3050">
        <v>39.799999999999997</v>
      </c>
      <c r="E3050">
        <v>39.4</v>
      </c>
      <c r="F3050" t="str">
        <f t="shared" si="47"/>
        <v>biomass</v>
      </c>
    </row>
    <row r="3051" spans="1:6" x14ac:dyDescent="0.25">
      <c r="A3051" t="s">
        <v>189</v>
      </c>
      <c r="B3051" t="s">
        <v>90</v>
      </c>
      <c r="C3051">
        <v>2004</v>
      </c>
      <c r="D3051">
        <v>2.6</v>
      </c>
      <c r="E3051">
        <v>2.7</v>
      </c>
      <c r="F3051" t="str">
        <f t="shared" si="47"/>
        <v>biomass</v>
      </c>
    </row>
    <row r="3052" spans="1:6" x14ac:dyDescent="0.25">
      <c r="A3052" t="s">
        <v>189</v>
      </c>
      <c r="B3052" t="s">
        <v>90</v>
      </c>
      <c r="C3052">
        <v>2005</v>
      </c>
      <c r="D3052">
        <v>9.6</v>
      </c>
      <c r="E3052">
        <v>9.6</v>
      </c>
      <c r="F3052" t="str">
        <f t="shared" si="47"/>
        <v>biomass</v>
      </c>
    </row>
    <row r="3053" spans="1:6" x14ac:dyDescent="0.25">
      <c r="A3053" t="s">
        <v>189</v>
      </c>
      <c r="B3053" t="s">
        <v>90</v>
      </c>
      <c r="C3053">
        <v>2007</v>
      </c>
      <c r="D3053">
        <v>12.8</v>
      </c>
      <c r="E3053">
        <v>12.8</v>
      </c>
      <c r="F3053" t="str">
        <f t="shared" si="47"/>
        <v>biomass</v>
      </c>
    </row>
    <row r="3054" spans="1:6" x14ac:dyDescent="0.25">
      <c r="A3054" t="s">
        <v>189</v>
      </c>
      <c r="B3054" t="s">
        <v>90</v>
      </c>
      <c r="C3054">
        <v>2008</v>
      </c>
      <c r="D3054">
        <v>1.6</v>
      </c>
      <c r="E3054">
        <v>1.6</v>
      </c>
      <c r="F3054" t="str">
        <f t="shared" si="47"/>
        <v>biomass</v>
      </c>
    </row>
    <row r="3055" spans="1:6" x14ac:dyDescent="0.25">
      <c r="A3055" t="s">
        <v>189</v>
      </c>
      <c r="B3055" t="s">
        <v>90</v>
      </c>
      <c r="C3055">
        <v>2009</v>
      </c>
      <c r="D3055">
        <v>6.4</v>
      </c>
      <c r="E3055">
        <v>6.4</v>
      </c>
      <c r="F3055" t="str">
        <f t="shared" si="47"/>
        <v>biomass</v>
      </c>
    </row>
    <row r="3056" spans="1:6" x14ac:dyDescent="0.25">
      <c r="A3056" t="s">
        <v>189</v>
      </c>
      <c r="B3056" t="s">
        <v>90</v>
      </c>
      <c r="C3056">
        <v>2010</v>
      </c>
      <c r="D3056">
        <v>8</v>
      </c>
      <c r="E3056">
        <v>8</v>
      </c>
      <c r="F3056" t="str">
        <f t="shared" si="47"/>
        <v>biomass</v>
      </c>
    </row>
    <row r="3057" spans="1:6" x14ac:dyDescent="0.25">
      <c r="A3057" t="s">
        <v>189</v>
      </c>
      <c r="B3057" t="s">
        <v>90</v>
      </c>
      <c r="C3057">
        <v>2011</v>
      </c>
      <c r="D3057">
        <v>7.4</v>
      </c>
      <c r="E3057">
        <v>7.4</v>
      </c>
      <c r="F3057" t="str">
        <f t="shared" si="47"/>
        <v>biomass</v>
      </c>
    </row>
    <row r="3058" spans="1:6" x14ac:dyDescent="0.25">
      <c r="A3058" t="s">
        <v>189</v>
      </c>
      <c r="B3058" t="s">
        <v>90</v>
      </c>
      <c r="C3058">
        <v>2012</v>
      </c>
      <c r="D3058">
        <v>100</v>
      </c>
      <c r="E3058">
        <v>114</v>
      </c>
      <c r="F3058" t="str">
        <f t="shared" si="47"/>
        <v>biomass</v>
      </c>
    </row>
    <row r="3059" spans="1:6" x14ac:dyDescent="0.25">
      <c r="A3059" t="s">
        <v>189</v>
      </c>
      <c r="B3059" t="s">
        <v>90</v>
      </c>
      <c r="C3059">
        <v>2014</v>
      </c>
      <c r="D3059">
        <v>50.9</v>
      </c>
      <c r="E3059">
        <v>54.3</v>
      </c>
      <c r="F3059" t="str">
        <f t="shared" si="47"/>
        <v>biomass</v>
      </c>
    </row>
    <row r="3060" spans="1:6" x14ac:dyDescent="0.25">
      <c r="A3060" t="s">
        <v>189</v>
      </c>
      <c r="B3060" t="s">
        <v>90</v>
      </c>
      <c r="C3060">
        <v>2015</v>
      </c>
      <c r="D3060">
        <v>1.4</v>
      </c>
      <c r="E3060">
        <v>1.4</v>
      </c>
      <c r="F3060" t="str">
        <f t="shared" si="47"/>
        <v>biomass</v>
      </c>
    </row>
    <row r="3061" spans="1:6" x14ac:dyDescent="0.25">
      <c r="A3061" t="s">
        <v>189</v>
      </c>
      <c r="B3061" t="s">
        <v>81</v>
      </c>
      <c r="C3061">
        <v>1992</v>
      </c>
      <c r="D3061">
        <v>560</v>
      </c>
      <c r="E3061">
        <v>566</v>
      </c>
      <c r="F3061" t="str">
        <f t="shared" si="47"/>
        <v>hard coal</v>
      </c>
    </row>
    <row r="3062" spans="1:6" x14ac:dyDescent="0.25">
      <c r="A3062" t="s">
        <v>189</v>
      </c>
      <c r="B3062" t="s">
        <v>81</v>
      </c>
      <c r="C3062">
        <v>1995</v>
      </c>
      <c r="D3062">
        <v>795</v>
      </c>
      <c r="E3062">
        <v>793.2</v>
      </c>
      <c r="F3062" t="str">
        <f t="shared" si="47"/>
        <v>hard coal</v>
      </c>
    </row>
    <row r="3063" spans="1:6" x14ac:dyDescent="0.25">
      <c r="A3063" t="s">
        <v>189</v>
      </c>
      <c r="B3063" t="s">
        <v>81</v>
      </c>
      <c r="C3063">
        <v>2010</v>
      </c>
      <c r="D3063">
        <v>785</v>
      </c>
      <c r="E3063">
        <v>922.5</v>
      </c>
      <c r="F3063" t="str">
        <f t="shared" si="47"/>
        <v>hard coal</v>
      </c>
    </row>
    <row r="3064" spans="1:6" x14ac:dyDescent="0.25">
      <c r="A3064" t="s">
        <v>189</v>
      </c>
      <c r="B3064" t="s">
        <v>81</v>
      </c>
      <c r="C3064">
        <v>2013</v>
      </c>
      <c r="D3064">
        <v>932.6</v>
      </c>
      <c r="E3064">
        <v>1008</v>
      </c>
      <c r="F3064" t="str">
        <f t="shared" si="47"/>
        <v>hard coal</v>
      </c>
    </row>
    <row r="3065" spans="1:6" x14ac:dyDescent="0.25">
      <c r="A3065" t="s">
        <v>189</v>
      </c>
      <c r="B3065" t="s">
        <v>86</v>
      </c>
      <c r="C3065">
        <v>1992</v>
      </c>
      <c r="D3065">
        <v>2</v>
      </c>
      <c r="E3065">
        <v>2.8</v>
      </c>
      <c r="F3065" t="str">
        <f t="shared" si="47"/>
        <v>hydro</v>
      </c>
    </row>
    <row r="3066" spans="1:6" x14ac:dyDescent="0.25">
      <c r="A3066" t="s">
        <v>189</v>
      </c>
      <c r="B3066" t="s">
        <v>86</v>
      </c>
      <c r="C3066">
        <v>2015</v>
      </c>
      <c r="D3066">
        <v>1.3</v>
      </c>
      <c r="E3066">
        <v>1.3</v>
      </c>
      <c r="F3066" t="str">
        <f t="shared" si="47"/>
        <v>hydro</v>
      </c>
    </row>
    <row r="3067" spans="1:6" x14ac:dyDescent="0.25">
      <c r="A3067" t="s">
        <v>189</v>
      </c>
      <c r="B3067" t="s">
        <v>86</v>
      </c>
      <c r="C3067">
        <v>2020</v>
      </c>
      <c r="D3067">
        <v>24.3</v>
      </c>
      <c r="E3067">
        <v>26.7</v>
      </c>
      <c r="F3067" t="str">
        <f t="shared" si="47"/>
        <v>hydro</v>
      </c>
    </row>
    <row r="3068" spans="1:6" x14ac:dyDescent="0.25">
      <c r="A3068" t="s">
        <v>189</v>
      </c>
      <c r="B3068" t="s">
        <v>94</v>
      </c>
      <c r="C3068">
        <v>1990</v>
      </c>
      <c r="D3068">
        <v>152</v>
      </c>
      <c r="E3068">
        <v>174.6</v>
      </c>
      <c r="F3068" t="str">
        <f t="shared" si="47"/>
        <v>lignite</v>
      </c>
    </row>
    <row r="3069" spans="1:6" x14ac:dyDescent="0.25">
      <c r="A3069" t="s">
        <v>189</v>
      </c>
      <c r="B3069" t="s">
        <v>94</v>
      </c>
      <c r="C3069">
        <v>1991</v>
      </c>
      <c r="D3069">
        <v>153</v>
      </c>
      <c r="E3069">
        <v>174.6</v>
      </c>
      <c r="F3069" t="str">
        <f t="shared" si="47"/>
        <v>lignite</v>
      </c>
    </row>
    <row r="3070" spans="1:6" x14ac:dyDescent="0.25">
      <c r="A3070" t="s">
        <v>189</v>
      </c>
      <c r="B3070" t="s">
        <v>94</v>
      </c>
      <c r="C3070">
        <v>2010</v>
      </c>
      <c r="D3070">
        <v>1455</v>
      </c>
      <c r="E3070">
        <v>1578.3</v>
      </c>
      <c r="F3070" t="str">
        <f t="shared" si="47"/>
        <v>lignite</v>
      </c>
    </row>
    <row r="3071" spans="1:6" x14ac:dyDescent="0.25">
      <c r="A3071" t="s">
        <v>189</v>
      </c>
      <c r="B3071" t="s">
        <v>94</v>
      </c>
      <c r="C3071">
        <v>2011</v>
      </c>
      <c r="D3071">
        <v>855</v>
      </c>
      <c r="E3071">
        <v>878.6</v>
      </c>
      <c r="F3071" t="str">
        <f t="shared" si="47"/>
        <v>lignite</v>
      </c>
    </row>
    <row r="3072" spans="1:6" x14ac:dyDescent="0.25">
      <c r="A3072" t="s">
        <v>189</v>
      </c>
      <c r="B3072" t="s">
        <v>84</v>
      </c>
      <c r="C3072">
        <v>1993</v>
      </c>
      <c r="D3072">
        <v>216</v>
      </c>
      <c r="E3072">
        <v>247.5</v>
      </c>
      <c r="F3072" t="str">
        <f t="shared" si="47"/>
        <v>natural gas combined cycle</v>
      </c>
    </row>
    <row r="3073" spans="1:6" x14ac:dyDescent="0.25">
      <c r="A3073" t="s">
        <v>189</v>
      </c>
      <c r="B3073" t="s">
        <v>84</v>
      </c>
      <c r="C3073">
        <v>1994</v>
      </c>
      <c r="D3073">
        <v>609.5</v>
      </c>
      <c r="E3073">
        <v>762.7</v>
      </c>
      <c r="F3073" t="str">
        <f t="shared" si="47"/>
        <v>natural gas combined cycle</v>
      </c>
    </row>
    <row r="3074" spans="1:6" x14ac:dyDescent="0.25">
      <c r="A3074" t="s">
        <v>189</v>
      </c>
      <c r="B3074" t="s">
        <v>84</v>
      </c>
      <c r="C3074">
        <v>1995</v>
      </c>
      <c r="D3074">
        <v>60</v>
      </c>
      <c r="E3074">
        <v>89.9</v>
      </c>
      <c r="F3074" t="str">
        <f t="shared" ref="F3074:F3137" si="48">LOWER($B3074)</f>
        <v>natural gas combined cycle</v>
      </c>
    </row>
    <row r="3075" spans="1:6" x14ac:dyDescent="0.25">
      <c r="A3075" t="s">
        <v>189</v>
      </c>
      <c r="B3075" t="s">
        <v>84</v>
      </c>
      <c r="C3075">
        <v>1996</v>
      </c>
      <c r="D3075">
        <v>319</v>
      </c>
      <c r="E3075">
        <v>332.6</v>
      </c>
      <c r="F3075" t="str">
        <f t="shared" si="48"/>
        <v>natural gas combined cycle</v>
      </c>
    </row>
    <row r="3076" spans="1:6" x14ac:dyDescent="0.25">
      <c r="A3076" t="s">
        <v>189</v>
      </c>
      <c r="B3076" t="s">
        <v>84</v>
      </c>
      <c r="C3076">
        <v>1998</v>
      </c>
      <c r="D3076">
        <v>238</v>
      </c>
      <c r="E3076">
        <v>260</v>
      </c>
      <c r="F3076" t="str">
        <f t="shared" si="48"/>
        <v>natural gas combined cycle</v>
      </c>
    </row>
    <row r="3077" spans="1:6" x14ac:dyDescent="0.25">
      <c r="A3077" t="s">
        <v>189</v>
      </c>
      <c r="B3077" t="s">
        <v>84</v>
      </c>
      <c r="C3077">
        <v>1999</v>
      </c>
      <c r="D3077">
        <v>1120.9000000000001</v>
      </c>
      <c r="E3077">
        <v>1209.4000000000001</v>
      </c>
      <c r="F3077" t="str">
        <f t="shared" si="48"/>
        <v>natural gas combined cycle</v>
      </c>
    </row>
    <row r="3078" spans="1:6" x14ac:dyDescent="0.25">
      <c r="A3078" t="s">
        <v>189</v>
      </c>
      <c r="B3078" t="s">
        <v>84</v>
      </c>
      <c r="C3078">
        <v>2000</v>
      </c>
      <c r="D3078">
        <v>6535.9</v>
      </c>
      <c r="E3078">
        <v>7116.2</v>
      </c>
      <c r="F3078" t="str">
        <f t="shared" si="48"/>
        <v>natural gas combined cycle</v>
      </c>
    </row>
    <row r="3079" spans="1:6" x14ac:dyDescent="0.25">
      <c r="A3079" t="s">
        <v>189</v>
      </c>
      <c r="B3079" t="s">
        <v>84</v>
      </c>
      <c r="C3079">
        <v>2001</v>
      </c>
      <c r="D3079">
        <v>4343.8</v>
      </c>
      <c r="E3079">
        <v>4908.2</v>
      </c>
      <c r="F3079" t="str">
        <f t="shared" si="48"/>
        <v>natural gas combined cycle</v>
      </c>
    </row>
    <row r="3080" spans="1:6" x14ac:dyDescent="0.25">
      <c r="A3080" t="s">
        <v>189</v>
      </c>
      <c r="B3080" t="s">
        <v>84</v>
      </c>
      <c r="C3080">
        <v>2002</v>
      </c>
      <c r="D3080">
        <v>7263.5</v>
      </c>
      <c r="E3080">
        <v>8311.1</v>
      </c>
      <c r="F3080" t="str">
        <f t="shared" si="48"/>
        <v>natural gas combined cycle</v>
      </c>
    </row>
    <row r="3081" spans="1:6" x14ac:dyDescent="0.25">
      <c r="A3081" t="s">
        <v>189</v>
      </c>
      <c r="B3081" t="s">
        <v>84</v>
      </c>
      <c r="C3081">
        <v>2003</v>
      </c>
      <c r="D3081">
        <v>5967</v>
      </c>
      <c r="E3081">
        <v>6608.3</v>
      </c>
      <c r="F3081" t="str">
        <f t="shared" si="48"/>
        <v>natural gas combined cycle</v>
      </c>
    </row>
    <row r="3082" spans="1:6" x14ac:dyDescent="0.25">
      <c r="A3082" t="s">
        <v>189</v>
      </c>
      <c r="B3082" t="s">
        <v>84</v>
      </c>
      <c r="C3082">
        <v>2004</v>
      </c>
      <c r="D3082">
        <v>1719.1</v>
      </c>
      <c r="E3082">
        <v>1872.9</v>
      </c>
      <c r="F3082" t="str">
        <f t="shared" si="48"/>
        <v>natural gas combined cycle</v>
      </c>
    </row>
    <row r="3083" spans="1:6" x14ac:dyDescent="0.25">
      <c r="A3083" t="s">
        <v>189</v>
      </c>
      <c r="B3083" t="s">
        <v>84</v>
      </c>
      <c r="C3083">
        <v>2005</v>
      </c>
      <c r="D3083">
        <v>169</v>
      </c>
      <c r="E3083">
        <v>238.8</v>
      </c>
      <c r="F3083" t="str">
        <f t="shared" si="48"/>
        <v>natural gas combined cycle</v>
      </c>
    </row>
    <row r="3084" spans="1:6" x14ac:dyDescent="0.25">
      <c r="A3084" t="s">
        <v>189</v>
      </c>
      <c r="B3084" t="s">
        <v>84</v>
      </c>
      <c r="C3084">
        <v>2006</v>
      </c>
      <c r="D3084">
        <v>620.5</v>
      </c>
      <c r="E3084">
        <v>640</v>
      </c>
      <c r="F3084" t="str">
        <f t="shared" si="48"/>
        <v>natural gas combined cycle</v>
      </c>
    </row>
    <row r="3085" spans="1:6" x14ac:dyDescent="0.25">
      <c r="A3085" t="s">
        <v>189</v>
      </c>
      <c r="B3085" t="s">
        <v>84</v>
      </c>
      <c r="C3085">
        <v>2007</v>
      </c>
      <c r="D3085">
        <v>560.5</v>
      </c>
      <c r="E3085">
        <v>644.4</v>
      </c>
      <c r="F3085" t="str">
        <f t="shared" si="48"/>
        <v>natural gas combined cycle</v>
      </c>
    </row>
    <row r="3086" spans="1:6" x14ac:dyDescent="0.25">
      <c r="A3086" t="s">
        <v>189</v>
      </c>
      <c r="B3086" t="s">
        <v>84</v>
      </c>
      <c r="C3086">
        <v>2008</v>
      </c>
      <c r="D3086">
        <v>201.1</v>
      </c>
      <c r="E3086">
        <v>213.1</v>
      </c>
      <c r="F3086" t="str">
        <f t="shared" si="48"/>
        <v>natural gas combined cycle</v>
      </c>
    </row>
    <row r="3087" spans="1:6" x14ac:dyDescent="0.25">
      <c r="A3087" t="s">
        <v>189</v>
      </c>
      <c r="B3087" t="s">
        <v>84</v>
      </c>
      <c r="C3087">
        <v>2009</v>
      </c>
      <c r="D3087">
        <v>871</v>
      </c>
      <c r="E3087">
        <v>1155.4000000000001</v>
      </c>
      <c r="F3087" t="str">
        <f t="shared" si="48"/>
        <v>natural gas combined cycle</v>
      </c>
    </row>
    <row r="3088" spans="1:6" x14ac:dyDescent="0.25">
      <c r="A3088" t="s">
        <v>189</v>
      </c>
      <c r="B3088" t="s">
        <v>84</v>
      </c>
      <c r="C3088">
        <v>2010</v>
      </c>
      <c r="D3088">
        <v>869</v>
      </c>
      <c r="E3088">
        <v>1042.8</v>
      </c>
      <c r="F3088" t="str">
        <f t="shared" si="48"/>
        <v>natural gas combined cycle</v>
      </c>
    </row>
    <row r="3089" spans="1:6" x14ac:dyDescent="0.25">
      <c r="A3089" t="s">
        <v>189</v>
      </c>
      <c r="B3089" t="s">
        <v>84</v>
      </c>
      <c r="C3089">
        <v>2011</v>
      </c>
      <c r="D3089">
        <v>923.3</v>
      </c>
      <c r="E3089">
        <v>985.5</v>
      </c>
      <c r="F3089" t="str">
        <f t="shared" si="48"/>
        <v>natural gas combined cycle</v>
      </c>
    </row>
    <row r="3090" spans="1:6" x14ac:dyDescent="0.25">
      <c r="A3090" t="s">
        <v>189</v>
      </c>
      <c r="B3090" t="s">
        <v>84</v>
      </c>
      <c r="C3090">
        <v>2014</v>
      </c>
      <c r="D3090">
        <v>2346</v>
      </c>
      <c r="E3090">
        <v>2569.8000000000002</v>
      </c>
      <c r="F3090" t="str">
        <f t="shared" si="48"/>
        <v>natural gas combined cycle</v>
      </c>
    </row>
    <row r="3091" spans="1:6" x14ac:dyDescent="0.25">
      <c r="A3091" t="s">
        <v>189</v>
      </c>
      <c r="B3091" t="s">
        <v>84</v>
      </c>
      <c r="C3091">
        <v>2015</v>
      </c>
      <c r="D3091">
        <v>790</v>
      </c>
      <c r="E3091">
        <v>803.2</v>
      </c>
      <c r="F3091" t="str">
        <f t="shared" si="48"/>
        <v>natural gas combined cycle</v>
      </c>
    </row>
    <row r="3092" spans="1:6" x14ac:dyDescent="0.25">
      <c r="A3092" t="s">
        <v>189</v>
      </c>
      <c r="B3092" t="s">
        <v>84</v>
      </c>
      <c r="C3092">
        <v>2017</v>
      </c>
      <c r="D3092">
        <v>2246.1</v>
      </c>
      <c r="E3092">
        <v>2461.5</v>
      </c>
      <c r="F3092" t="str">
        <f t="shared" si="48"/>
        <v>natural gas combined cycle</v>
      </c>
    </row>
    <row r="3093" spans="1:6" x14ac:dyDescent="0.25">
      <c r="A3093" t="s">
        <v>189</v>
      </c>
      <c r="B3093" t="s">
        <v>84</v>
      </c>
      <c r="C3093">
        <v>2021</v>
      </c>
      <c r="D3093">
        <v>1000</v>
      </c>
      <c r="E3093">
        <v>1000</v>
      </c>
      <c r="F3093" t="str">
        <f t="shared" si="48"/>
        <v>natural gas combined cycle</v>
      </c>
    </row>
    <row r="3094" spans="1:6" x14ac:dyDescent="0.25">
      <c r="A3094" t="s">
        <v>189</v>
      </c>
      <c r="B3094" t="s">
        <v>84</v>
      </c>
      <c r="C3094">
        <v>2023</v>
      </c>
      <c r="D3094">
        <v>232</v>
      </c>
      <c r="E3094">
        <v>244</v>
      </c>
      <c r="F3094" t="str">
        <f t="shared" si="48"/>
        <v>natural gas combined cycle</v>
      </c>
    </row>
    <row r="3095" spans="1:6" x14ac:dyDescent="0.25">
      <c r="A3095" t="s">
        <v>189</v>
      </c>
      <c r="B3095" t="s">
        <v>93</v>
      </c>
      <c r="C3095">
        <v>1990</v>
      </c>
      <c r="D3095">
        <v>403</v>
      </c>
      <c r="E3095">
        <v>536.4</v>
      </c>
      <c r="F3095" t="str">
        <f t="shared" si="48"/>
        <v>natural gas peaker</v>
      </c>
    </row>
    <row r="3096" spans="1:6" x14ac:dyDescent="0.25">
      <c r="A3096" t="s">
        <v>189</v>
      </c>
      <c r="B3096" t="s">
        <v>93</v>
      </c>
      <c r="C3096">
        <v>1991</v>
      </c>
      <c r="D3096">
        <v>9</v>
      </c>
      <c r="E3096">
        <v>10.199999999999999</v>
      </c>
      <c r="F3096" t="str">
        <f t="shared" si="48"/>
        <v>natural gas peaker</v>
      </c>
    </row>
    <row r="3097" spans="1:6" x14ac:dyDescent="0.25">
      <c r="A3097" t="s">
        <v>189</v>
      </c>
      <c r="B3097" t="s">
        <v>93</v>
      </c>
      <c r="C3097">
        <v>1992</v>
      </c>
      <c r="D3097">
        <v>70.599999999999994</v>
      </c>
      <c r="E3097">
        <v>86.4</v>
      </c>
      <c r="F3097" t="str">
        <f t="shared" si="48"/>
        <v>natural gas peaker</v>
      </c>
    </row>
    <row r="3098" spans="1:6" x14ac:dyDescent="0.25">
      <c r="A3098" t="s">
        <v>189</v>
      </c>
      <c r="B3098" t="s">
        <v>93</v>
      </c>
      <c r="C3098">
        <v>1993</v>
      </c>
      <c r="D3098">
        <v>32</v>
      </c>
      <c r="E3098">
        <v>38.6</v>
      </c>
      <c r="F3098" t="str">
        <f t="shared" si="48"/>
        <v>natural gas peaker</v>
      </c>
    </row>
    <row r="3099" spans="1:6" x14ac:dyDescent="0.25">
      <c r="A3099" t="s">
        <v>189</v>
      </c>
      <c r="B3099" t="s">
        <v>93</v>
      </c>
      <c r="C3099">
        <v>1994</v>
      </c>
      <c r="D3099">
        <v>241.8</v>
      </c>
      <c r="E3099">
        <v>277.39999999999998</v>
      </c>
      <c r="F3099" t="str">
        <f t="shared" si="48"/>
        <v>natural gas peaker</v>
      </c>
    </row>
    <row r="3100" spans="1:6" x14ac:dyDescent="0.25">
      <c r="A3100" t="s">
        <v>189</v>
      </c>
      <c r="B3100" t="s">
        <v>93</v>
      </c>
      <c r="C3100">
        <v>1995</v>
      </c>
      <c r="D3100">
        <v>313</v>
      </c>
      <c r="E3100">
        <v>358.6</v>
      </c>
      <c r="F3100" t="str">
        <f t="shared" si="48"/>
        <v>natural gas peaker</v>
      </c>
    </row>
    <row r="3101" spans="1:6" x14ac:dyDescent="0.25">
      <c r="A3101" t="s">
        <v>189</v>
      </c>
      <c r="B3101" t="s">
        <v>93</v>
      </c>
      <c r="C3101">
        <v>1996</v>
      </c>
      <c r="D3101">
        <v>41</v>
      </c>
      <c r="E3101">
        <v>50.5</v>
      </c>
      <c r="F3101" t="str">
        <f t="shared" si="48"/>
        <v>natural gas peaker</v>
      </c>
    </row>
    <row r="3102" spans="1:6" x14ac:dyDescent="0.25">
      <c r="A3102" t="s">
        <v>189</v>
      </c>
      <c r="B3102" t="s">
        <v>93</v>
      </c>
      <c r="C3102">
        <v>1997</v>
      </c>
      <c r="D3102">
        <v>405</v>
      </c>
      <c r="E3102">
        <v>527.9</v>
      </c>
      <c r="F3102" t="str">
        <f t="shared" si="48"/>
        <v>natural gas peaker</v>
      </c>
    </row>
    <row r="3103" spans="1:6" x14ac:dyDescent="0.25">
      <c r="A3103" t="s">
        <v>189</v>
      </c>
      <c r="B3103" t="s">
        <v>93</v>
      </c>
      <c r="C3103">
        <v>1999</v>
      </c>
      <c r="D3103">
        <v>312.2</v>
      </c>
      <c r="E3103">
        <v>354.8</v>
      </c>
      <c r="F3103" t="str">
        <f t="shared" si="48"/>
        <v>natural gas peaker</v>
      </c>
    </row>
    <row r="3104" spans="1:6" x14ac:dyDescent="0.25">
      <c r="A3104" t="s">
        <v>189</v>
      </c>
      <c r="B3104" t="s">
        <v>93</v>
      </c>
      <c r="C3104">
        <v>2000</v>
      </c>
      <c r="D3104">
        <v>173</v>
      </c>
      <c r="E3104">
        <v>216.4</v>
      </c>
      <c r="F3104" t="str">
        <f t="shared" si="48"/>
        <v>natural gas peaker</v>
      </c>
    </row>
    <row r="3105" spans="1:6" x14ac:dyDescent="0.25">
      <c r="A3105" t="s">
        <v>189</v>
      </c>
      <c r="B3105" t="s">
        <v>93</v>
      </c>
      <c r="C3105">
        <v>2001</v>
      </c>
      <c r="D3105">
        <v>778</v>
      </c>
      <c r="E3105">
        <v>965.9</v>
      </c>
      <c r="F3105" t="str">
        <f t="shared" si="48"/>
        <v>natural gas peaker</v>
      </c>
    </row>
    <row r="3106" spans="1:6" x14ac:dyDescent="0.25">
      <c r="A3106" t="s">
        <v>189</v>
      </c>
      <c r="B3106" t="s">
        <v>93</v>
      </c>
      <c r="C3106">
        <v>2002</v>
      </c>
      <c r="D3106">
        <v>0.8</v>
      </c>
      <c r="E3106">
        <v>0.8</v>
      </c>
      <c r="F3106" t="str">
        <f t="shared" si="48"/>
        <v>natural gas peaker</v>
      </c>
    </row>
    <row r="3107" spans="1:6" x14ac:dyDescent="0.25">
      <c r="A3107" t="s">
        <v>189</v>
      </c>
      <c r="B3107" t="s">
        <v>93</v>
      </c>
      <c r="C3107">
        <v>2004</v>
      </c>
      <c r="D3107">
        <v>566.1</v>
      </c>
      <c r="E3107">
        <v>671.5</v>
      </c>
      <c r="F3107" t="str">
        <f t="shared" si="48"/>
        <v>natural gas peaker</v>
      </c>
    </row>
    <row r="3108" spans="1:6" x14ac:dyDescent="0.25">
      <c r="A3108" t="s">
        <v>189</v>
      </c>
      <c r="B3108" t="s">
        <v>93</v>
      </c>
      <c r="C3108">
        <v>2005</v>
      </c>
      <c r="D3108">
        <v>400.76</v>
      </c>
      <c r="E3108">
        <v>443</v>
      </c>
      <c r="F3108" t="str">
        <f t="shared" si="48"/>
        <v>natural gas peaker</v>
      </c>
    </row>
    <row r="3109" spans="1:6" x14ac:dyDescent="0.25">
      <c r="A3109" t="s">
        <v>189</v>
      </c>
      <c r="B3109" t="s">
        <v>93</v>
      </c>
      <c r="C3109">
        <v>2006</v>
      </c>
      <c r="D3109">
        <v>156.1</v>
      </c>
      <c r="E3109">
        <v>157.6</v>
      </c>
      <c r="F3109" t="str">
        <f t="shared" si="48"/>
        <v>natural gas peaker</v>
      </c>
    </row>
    <row r="3110" spans="1:6" x14ac:dyDescent="0.25">
      <c r="A3110" t="s">
        <v>189</v>
      </c>
      <c r="B3110" t="s">
        <v>93</v>
      </c>
      <c r="C3110">
        <v>2007</v>
      </c>
      <c r="D3110">
        <v>148.9</v>
      </c>
      <c r="E3110">
        <v>153</v>
      </c>
      <c r="F3110" t="str">
        <f t="shared" si="48"/>
        <v>natural gas peaker</v>
      </c>
    </row>
    <row r="3111" spans="1:6" x14ac:dyDescent="0.25">
      <c r="A3111" t="s">
        <v>189</v>
      </c>
      <c r="B3111" t="s">
        <v>93</v>
      </c>
      <c r="C3111">
        <v>2008</v>
      </c>
      <c r="D3111">
        <v>177.4</v>
      </c>
      <c r="E3111">
        <v>263.60000000000002</v>
      </c>
      <c r="F3111" t="str">
        <f t="shared" si="48"/>
        <v>natural gas peaker</v>
      </c>
    </row>
    <row r="3112" spans="1:6" x14ac:dyDescent="0.25">
      <c r="A3112" t="s">
        <v>189</v>
      </c>
      <c r="B3112" t="s">
        <v>93</v>
      </c>
      <c r="C3112">
        <v>2009</v>
      </c>
      <c r="D3112">
        <v>13.1</v>
      </c>
      <c r="E3112">
        <v>15.8</v>
      </c>
      <c r="F3112" t="str">
        <f t="shared" si="48"/>
        <v>natural gas peaker</v>
      </c>
    </row>
    <row r="3113" spans="1:6" x14ac:dyDescent="0.25">
      <c r="A3113" t="s">
        <v>189</v>
      </c>
      <c r="B3113" t="s">
        <v>93</v>
      </c>
      <c r="C3113">
        <v>2010</v>
      </c>
      <c r="D3113">
        <v>784.9</v>
      </c>
      <c r="E3113">
        <v>917.7</v>
      </c>
      <c r="F3113" t="str">
        <f t="shared" si="48"/>
        <v>natural gas peaker</v>
      </c>
    </row>
    <row r="3114" spans="1:6" x14ac:dyDescent="0.25">
      <c r="A3114" t="s">
        <v>189</v>
      </c>
      <c r="B3114" t="s">
        <v>93</v>
      </c>
      <c r="C3114">
        <v>2011</v>
      </c>
      <c r="D3114">
        <v>328</v>
      </c>
      <c r="E3114">
        <v>350.1</v>
      </c>
      <c r="F3114" t="str">
        <f t="shared" si="48"/>
        <v>natural gas peaker</v>
      </c>
    </row>
    <row r="3115" spans="1:6" x14ac:dyDescent="0.25">
      <c r="A3115" t="s">
        <v>189</v>
      </c>
      <c r="B3115" t="s">
        <v>93</v>
      </c>
      <c r="C3115">
        <v>2012</v>
      </c>
      <c r="D3115">
        <v>32.799999999999997</v>
      </c>
      <c r="E3115">
        <v>32.799999999999997</v>
      </c>
      <c r="F3115" t="str">
        <f t="shared" si="48"/>
        <v>natural gas peaker</v>
      </c>
    </row>
    <row r="3116" spans="1:6" x14ac:dyDescent="0.25">
      <c r="A3116" t="s">
        <v>189</v>
      </c>
      <c r="B3116" t="s">
        <v>93</v>
      </c>
      <c r="C3116">
        <v>2013</v>
      </c>
      <c r="D3116">
        <v>370.2</v>
      </c>
      <c r="E3116">
        <v>434.2</v>
      </c>
      <c r="F3116" t="str">
        <f t="shared" si="48"/>
        <v>natural gas peaker</v>
      </c>
    </row>
    <row r="3117" spans="1:6" x14ac:dyDescent="0.25">
      <c r="A3117" t="s">
        <v>189</v>
      </c>
      <c r="B3117" t="s">
        <v>93</v>
      </c>
      <c r="C3117">
        <v>2014</v>
      </c>
      <c r="D3117">
        <v>75</v>
      </c>
      <c r="E3117">
        <v>79.599999999999994</v>
      </c>
      <c r="F3117" t="str">
        <f t="shared" si="48"/>
        <v>natural gas peaker</v>
      </c>
    </row>
    <row r="3118" spans="1:6" x14ac:dyDescent="0.25">
      <c r="A3118" t="s">
        <v>189</v>
      </c>
      <c r="B3118" t="s">
        <v>93</v>
      </c>
      <c r="C3118">
        <v>2015</v>
      </c>
      <c r="D3118">
        <v>841.8</v>
      </c>
      <c r="E3118">
        <v>981.4</v>
      </c>
      <c r="F3118" t="str">
        <f t="shared" si="48"/>
        <v>natural gas peaker</v>
      </c>
    </row>
    <row r="3119" spans="1:6" x14ac:dyDescent="0.25">
      <c r="A3119" t="s">
        <v>189</v>
      </c>
      <c r="B3119" t="s">
        <v>93</v>
      </c>
      <c r="C3119">
        <v>2016</v>
      </c>
      <c r="D3119">
        <v>908.9</v>
      </c>
      <c r="E3119">
        <v>1019.4</v>
      </c>
      <c r="F3119" t="str">
        <f t="shared" si="48"/>
        <v>natural gas peaker</v>
      </c>
    </row>
    <row r="3120" spans="1:6" x14ac:dyDescent="0.25">
      <c r="A3120" t="s">
        <v>189</v>
      </c>
      <c r="B3120" t="s">
        <v>93</v>
      </c>
      <c r="C3120">
        <v>2017</v>
      </c>
      <c r="D3120">
        <v>186.1</v>
      </c>
      <c r="E3120">
        <v>252.1</v>
      </c>
      <c r="F3120" t="str">
        <f t="shared" si="48"/>
        <v>natural gas peaker</v>
      </c>
    </row>
    <row r="3121" spans="1:6" x14ac:dyDescent="0.25">
      <c r="A3121" t="s">
        <v>189</v>
      </c>
      <c r="B3121" t="s">
        <v>93</v>
      </c>
      <c r="C3121">
        <v>2018</v>
      </c>
      <c r="D3121">
        <v>698.8</v>
      </c>
      <c r="E3121">
        <v>807.1</v>
      </c>
      <c r="F3121" t="str">
        <f t="shared" si="48"/>
        <v>natural gas peaker</v>
      </c>
    </row>
    <row r="3122" spans="1:6" x14ac:dyDescent="0.25">
      <c r="A3122" t="s">
        <v>189</v>
      </c>
      <c r="B3122" t="s">
        <v>93</v>
      </c>
      <c r="C3122">
        <v>2019</v>
      </c>
      <c r="D3122">
        <v>176</v>
      </c>
      <c r="E3122">
        <v>207</v>
      </c>
      <c r="F3122" t="str">
        <f t="shared" si="48"/>
        <v>natural gas peaker</v>
      </c>
    </row>
    <row r="3123" spans="1:6" x14ac:dyDescent="0.25">
      <c r="A3123" t="s">
        <v>189</v>
      </c>
      <c r="B3123" t="s">
        <v>93</v>
      </c>
      <c r="C3123">
        <v>2020</v>
      </c>
      <c r="D3123">
        <v>207.7</v>
      </c>
      <c r="E3123">
        <v>241.7</v>
      </c>
      <c r="F3123" t="str">
        <f t="shared" si="48"/>
        <v>natural gas peaker</v>
      </c>
    </row>
    <row r="3124" spans="1:6" x14ac:dyDescent="0.25">
      <c r="A3124" t="s">
        <v>189</v>
      </c>
      <c r="B3124" t="s">
        <v>93</v>
      </c>
      <c r="C3124">
        <v>2021</v>
      </c>
      <c r="D3124">
        <v>884.7</v>
      </c>
      <c r="E3124">
        <v>1172.7</v>
      </c>
      <c r="F3124" t="str">
        <f t="shared" si="48"/>
        <v>natural gas peaker</v>
      </c>
    </row>
    <row r="3125" spans="1:6" x14ac:dyDescent="0.25">
      <c r="A3125" t="s">
        <v>189</v>
      </c>
      <c r="B3125" t="s">
        <v>93</v>
      </c>
      <c r="C3125">
        <v>2022</v>
      </c>
      <c r="D3125">
        <v>811.6</v>
      </c>
      <c r="E3125">
        <v>1059</v>
      </c>
      <c r="F3125" t="str">
        <f t="shared" si="48"/>
        <v>natural gas peaker</v>
      </c>
    </row>
    <row r="3126" spans="1:6" x14ac:dyDescent="0.25">
      <c r="A3126" t="s">
        <v>189</v>
      </c>
      <c r="B3126" t="s">
        <v>93</v>
      </c>
      <c r="C3126">
        <v>2023</v>
      </c>
      <c r="D3126">
        <v>664.6</v>
      </c>
      <c r="E3126">
        <v>803.8</v>
      </c>
      <c r="F3126" t="str">
        <f t="shared" si="48"/>
        <v>natural gas peaker</v>
      </c>
    </row>
    <row r="3127" spans="1:6" x14ac:dyDescent="0.25">
      <c r="A3127" t="s">
        <v>189</v>
      </c>
      <c r="B3127" t="s">
        <v>93</v>
      </c>
      <c r="C3127">
        <v>2024</v>
      </c>
      <c r="D3127">
        <v>537.20000000000005</v>
      </c>
      <c r="E3127">
        <v>697</v>
      </c>
      <c r="F3127" t="str">
        <f t="shared" si="48"/>
        <v>natural gas peaker</v>
      </c>
    </row>
    <row r="3128" spans="1:6" x14ac:dyDescent="0.25">
      <c r="A3128" t="s">
        <v>189</v>
      </c>
      <c r="B3128" t="s">
        <v>93</v>
      </c>
      <c r="C3128">
        <v>2025</v>
      </c>
      <c r="D3128">
        <v>187.6</v>
      </c>
      <c r="E3128">
        <v>187.6</v>
      </c>
      <c r="F3128" t="str">
        <f t="shared" si="48"/>
        <v>natural gas peaker</v>
      </c>
    </row>
    <row r="3129" spans="1:6" x14ac:dyDescent="0.25">
      <c r="A3129" t="s">
        <v>189</v>
      </c>
      <c r="B3129" t="s">
        <v>83</v>
      </c>
      <c r="C3129">
        <v>1993</v>
      </c>
      <c r="D3129">
        <v>43.8</v>
      </c>
      <c r="E3129">
        <v>46.5</v>
      </c>
      <c r="F3129" t="str">
        <f t="shared" si="48"/>
        <v>natural gas steam turbine</v>
      </c>
    </row>
    <row r="3130" spans="1:6" x14ac:dyDescent="0.25">
      <c r="A3130" t="s">
        <v>189</v>
      </c>
      <c r="B3130" t="s">
        <v>83</v>
      </c>
      <c r="C3130">
        <v>2000</v>
      </c>
      <c r="D3130">
        <v>42.5</v>
      </c>
      <c r="E3130">
        <v>46.1</v>
      </c>
      <c r="F3130" t="str">
        <f t="shared" si="48"/>
        <v>natural gas steam turbine</v>
      </c>
    </row>
    <row r="3131" spans="1:6" x14ac:dyDescent="0.25">
      <c r="A3131" t="s">
        <v>189</v>
      </c>
      <c r="B3131" t="s">
        <v>83</v>
      </c>
      <c r="C3131">
        <v>2012</v>
      </c>
      <c r="D3131">
        <v>286.2</v>
      </c>
      <c r="E3131">
        <v>310</v>
      </c>
      <c r="F3131" t="str">
        <f t="shared" si="48"/>
        <v>natural gas steam turbine</v>
      </c>
    </row>
    <row r="3132" spans="1:6" x14ac:dyDescent="0.25">
      <c r="A3132" t="s">
        <v>189</v>
      </c>
      <c r="B3132" t="s">
        <v>85</v>
      </c>
      <c r="C3132">
        <v>1990</v>
      </c>
      <c r="D3132">
        <v>1205</v>
      </c>
      <c r="E3132">
        <v>1215</v>
      </c>
      <c r="F3132" t="str">
        <f t="shared" si="48"/>
        <v>nuclear</v>
      </c>
    </row>
    <row r="3133" spans="1:6" x14ac:dyDescent="0.25">
      <c r="A3133" t="s">
        <v>189</v>
      </c>
      <c r="B3133" t="s">
        <v>85</v>
      </c>
      <c r="C3133">
        <v>1993</v>
      </c>
      <c r="D3133">
        <v>1195</v>
      </c>
      <c r="E3133">
        <v>1215</v>
      </c>
      <c r="F3133" t="str">
        <f t="shared" si="48"/>
        <v>nuclear</v>
      </c>
    </row>
    <row r="3134" spans="1:6" x14ac:dyDescent="0.25">
      <c r="A3134" t="s">
        <v>189</v>
      </c>
      <c r="B3134" t="s">
        <v>87</v>
      </c>
      <c r="C3134">
        <v>1998</v>
      </c>
      <c r="D3134">
        <v>34.299999999999997</v>
      </c>
      <c r="E3134">
        <v>34.299999999999997</v>
      </c>
      <c r="F3134" t="str">
        <f t="shared" si="48"/>
        <v>onshore wind</v>
      </c>
    </row>
    <row r="3135" spans="1:6" x14ac:dyDescent="0.25">
      <c r="A3135" t="s">
        <v>189</v>
      </c>
      <c r="B3135" t="s">
        <v>87</v>
      </c>
      <c r="C3135">
        <v>2001</v>
      </c>
      <c r="D3135">
        <v>753.8</v>
      </c>
      <c r="E3135">
        <v>753.8</v>
      </c>
      <c r="F3135" t="str">
        <f t="shared" si="48"/>
        <v>onshore wind</v>
      </c>
    </row>
    <row r="3136" spans="1:6" x14ac:dyDescent="0.25">
      <c r="A3136" t="s">
        <v>189</v>
      </c>
      <c r="B3136" t="s">
        <v>87</v>
      </c>
      <c r="C3136">
        <v>2002</v>
      </c>
      <c r="D3136">
        <v>167.7</v>
      </c>
      <c r="E3136">
        <v>167.7</v>
      </c>
      <c r="F3136" t="str">
        <f t="shared" si="48"/>
        <v>onshore wind</v>
      </c>
    </row>
    <row r="3137" spans="1:6" x14ac:dyDescent="0.25">
      <c r="A3137" t="s">
        <v>189</v>
      </c>
      <c r="B3137" t="s">
        <v>87</v>
      </c>
      <c r="C3137">
        <v>2003</v>
      </c>
      <c r="D3137">
        <v>219.9</v>
      </c>
      <c r="E3137">
        <v>219.9</v>
      </c>
      <c r="F3137" t="str">
        <f t="shared" si="48"/>
        <v>onshore wind</v>
      </c>
    </row>
    <row r="3138" spans="1:6" x14ac:dyDescent="0.25">
      <c r="A3138" t="s">
        <v>189</v>
      </c>
      <c r="B3138" t="s">
        <v>87</v>
      </c>
      <c r="C3138">
        <v>2005</v>
      </c>
      <c r="D3138">
        <v>569.79999999999995</v>
      </c>
      <c r="E3138">
        <v>560.79999999999995</v>
      </c>
      <c r="F3138" t="str">
        <f t="shared" ref="F3138:F3201" si="49">LOWER($B3138)</f>
        <v>onshore wind</v>
      </c>
    </row>
    <row r="3139" spans="1:6" x14ac:dyDescent="0.25">
      <c r="A3139" t="s">
        <v>189</v>
      </c>
      <c r="B3139" t="s">
        <v>87</v>
      </c>
      <c r="C3139">
        <v>2006</v>
      </c>
      <c r="D3139">
        <v>861.3</v>
      </c>
      <c r="E3139">
        <v>861.3</v>
      </c>
      <c r="F3139" t="str">
        <f t="shared" si="49"/>
        <v>onshore wind</v>
      </c>
    </row>
    <row r="3140" spans="1:6" x14ac:dyDescent="0.25">
      <c r="A3140" t="s">
        <v>189</v>
      </c>
      <c r="B3140" t="s">
        <v>87</v>
      </c>
      <c r="C3140">
        <v>2007</v>
      </c>
      <c r="D3140">
        <v>1686</v>
      </c>
      <c r="E3140">
        <v>1688.8</v>
      </c>
      <c r="F3140" t="str">
        <f t="shared" si="49"/>
        <v>onshore wind</v>
      </c>
    </row>
    <row r="3141" spans="1:6" x14ac:dyDescent="0.25">
      <c r="A3141" t="s">
        <v>189</v>
      </c>
      <c r="B3141" t="s">
        <v>87</v>
      </c>
      <c r="C3141">
        <v>2008</v>
      </c>
      <c r="D3141">
        <v>2902.4</v>
      </c>
      <c r="E3141">
        <v>2885.1</v>
      </c>
      <c r="F3141" t="str">
        <f t="shared" si="49"/>
        <v>onshore wind</v>
      </c>
    </row>
    <row r="3142" spans="1:6" x14ac:dyDescent="0.25">
      <c r="A3142" t="s">
        <v>189</v>
      </c>
      <c r="B3142" t="s">
        <v>87</v>
      </c>
      <c r="C3142">
        <v>2009</v>
      </c>
      <c r="D3142">
        <v>2043.9</v>
      </c>
      <c r="E3142">
        <v>2029.4</v>
      </c>
      <c r="F3142" t="str">
        <f t="shared" si="49"/>
        <v>onshore wind</v>
      </c>
    </row>
    <row r="3143" spans="1:6" x14ac:dyDescent="0.25">
      <c r="A3143" t="s">
        <v>189</v>
      </c>
      <c r="B3143" t="s">
        <v>87</v>
      </c>
      <c r="C3143">
        <v>2010</v>
      </c>
      <c r="D3143">
        <v>721.7</v>
      </c>
      <c r="E3143">
        <v>721.7</v>
      </c>
      <c r="F3143" t="str">
        <f t="shared" si="49"/>
        <v>onshore wind</v>
      </c>
    </row>
    <row r="3144" spans="1:6" x14ac:dyDescent="0.25">
      <c r="A3144" t="s">
        <v>189</v>
      </c>
      <c r="B3144" t="s">
        <v>87</v>
      </c>
      <c r="C3144">
        <v>2011</v>
      </c>
      <c r="D3144">
        <v>418.2</v>
      </c>
      <c r="E3144">
        <v>418.2</v>
      </c>
      <c r="F3144" t="str">
        <f t="shared" si="49"/>
        <v>onshore wind</v>
      </c>
    </row>
    <row r="3145" spans="1:6" x14ac:dyDescent="0.25">
      <c r="A3145" t="s">
        <v>189</v>
      </c>
      <c r="B3145" t="s">
        <v>87</v>
      </c>
      <c r="C3145">
        <v>2012</v>
      </c>
      <c r="D3145">
        <v>1594.9</v>
      </c>
      <c r="E3145">
        <v>1594.6</v>
      </c>
      <c r="F3145" t="str">
        <f t="shared" si="49"/>
        <v>onshore wind</v>
      </c>
    </row>
    <row r="3146" spans="1:6" x14ac:dyDescent="0.25">
      <c r="A3146" t="s">
        <v>189</v>
      </c>
      <c r="B3146" t="s">
        <v>87</v>
      </c>
      <c r="C3146">
        <v>2013</v>
      </c>
      <c r="D3146">
        <v>150</v>
      </c>
      <c r="E3146">
        <v>150</v>
      </c>
      <c r="F3146" t="str">
        <f t="shared" si="49"/>
        <v>onshore wind</v>
      </c>
    </row>
    <row r="3147" spans="1:6" x14ac:dyDescent="0.25">
      <c r="A3147" t="s">
        <v>189</v>
      </c>
      <c r="B3147" t="s">
        <v>87</v>
      </c>
      <c r="C3147">
        <v>2014</v>
      </c>
      <c r="D3147">
        <v>2023.4</v>
      </c>
      <c r="E3147">
        <v>2023.4</v>
      </c>
      <c r="F3147" t="str">
        <f t="shared" si="49"/>
        <v>onshore wind</v>
      </c>
    </row>
    <row r="3148" spans="1:6" x14ac:dyDescent="0.25">
      <c r="A3148" t="s">
        <v>189</v>
      </c>
      <c r="B3148" t="s">
        <v>87</v>
      </c>
      <c r="C3148">
        <v>2015</v>
      </c>
      <c r="D3148">
        <v>3417.7</v>
      </c>
      <c r="E3148">
        <v>3416.7</v>
      </c>
      <c r="F3148" t="str">
        <f t="shared" si="49"/>
        <v>onshore wind</v>
      </c>
    </row>
    <row r="3149" spans="1:6" x14ac:dyDescent="0.25">
      <c r="A3149" t="s">
        <v>189</v>
      </c>
      <c r="B3149" t="s">
        <v>87</v>
      </c>
      <c r="C3149">
        <v>2016</v>
      </c>
      <c r="D3149">
        <v>2516.5</v>
      </c>
      <c r="E3149">
        <v>2517.4</v>
      </c>
      <c r="F3149" t="str">
        <f t="shared" si="49"/>
        <v>onshore wind</v>
      </c>
    </row>
    <row r="3150" spans="1:6" x14ac:dyDescent="0.25">
      <c r="A3150" t="s">
        <v>189</v>
      </c>
      <c r="B3150" t="s">
        <v>87</v>
      </c>
      <c r="C3150">
        <v>2017</v>
      </c>
      <c r="D3150">
        <v>2121.1</v>
      </c>
      <c r="E3150">
        <v>2108.1</v>
      </c>
      <c r="F3150" t="str">
        <f t="shared" si="49"/>
        <v>onshore wind</v>
      </c>
    </row>
    <row r="3151" spans="1:6" x14ac:dyDescent="0.25">
      <c r="A3151" t="s">
        <v>189</v>
      </c>
      <c r="B3151" t="s">
        <v>87</v>
      </c>
      <c r="C3151">
        <v>2018</v>
      </c>
      <c r="D3151">
        <v>1887.9</v>
      </c>
      <c r="E3151">
        <v>1887.9</v>
      </c>
      <c r="F3151" t="str">
        <f t="shared" si="49"/>
        <v>onshore wind</v>
      </c>
    </row>
    <row r="3152" spans="1:6" x14ac:dyDescent="0.25">
      <c r="A3152" t="s">
        <v>189</v>
      </c>
      <c r="B3152" t="s">
        <v>87</v>
      </c>
      <c r="C3152">
        <v>2019</v>
      </c>
      <c r="D3152">
        <v>3945.6</v>
      </c>
      <c r="E3152">
        <v>3949.7</v>
      </c>
      <c r="F3152" t="str">
        <f t="shared" si="49"/>
        <v>onshore wind</v>
      </c>
    </row>
    <row r="3153" spans="1:6" x14ac:dyDescent="0.25">
      <c r="A3153" t="s">
        <v>189</v>
      </c>
      <c r="B3153" t="s">
        <v>87</v>
      </c>
      <c r="C3153">
        <v>2020</v>
      </c>
      <c r="D3153">
        <v>2098.1999999999998</v>
      </c>
      <c r="E3153">
        <v>2100.5</v>
      </c>
      <c r="F3153" t="str">
        <f t="shared" si="49"/>
        <v>onshore wind</v>
      </c>
    </row>
    <row r="3154" spans="1:6" x14ac:dyDescent="0.25">
      <c r="A3154" t="s">
        <v>189</v>
      </c>
      <c r="B3154" t="s">
        <v>87</v>
      </c>
      <c r="C3154">
        <v>2021</v>
      </c>
      <c r="D3154">
        <v>3953.7</v>
      </c>
      <c r="E3154">
        <v>3953.7</v>
      </c>
      <c r="F3154" t="str">
        <f t="shared" si="49"/>
        <v>onshore wind</v>
      </c>
    </row>
    <row r="3155" spans="1:6" x14ac:dyDescent="0.25">
      <c r="A3155" t="s">
        <v>189</v>
      </c>
      <c r="B3155" t="s">
        <v>87</v>
      </c>
      <c r="C3155">
        <v>2022</v>
      </c>
      <c r="D3155">
        <v>4877.3</v>
      </c>
      <c r="E3155">
        <v>4877.3</v>
      </c>
      <c r="F3155" t="str">
        <f t="shared" si="49"/>
        <v>onshore wind</v>
      </c>
    </row>
    <row r="3156" spans="1:6" x14ac:dyDescent="0.25">
      <c r="A3156" t="s">
        <v>189</v>
      </c>
      <c r="B3156" t="s">
        <v>87</v>
      </c>
      <c r="C3156">
        <v>2023</v>
      </c>
      <c r="D3156">
        <v>1460.8</v>
      </c>
      <c r="E3156">
        <v>1460.8</v>
      </c>
      <c r="F3156" t="str">
        <f t="shared" si="49"/>
        <v>onshore wind</v>
      </c>
    </row>
    <row r="3157" spans="1:6" x14ac:dyDescent="0.25">
      <c r="A3157" t="s">
        <v>189</v>
      </c>
      <c r="B3157" t="s">
        <v>87</v>
      </c>
      <c r="C3157">
        <v>2024</v>
      </c>
      <c r="D3157">
        <v>1935.5</v>
      </c>
      <c r="E3157">
        <v>1935.5</v>
      </c>
      <c r="F3157" t="str">
        <f t="shared" si="49"/>
        <v>onshore wind</v>
      </c>
    </row>
    <row r="3158" spans="1:6" x14ac:dyDescent="0.25">
      <c r="A3158" t="s">
        <v>189</v>
      </c>
      <c r="B3158" t="s">
        <v>87</v>
      </c>
      <c r="C3158">
        <v>2025</v>
      </c>
      <c r="D3158">
        <v>1667.1</v>
      </c>
      <c r="E3158">
        <v>1667.1</v>
      </c>
      <c r="F3158" t="str">
        <f t="shared" si="49"/>
        <v>onshore wind</v>
      </c>
    </row>
    <row r="3159" spans="1:6" x14ac:dyDescent="0.25">
      <c r="A3159" t="s">
        <v>189</v>
      </c>
      <c r="B3159" t="s">
        <v>92</v>
      </c>
      <c r="C3159">
        <v>1991</v>
      </c>
      <c r="D3159">
        <v>1.8</v>
      </c>
      <c r="E3159">
        <v>3.2</v>
      </c>
      <c r="F3159" t="str">
        <f t="shared" si="49"/>
        <v>petroleum</v>
      </c>
    </row>
    <row r="3160" spans="1:6" x14ac:dyDescent="0.25">
      <c r="A3160" t="s">
        <v>189</v>
      </c>
      <c r="B3160" t="s">
        <v>92</v>
      </c>
      <c r="C3160">
        <v>1998</v>
      </c>
      <c r="D3160">
        <v>10.8</v>
      </c>
      <c r="E3160">
        <v>10.8</v>
      </c>
      <c r="F3160" t="str">
        <f t="shared" si="49"/>
        <v>petroleum</v>
      </c>
    </row>
    <row r="3161" spans="1:6" x14ac:dyDescent="0.25">
      <c r="A3161" t="s">
        <v>189</v>
      </c>
      <c r="B3161" t="s">
        <v>92</v>
      </c>
      <c r="C3161">
        <v>2001</v>
      </c>
      <c r="D3161">
        <v>8</v>
      </c>
      <c r="E3161">
        <v>10.4</v>
      </c>
      <c r="F3161" t="str">
        <f t="shared" si="49"/>
        <v>petroleum</v>
      </c>
    </row>
    <row r="3162" spans="1:6" x14ac:dyDescent="0.25">
      <c r="A3162" t="s">
        <v>189</v>
      </c>
      <c r="B3162" t="s">
        <v>92</v>
      </c>
      <c r="C3162">
        <v>2006</v>
      </c>
      <c r="D3162">
        <v>1.5</v>
      </c>
      <c r="E3162">
        <v>1.5</v>
      </c>
      <c r="F3162" t="str">
        <f t="shared" si="49"/>
        <v>petroleum</v>
      </c>
    </row>
    <row r="3163" spans="1:6" x14ac:dyDescent="0.25">
      <c r="A3163" t="s">
        <v>189</v>
      </c>
      <c r="B3163" t="s">
        <v>92</v>
      </c>
      <c r="C3163">
        <v>2013</v>
      </c>
      <c r="D3163">
        <v>132.30000000000001</v>
      </c>
      <c r="E3163">
        <v>157.80000000000001</v>
      </c>
      <c r="F3163" t="str">
        <f t="shared" si="49"/>
        <v>petroleum</v>
      </c>
    </row>
    <row r="3164" spans="1:6" x14ac:dyDescent="0.25">
      <c r="A3164" t="s">
        <v>189</v>
      </c>
      <c r="B3164" t="s">
        <v>92</v>
      </c>
      <c r="C3164">
        <v>2014</v>
      </c>
      <c r="D3164">
        <v>2.4</v>
      </c>
      <c r="E3164">
        <v>2.4</v>
      </c>
      <c r="F3164" t="str">
        <f t="shared" si="49"/>
        <v>petroleum</v>
      </c>
    </row>
    <row r="3165" spans="1:6" x14ac:dyDescent="0.25">
      <c r="A3165" t="s">
        <v>189</v>
      </c>
      <c r="B3165" t="s">
        <v>92</v>
      </c>
      <c r="C3165">
        <v>2020</v>
      </c>
      <c r="D3165">
        <v>6.5</v>
      </c>
      <c r="E3165">
        <v>6.5</v>
      </c>
      <c r="F3165" t="str">
        <f t="shared" si="49"/>
        <v>petroleum</v>
      </c>
    </row>
    <row r="3166" spans="1:6" x14ac:dyDescent="0.25">
      <c r="A3166" t="s">
        <v>189</v>
      </c>
      <c r="B3166" t="s">
        <v>249</v>
      </c>
      <c r="C3166">
        <v>2010</v>
      </c>
      <c r="D3166">
        <v>13.5</v>
      </c>
      <c r="E3166">
        <v>13.9</v>
      </c>
      <c r="F3166" t="str">
        <f t="shared" si="49"/>
        <v>solar pv</v>
      </c>
    </row>
    <row r="3167" spans="1:6" x14ac:dyDescent="0.25">
      <c r="A3167" t="s">
        <v>189</v>
      </c>
      <c r="B3167" t="s">
        <v>249</v>
      </c>
      <c r="C3167">
        <v>2011</v>
      </c>
      <c r="D3167">
        <v>30</v>
      </c>
      <c r="E3167">
        <v>30</v>
      </c>
      <c r="F3167" t="str">
        <f t="shared" si="49"/>
        <v>solar pv</v>
      </c>
    </row>
    <row r="3168" spans="1:6" x14ac:dyDescent="0.25">
      <c r="A3168" t="s">
        <v>189</v>
      </c>
      <c r="B3168" t="s">
        <v>249</v>
      </c>
      <c r="C3168">
        <v>2012</v>
      </c>
      <c r="D3168">
        <v>31.7</v>
      </c>
      <c r="E3168">
        <v>32</v>
      </c>
      <c r="F3168" t="str">
        <f t="shared" si="49"/>
        <v>solar pv</v>
      </c>
    </row>
    <row r="3169" spans="1:6" x14ac:dyDescent="0.25">
      <c r="A3169" t="s">
        <v>189</v>
      </c>
      <c r="B3169" t="s">
        <v>249</v>
      </c>
      <c r="C3169">
        <v>2013</v>
      </c>
      <c r="D3169">
        <v>50.7</v>
      </c>
      <c r="E3169">
        <v>50.7</v>
      </c>
      <c r="F3169" t="str">
        <f t="shared" si="49"/>
        <v>solar pv</v>
      </c>
    </row>
    <row r="3170" spans="1:6" x14ac:dyDescent="0.25">
      <c r="A3170" t="s">
        <v>189</v>
      </c>
      <c r="B3170" t="s">
        <v>249</v>
      </c>
      <c r="C3170">
        <v>2014</v>
      </c>
      <c r="D3170">
        <v>54.3</v>
      </c>
      <c r="E3170">
        <v>54.5</v>
      </c>
      <c r="F3170" t="str">
        <f t="shared" si="49"/>
        <v>solar pv</v>
      </c>
    </row>
    <row r="3171" spans="1:6" x14ac:dyDescent="0.25">
      <c r="A3171" t="s">
        <v>189</v>
      </c>
      <c r="B3171" t="s">
        <v>249</v>
      </c>
      <c r="C3171">
        <v>2015</v>
      </c>
      <c r="D3171">
        <v>138.9</v>
      </c>
      <c r="E3171">
        <v>138.9</v>
      </c>
      <c r="F3171" t="str">
        <f t="shared" si="49"/>
        <v>solar pv</v>
      </c>
    </row>
    <row r="3172" spans="1:6" x14ac:dyDescent="0.25">
      <c r="A3172" t="s">
        <v>189</v>
      </c>
      <c r="B3172" t="s">
        <v>249</v>
      </c>
      <c r="C3172">
        <v>2016</v>
      </c>
      <c r="D3172">
        <v>263.5</v>
      </c>
      <c r="E3172">
        <v>266</v>
      </c>
      <c r="F3172" t="str">
        <f t="shared" si="49"/>
        <v>solar pv</v>
      </c>
    </row>
    <row r="3173" spans="1:6" x14ac:dyDescent="0.25">
      <c r="A3173" t="s">
        <v>189</v>
      </c>
      <c r="B3173" t="s">
        <v>249</v>
      </c>
      <c r="C3173">
        <v>2017</v>
      </c>
      <c r="D3173">
        <v>667.1</v>
      </c>
      <c r="E3173">
        <v>660</v>
      </c>
      <c r="F3173" t="str">
        <f t="shared" si="49"/>
        <v>solar pv</v>
      </c>
    </row>
    <row r="3174" spans="1:6" x14ac:dyDescent="0.25">
      <c r="A3174" t="s">
        <v>189</v>
      </c>
      <c r="B3174" t="s">
        <v>249</v>
      </c>
      <c r="C3174">
        <v>2018</v>
      </c>
      <c r="D3174">
        <v>660.6</v>
      </c>
      <c r="E3174">
        <v>660.6</v>
      </c>
      <c r="F3174" t="str">
        <f t="shared" si="49"/>
        <v>solar pv</v>
      </c>
    </row>
    <row r="3175" spans="1:6" x14ac:dyDescent="0.25">
      <c r="A3175" t="s">
        <v>189</v>
      </c>
      <c r="B3175" t="s">
        <v>249</v>
      </c>
      <c r="C3175">
        <v>2019</v>
      </c>
      <c r="D3175">
        <v>698.7</v>
      </c>
      <c r="E3175">
        <v>699.2</v>
      </c>
      <c r="F3175" t="str">
        <f t="shared" si="49"/>
        <v>solar pv</v>
      </c>
    </row>
    <row r="3176" spans="1:6" x14ac:dyDescent="0.25">
      <c r="A3176" t="s">
        <v>189</v>
      </c>
      <c r="B3176" t="s">
        <v>249</v>
      </c>
      <c r="C3176">
        <v>2020</v>
      </c>
      <c r="D3176">
        <v>2273.3000000000002</v>
      </c>
      <c r="E3176">
        <v>2273.3000000000002</v>
      </c>
      <c r="F3176" t="str">
        <f t="shared" si="49"/>
        <v>solar pv</v>
      </c>
    </row>
    <row r="3177" spans="1:6" x14ac:dyDescent="0.25">
      <c r="A3177" t="s">
        <v>189</v>
      </c>
      <c r="B3177" t="s">
        <v>249</v>
      </c>
      <c r="C3177">
        <v>2021</v>
      </c>
      <c r="D3177">
        <v>3962</v>
      </c>
      <c r="E3177">
        <v>3972.8</v>
      </c>
      <c r="F3177" t="str">
        <f t="shared" si="49"/>
        <v>solar pv</v>
      </c>
    </row>
    <row r="3178" spans="1:6" x14ac:dyDescent="0.25">
      <c r="A3178" t="s">
        <v>189</v>
      </c>
      <c r="B3178" t="s">
        <v>249</v>
      </c>
      <c r="C3178">
        <v>2022</v>
      </c>
      <c r="D3178">
        <v>2527.9</v>
      </c>
      <c r="E3178">
        <v>2528.1</v>
      </c>
      <c r="F3178" t="str">
        <f t="shared" si="49"/>
        <v>solar pv</v>
      </c>
    </row>
    <row r="3179" spans="1:6" x14ac:dyDescent="0.25">
      <c r="A3179" t="s">
        <v>189</v>
      </c>
      <c r="B3179" t="s">
        <v>249</v>
      </c>
      <c r="C3179">
        <v>2023</v>
      </c>
      <c r="D3179">
        <v>3725.38</v>
      </c>
      <c r="E3179">
        <v>3707.2</v>
      </c>
      <c r="F3179" t="str">
        <f t="shared" si="49"/>
        <v>solar pv</v>
      </c>
    </row>
    <row r="3180" spans="1:6" x14ac:dyDescent="0.25">
      <c r="A3180" t="s">
        <v>189</v>
      </c>
      <c r="B3180" t="s">
        <v>249</v>
      </c>
      <c r="C3180">
        <v>2024</v>
      </c>
      <c r="D3180">
        <v>7436.01</v>
      </c>
      <c r="E3180">
        <v>7398.3</v>
      </c>
      <c r="F3180" t="str">
        <f t="shared" si="49"/>
        <v>solar pv</v>
      </c>
    </row>
    <row r="3181" spans="1:6" x14ac:dyDescent="0.25">
      <c r="A3181" t="s">
        <v>189</v>
      </c>
      <c r="B3181" t="s">
        <v>249</v>
      </c>
      <c r="C3181">
        <v>2025</v>
      </c>
      <c r="D3181">
        <v>8203.4</v>
      </c>
      <c r="E3181">
        <v>8206.9</v>
      </c>
      <c r="F3181" t="str">
        <f t="shared" si="49"/>
        <v>solar pv</v>
      </c>
    </row>
    <row r="3182" spans="1:6" x14ac:dyDescent="0.25">
      <c r="A3182" t="s">
        <v>191</v>
      </c>
      <c r="B3182" t="s">
        <v>90</v>
      </c>
      <c r="C3182">
        <v>2005</v>
      </c>
      <c r="D3182">
        <v>1.3</v>
      </c>
      <c r="E3182">
        <v>1.3</v>
      </c>
      <c r="F3182" t="str">
        <f t="shared" si="49"/>
        <v>biomass</v>
      </c>
    </row>
    <row r="3183" spans="1:6" x14ac:dyDescent="0.25">
      <c r="A3183" t="s">
        <v>191</v>
      </c>
      <c r="B3183" t="s">
        <v>90</v>
      </c>
      <c r="C3183">
        <v>2006</v>
      </c>
      <c r="D3183">
        <v>3.1</v>
      </c>
      <c r="E3183">
        <v>3.2</v>
      </c>
      <c r="F3183" t="str">
        <f t="shared" si="49"/>
        <v>biomass</v>
      </c>
    </row>
    <row r="3184" spans="1:6" x14ac:dyDescent="0.25">
      <c r="A3184" t="s">
        <v>191</v>
      </c>
      <c r="B3184" t="s">
        <v>90</v>
      </c>
      <c r="C3184">
        <v>2008</v>
      </c>
      <c r="D3184">
        <v>0.9</v>
      </c>
      <c r="E3184">
        <v>1</v>
      </c>
      <c r="F3184" t="str">
        <f t="shared" si="49"/>
        <v>biomass</v>
      </c>
    </row>
    <row r="3185" spans="1:6" x14ac:dyDescent="0.25">
      <c r="A3185" t="s">
        <v>191</v>
      </c>
      <c r="B3185" t="s">
        <v>90</v>
      </c>
      <c r="C3185">
        <v>2009</v>
      </c>
      <c r="D3185">
        <v>4.5</v>
      </c>
      <c r="E3185">
        <v>4.8</v>
      </c>
      <c r="F3185" t="str">
        <f t="shared" si="49"/>
        <v>biomass</v>
      </c>
    </row>
    <row r="3186" spans="1:6" x14ac:dyDescent="0.25">
      <c r="A3186" t="s">
        <v>191</v>
      </c>
      <c r="B3186" t="s">
        <v>90</v>
      </c>
      <c r="C3186">
        <v>2012</v>
      </c>
      <c r="D3186">
        <v>3</v>
      </c>
      <c r="E3186">
        <v>3.2</v>
      </c>
      <c r="F3186" t="str">
        <f t="shared" si="49"/>
        <v>biomass</v>
      </c>
    </row>
    <row r="3187" spans="1:6" x14ac:dyDescent="0.25">
      <c r="A3187" t="s">
        <v>191</v>
      </c>
      <c r="B3187" t="s">
        <v>91</v>
      </c>
      <c r="C3187">
        <v>2007</v>
      </c>
      <c r="D3187">
        <v>8.6999999999999993</v>
      </c>
      <c r="E3187">
        <v>12</v>
      </c>
      <c r="F3187" t="str">
        <f t="shared" si="49"/>
        <v>geothermal</v>
      </c>
    </row>
    <row r="3188" spans="1:6" x14ac:dyDescent="0.25">
      <c r="A3188" t="s">
        <v>191</v>
      </c>
      <c r="B3188" t="s">
        <v>91</v>
      </c>
      <c r="C3188">
        <v>2009</v>
      </c>
      <c r="D3188">
        <v>11</v>
      </c>
      <c r="E3188">
        <v>14</v>
      </c>
      <c r="F3188" t="str">
        <f t="shared" si="49"/>
        <v>geothermal</v>
      </c>
    </row>
    <row r="3189" spans="1:6" x14ac:dyDescent="0.25">
      <c r="A3189" t="s">
        <v>191</v>
      </c>
      <c r="B3189" t="s">
        <v>91</v>
      </c>
      <c r="C3189">
        <v>2013</v>
      </c>
      <c r="D3189">
        <v>39</v>
      </c>
      <c r="E3189">
        <v>39</v>
      </c>
      <c r="F3189" t="str">
        <f t="shared" si="49"/>
        <v>geothermal</v>
      </c>
    </row>
    <row r="3190" spans="1:6" x14ac:dyDescent="0.25">
      <c r="A3190" t="s">
        <v>191</v>
      </c>
      <c r="B3190" t="s">
        <v>81</v>
      </c>
      <c r="C3190">
        <v>1993</v>
      </c>
      <c r="D3190">
        <v>51</v>
      </c>
      <c r="E3190">
        <v>58.1</v>
      </c>
      <c r="F3190" t="str">
        <f t="shared" si="49"/>
        <v>hard coal</v>
      </c>
    </row>
    <row r="3191" spans="1:6" x14ac:dyDescent="0.25">
      <c r="A3191" t="s">
        <v>191</v>
      </c>
      <c r="B3191" t="s">
        <v>86</v>
      </c>
      <c r="C3191">
        <v>1991</v>
      </c>
      <c r="D3191">
        <v>1.8</v>
      </c>
      <c r="E3191">
        <v>1.8</v>
      </c>
      <c r="F3191" t="str">
        <f t="shared" si="49"/>
        <v>hydro</v>
      </c>
    </row>
    <row r="3192" spans="1:6" x14ac:dyDescent="0.25">
      <c r="A3192" t="s">
        <v>191</v>
      </c>
      <c r="B3192" t="s">
        <v>86</v>
      </c>
      <c r="C3192">
        <v>1992</v>
      </c>
      <c r="D3192">
        <v>0.1</v>
      </c>
      <c r="E3192">
        <v>0.1</v>
      </c>
      <c r="F3192" t="str">
        <f t="shared" si="49"/>
        <v>hydro</v>
      </c>
    </row>
    <row r="3193" spans="1:6" x14ac:dyDescent="0.25">
      <c r="A3193" t="s">
        <v>191</v>
      </c>
      <c r="B3193" t="s">
        <v>86</v>
      </c>
      <c r="C3193">
        <v>1993</v>
      </c>
      <c r="D3193">
        <v>1.3</v>
      </c>
      <c r="E3193">
        <v>1.3</v>
      </c>
      <c r="F3193" t="str">
        <f t="shared" si="49"/>
        <v>hydro</v>
      </c>
    </row>
    <row r="3194" spans="1:6" x14ac:dyDescent="0.25">
      <c r="A3194" t="s">
        <v>191</v>
      </c>
      <c r="B3194" t="s">
        <v>86</v>
      </c>
      <c r="C3194">
        <v>1998</v>
      </c>
      <c r="D3194">
        <v>2.1</v>
      </c>
      <c r="E3194">
        <v>2.1</v>
      </c>
      <c r="F3194" t="str">
        <f t="shared" si="49"/>
        <v>hydro</v>
      </c>
    </row>
    <row r="3195" spans="1:6" x14ac:dyDescent="0.25">
      <c r="A3195" t="s">
        <v>191</v>
      </c>
      <c r="B3195" t="s">
        <v>86</v>
      </c>
      <c r="C3195">
        <v>2008</v>
      </c>
      <c r="D3195">
        <v>13</v>
      </c>
      <c r="E3195">
        <v>13</v>
      </c>
      <c r="F3195" t="str">
        <f t="shared" si="49"/>
        <v>hydro</v>
      </c>
    </row>
    <row r="3196" spans="1:6" x14ac:dyDescent="0.25">
      <c r="A3196" t="s">
        <v>191</v>
      </c>
      <c r="B3196" t="s">
        <v>86</v>
      </c>
      <c r="C3196">
        <v>2021</v>
      </c>
      <c r="D3196">
        <v>0.1</v>
      </c>
      <c r="E3196">
        <v>0.1</v>
      </c>
      <c r="F3196" t="str">
        <f t="shared" si="49"/>
        <v>hydro</v>
      </c>
    </row>
    <row r="3197" spans="1:6" x14ac:dyDescent="0.25">
      <c r="A3197" t="s">
        <v>191</v>
      </c>
      <c r="B3197" t="s">
        <v>84</v>
      </c>
      <c r="C3197">
        <v>2004</v>
      </c>
      <c r="D3197">
        <v>130</v>
      </c>
      <c r="E3197">
        <v>140</v>
      </c>
      <c r="F3197" t="str">
        <f t="shared" si="49"/>
        <v>natural gas combined cycle</v>
      </c>
    </row>
    <row r="3198" spans="1:6" x14ac:dyDescent="0.25">
      <c r="A3198" t="s">
        <v>191</v>
      </c>
      <c r="B3198" t="s">
        <v>84</v>
      </c>
      <c r="C3198">
        <v>2005</v>
      </c>
      <c r="D3198">
        <v>270</v>
      </c>
      <c r="E3198">
        <v>292.39999999999998</v>
      </c>
      <c r="F3198" t="str">
        <f t="shared" si="49"/>
        <v>natural gas combined cycle</v>
      </c>
    </row>
    <row r="3199" spans="1:6" x14ac:dyDescent="0.25">
      <c r="A3199" t="s">
        <v>191</v>
      </c>
      <c r="B3199" t="s">
        <v>84</v>
      </c>
      <c r="C3199">
        <v>2006</v>
      </c>
      <c r="D3199">
        <v>254</v>
      </c>
      <c r="E3199">
        <v>274.5</v>
      </c>
      <c r="F3199" t="str">
        <f t="shared" si="49"/>
        <v>natural gas combined cycle</v>
      </c>
    </row>
    <row r="3200" spans="1:6" x14ac:dyDescent="0.25">
      <c r="A3200" t="s">
        <v>191</v>
      </c>
      <c r="B3200" t="s">
        <v>84</v>
      </c>
      <c r="C3200">
        <v>2007</v>
      </c>
      <c r="D3200">
        <v>547</v>
      </c>
      <c r="E3200">
        <v>591.29999999999995</v>
      </c>
      <c r="F3200" t="str">
        <f t="shared" si="49"/>
        <v>natural gas combined cycle</v>
      </c>
    </row>
    <row r="3201" spans="1:6" x14ac:dyDescent="0.25">
      <c r="A3201" t="s">
        <v>191</v>
      </c>
      <c r="B3201" t="s">
        <v>84</v>
      </c>
      <c r="C3201">
        <v>2014</v>
      </c>
      <c r="D3201">
        <v>629</v>
      </c>
      <c r="E3201">
        <v>655.20000000000005</v>
      </c>
      <c r="F3201" t="str">
        <f t="shared" si="49"/>
        <v>natural gas combined cycle</v>
      </c>
    </row>
    <row r="3202" spans="1:6" x14ac:dyDescent="0.25">
      <c r="A3202" t="s">
        <v>191</v>
      </c>
      <c r="B3202" t="s">
        <v>84</v>
      </c>
      <c r="C3202">
        <v>2025</v>
      </c>
      <c r="D3202">
        <v>940</v>
      </c>
      <c r="E3202">
        <v>1093.2</v>
      </c>
      <c r="F3202" t="str">
        <f t="shared" ref="F3202:F3265" si="50">LOWER($B3202)</f>
        <v>natural gas combined cycle</v>
      </c>
    </row>
    <row r="3203" spans="1:6" x14ac:dyDescent="0.25">
      <c r="A3203" t="s">
        <v>191</v>
      </c>
      <c r="B3203" t="s">
        <v>93</v>
      </c>
      <c r="C3203">
        <v>1990</v>
      </c>
      <c r="D3203">
        <v>0.7</v>
      </c>
      <c r="E3203">
        <v>0.7</v>
      </c>
      <c r="F3203" t="str">
        <f t="shared" si="50"/>
        <v>natural gas peaker</v>
      </c>
    </row>
    <row r="3204" spans="1:6" x14ac:dyDescent="0.25">
      <c r="A3204" t="s">
        <v>191</v>
      </c>
      <c r="B3204" t="s">
        <v>93</v>
      </c>
      <c r="C3204">
        <v>1995</v>
      </c>
      <c r="D3204">
        <v>4</v>
      </c>
      <c r="E3204">
        <v>4.5</v>
      </c>
      <c r="F3204" t="str">
        <f t="shared" si="50"/>
        <v>natural gas peaker</v>
      </c>
    </row>
    <row r="3205" spans="1:6" x14ac:dyDescent="0.25">
      <c r="A3205" t="s">
        <v>191</v>
      </c>
      <c r="B3205" t="s">
        <v>93</v>
      </c>
      <c r="C3205">
        <v>2000</v>
      </c>
      <c r="D3205">
        <v>5.9</v>
      </c>
      <c r="E3205">
        <v>7</v>
      </c>
      <c r="F3205" t="str">
        <f t="shared" si="50"/>
        <v>natural gas peaker</v>
      </c>
    </row>
    <row r="3206" spans="1:6" x14ac:dyDescent="0.25">
      <c r="A3206" t="s">
        <v>191</v>
      </c>
      <c r="B3206" t="s">
        <v>93</v>
      </c>
      <c r="C3206">
        <v>2001</v>
      </c>
      <c r="D3206">
        <v>102.2</v>
      </c>
      <c r="E3206">
        <v>120.7</v>
      </c>
      <c r="F3206" t="str">
        <f t="shared" si="50"/>
        <v>natural gas peaker</v>
      </c>
    </row>
    <row r="3207" spans="1:6" x14ac:dyDescent="0.25">
      <c r="A3207" t="s">
        <v>191</v>
      </c>
      <c r="B3207" t="s">
        <v>93</v>
      </c>
      <c r="C3207">
        <v>2002</v>
      </c>
      <c r="D3207">
        <v>258.5</v>
      </c>
      <c r="E3207">
        <v>348.2</v>
      </c>
      <c r="F3207" t="str">
        <f t="shared" si="50"/>
        <v>natural gas peaker</v>
      </c>
    </row>
    <row r="3208" spans="1:6" x14ac:dyDescent="0.25">
      <c r="A3208" t="s">
        <v>191</v>
      </c>
      <c r="B3208" t="s">
        <v>93</v>
      </c>
      <c r="C3208">
        <v>2003</v>
      </c>
      <c r="D3208">
        <v>3.8</v>
      </c>
      <c r="E3208">
        <v>3.8</v>
      </c>
      <c r="F3208" t="str">
        <f t="shared" si="50"/>
        <v>natural gas peaker</v>
      </c>
    </row>
    <row r="3209" spans="1:6" x14ac:dyDescent="0.25">
      <c r="A3209" t="s">
        <v>191</v>
      </c>
      <c r="B3209" t="s">
        <v>93</v>
      </c>
      <c r="C3209">
        <v>2004</v>
      </c>
      <c r="D3209">
        <v>34</v>
      </c>
      <c r="E3209">
        <v>42.2</v>
      </c>
      <c r="F3209" t="str">
        <f t="shared" si="50"/>
        <v>natural gas peaker</v>
      </c>
    </row>
    <row r="3210" spans="1:6" x14ac:dyDescent="0.25">
      <c r="A3210" t="s">
        <v>191</v>
      </c>
      <c r="B3210" t="s">
        <v>93</v>
      </c>
      <c r="C3210">
        <v>2006</v>
      </c>
      <c r="D3210">
        <v>38.700000000000003</v>
      </c>
      <c r="E3210">
        <v>42</v>
      </c>
      <c r="F3210" t="str">
        <f t="shared" si="50"/>
        <v>natural gas peaker</v>
      </c>
    </row>
    <row r="3211" spans="1:6" x14ac:dyDescent="0.25">
      <c r="A3211" t="s">
        <v>191</v>
      </c>
      <c r="B3211" t="s">
        <v>93</v>
      </c>
      <c r="C3211">
        <v>2007</v>
      </c>
      <c r="D3211">
        <v>5.8</v>
      </c>
      <c r="E3211">
        <v>6</v>
      </c>
      <c r="F3211" t="str">
        <f t="shared" si="50"/>
        <v>natural gas peaker</v>
      </c>
    </row>
    <row r="3212" spans="1:6" x14ac:dyDescent="0.25">
      <c r="A3212" t="s">
        <v>191</v>
      </c>
      <c r="B3212" t="s">
        <v>93</v>
      </c>
      <c r="C3212">
        <v>2008</v>
      </c>
      <c r="D3212">
        <v>9.6</v>
      </c>
      <c r="E3212">
        <v>11.4</v>
      </c>
      <c r="F3212" t="str">
        <f t="shared" si="50"/>
        <v>natural gas peaker</v>
      </c>
    </row>
    <row r="3213" spans="1:6" x14ac:dyDescent="0.25">
      <c r="A3213" t="s">
        <v>191</v>
      </c>
      <c r="B3213" t="s">
        <v>93</v>
      </c>
      <c r="C3213">
        <v>2010</v>
      </c>
      <c r="D3213">
        <v>42.7</v>
      </c>
      <c r="E3213">
        <v>46.4</v>
      </c>
      <c r="F3213" t="str">
        <f t="shared" si="50"/>
        <v>natural gas peaker</v>
      </c>
    </row>
    <row r="3214" spans="1:6" x14ac:dyDescent="0.25">
      <c r="A3214" t="s">
        <v>191</v>
      </c>
      <c r="B3214" t="s">
        <v>93</v>
      </c>
      <c r="C3214">
        <v>2012</v>
      </c>
      <c r="D3214">
        <v>21</v>
      </c>
      <c r="E3214">
        <v>25.2</v>
      </c>
      <c r="F3214" t="str">
        <f t="shared" si="50"/>
        <v>natural gas peaker</v>
      </c>
    </row>
    <row r="3215" spans="1:6" x14ac:dyDescent="0.25">
      <c r="A3215" t="s">
        <v>191</v>
      </c>
      <c r="B3215" t="s">
        <v>93</v>
      </c>
      <c r="C3215">
        <v>2013</v>
      </c>
      <c r="D3215">
        <v>6</v>
      </c>
      <c r="E3215">
        <v>6</v>
      </c>
      <c r="F3215" t="str">
        <f t="shared" si="50"/>
        <v>natural gas peaker</v>
      </c>
    </row>
    <row r="3216" spans="1:6" x14ac:dyDescent="0.25">
      <c r="A3216" t="s">
        <v>191</v>
      </c>
      <c r="B3216" t="s">
        <v>93</v>
      </c>
      <c r="C3216">
        <v>2015</v>
      </c>
      <c r="D3216">
        <v>8</v>
      </c>
      <c r="E3216">
        <v>8</v>
      </c>
      <c r="F3216" t="str">
        <f t="shared" si="50"/>
        <v>natural gas peaker</v>
      </c>
    </row>
    <row r="3217" spans="1:6" x14ac:dyDescent="0.25">
      <c r="A3217" t="s">
        <v>191</v>
      </c>
      <c r="B3217" t="s">
        <v>93</v>
      </c>
      <c r="C3217">
        <v>2016</v>
      </c>
      <c r="D3217">
        <v>5</v>
      </c>
      <c r="E3217">
        <v>5</v>
      </c>
      <c r="F3217" t="str">
        <f t="shared" si="50"/>
        <v>natural gas peaker</v>
      </c>
    </row>
    <row r="3218" spans="1:6" x14ac:dyDescent="0.25">
      <c r="A3218" t="s">
        <v>191</v>
      </c>
      <c r="B3218" t="s">
        <v>93</v>
      </c>
      <c r="C3218">
        <v>2018</v>
      </c>
      <c r="D3218">
        <v>12</v>
      </c>
      <c r="E3218">
        <v>12</v>
      </c>
      <c r="F3218" t="str">
        <f t="shared" si="50"/>
        <v>natural gas peaker</v>
      </c>
    </row>
    <row r="3219" spans="1:6" x14ac:dyDescent="0.25">
      <c r="A3219" t="s">
        <v>191</v>
      </c>
      <c r="B3219" t="s">
        <v>93</v>
      </c>
      <c r="C3219">
        <v>2019</v>
      </c>
      <c r="D3219">
        <v>14</v>
      </c>
      <c r="E3219">
        <v>16.5</v>
      </c>
      <c r="F3219" t="str">
        <f t="shared" si="50"/>
        <v>natural gas peaker</v>
      </c>
    </row>
    <row r="3220" spans="1:6" x14ac:dyDescent="0.25">
      <c r="A3220" t="s">
        <v>191</v>
      </c>
      <c r="B3220" t="s">
        <v>93</v>
      </c>
      <c r="C3220">
        <v>2022</v>
      </c>
      <c r="D3220">
        <v>22.9</v>
      </c>
      <c r="E3220">
        <v>23.9</v>
      </c>
      <c r="F3220" t="str">
        <f t="shared" si="50"/>
        <v>natural gas peaker</v>
      </c>
    </row>
    <row r="3221" spans="1:6" x14ac:dyDescent="0.25">
      <c r="A3221" t="s">
        <v>191</v>
      </c>
      <c r="B3221" t="s">
        <v>93</v>
      </c>
      <c r="C3221">
        <v>2023</v>
      </c>
      <c r="D3221">
        <v>1.5</v>
      </c>
      <c r="E3221">
        <v>1.5</v>
      </c>
      <c r="F3221" t="str">
        <f t="shared" si="50"/>
        <v>natural gas peaker</v>
      </c>
    </row>
    <row r="3222" spans="1:6" x14ac:dyDescent="0.25">
      <c r="A3222" t="s">
        <v>191</v>
      </c>
      <c r="B3222" t="s">
        <v>93</v>
      </c>
      <c r="C3222">
        <v>2024</v>
      </c>
      <c r="D3222">
        <v>9.6999999999999993</v>
      </c>
      <c r="E3222">
        <v>9.6999999999999993</v>
      </c>
      <c r="F3222" t="str">
        <f t="shared" si="50"/>
        <v>natural gas peaker</v>
      </c>
    </row>
    <row r="3223" spans="1:6" x14ac:dyDescent="0.25">
      <c r="A3223" t="s">
        <v>191</v>
      </c>
      <c r="B3223" t="s">
        <v>87</v>
      </c>
      <c r="C3223">
        <v>2008</v>
      </c>
      <c r="D3223">
        <v>18.899999999999999</v>
      </c>
      <c r="E3223">
        <v>18.899999999999999</v>
      </c>
      <c r="F3223" t="str">
        <f t="shared" si="50"/>
        <v>onshore wind</v>
      </c>
    </row>
    <row r="3224" spans="1:6" x14ac:dyDescent="0.25">
      <c r="A3224" t="s">
        <v>191</v>
      </c>
      <c r="B3224" t="s">
        <v>87</v>
      </c>
      <c r="C3224">
        <v>2009</v>
      </c>
      <c r="D3224">
        <v>203.5</v>
      </c>
      <c r="E3224">
        <v>203.5</v>
      </c>
      <c r="F3224" t="str">
        <f t="shared" si="50"/>
        <v>onshore wind</v>
      </c>
    </row>
    <row r="3225" spans="1:6" x14ac:dyDescent="0.25">
      <c r="A3225" t="s">
        <v>191</v>
      </c>
      <c r="B3225" t="s">
        <v>87</v>
      </c>
      <c r="C3225">
        <v>2010</v>
      </c>
      <c r="D3225">
        <v>1.5</v>
      </c>
      <c r="E3225">
        <v>1.5</v>
      </c>
      <c r="F3225" t="str">
        <f t="shared" si="50"/>
        <v>onshore wind</v>
      </c>
    </row>
    <row r="3226" spans="1:6" x14ac:dyDescent="0.25">
      <c r="A3226" t="s">
        <v>191</v>
      </c>
      <c r="B3226" t="s">
        <v>87</v>
      </c>
      <c r="C3226">
        <v>2011</v>
      </c>
      <c r="D3226">
        <v>102</v>
      </c>
      <c r="E3226">
        <v>102</v>
      </c>
      <c r="F3226" t="str">
        <f t="shared" si="50"/>
        <v>onshore wind</v>
      </c>
    </row>
    <row r="3227" spans="1:6" x14ac:dyDescent="0.25">
      <c r="A3227" t="s">
        <v>191</v>
      </c>
      <c r="B3227" t="s">
        <v>87</v>
      </c>
      <c r="C3227">
        <v>2016</v>
      </c>
      <c r="D3227">
        <v>63.8</v>
      </c>
      <c r="E3227">
        <v>63.8</v>
      </c>
      <c r="F3227" t="str">
        <f t="shared" si="50"/>
        <v>onshore wind</v>
      </c>
    </row>
    <row r="3228" spans="1:6" x14ac:dyDescent="0.25">
      <c r="A3228" t="s">
        <v>191</v>
      </c>
      <c r="B3228" t="s">
        <v>92</v>
      </c>
      <c r="C3228">
        <v>1990</v>
      </c>
      <c r="D3228">
        <v>2.2000000000000002</v>
      </c>
      <c r="E3228">
        <v>2</v>
      </c>
      <c r="F3228" t="str">
        <f t="shared" si="50"/>
        <v>petroleum</v>
      </c>
    </row>
    <row r="3229" spans="1:6" x14ac:dyDescent="0.25">
      <c r="A3229" t="s">
        <v>191</v>
      </c>
      <c r="B3229" t="s">
        <v>92</v>
      </c>
      <c r="C3229">
        <v>1991</v>
      </c>
      <c r="D3229">
        <v>1.5</v>
      </c>
      <c r="E3229">
        <v>1.6</v>
      </c>
      <c r="F3229" t="str">
        <f t="shared" si="50"/>
        <v>petroleum</v>
      </c>
    </row>
    <row r="3230" spans="1:6" x14ac:dyDescent="0.25">
      <c r="A3230" t="s">
        <v>191</v>
      </c>
      <c r="B3230" t="s">
        <v>92</v>
      </c>
      <c r="C3230">
        <v>1996</v>
      </c>
      <c r="D3230">
        <v>1.5</v>
      </c>
      <c r="E3230">
        <v>1.5</v>
      </c>
      <c r="F3230" t="str">
        <f t="shared" si="50"/>
        <v>petroleum</v>
      </c>
    </row>
    <row r="3231" spans="1:6" x14ac:dyDescent="0.25">
      <c r="A3231" t="s">
        <v>191</v>
      </c>
      <c r="B3231" t="s">
        <v>92</v>
      </c>
      <c r="C3231">
        <v>1999</v>
      </c>
      <c r="D3231">
        <v>13.7</v>
      </c>
      <c r="E3231">
        <v>15.3</v>
      </c>
      <c r="F3231" t="str">
        <f t="shared" si="50"/>
        <v>petroleum</v>
      </c>
    </row>
    <row r="3232" spans="1:6" x14ac:dyDescent="0.25">
      <c r="A3232" t="s">
        <v>191</v>
      </c>
      <c r="B3232" t="s">
        <v>92</v>
      </c>
      <c r="C3232">
        <v>2001</v>
      </c>
      <c r="D3232">
        <v>1.6</v>
      </c>
      <c r="E3232">
        <v>1.7</v>
      </c>
      <c r="F3232" t="str">
        <f t="shared" si="50"/>
        <v>petroleum</v>
      </c>
    </row>
    <row r="3233" spans="1:6" x14ac:dyDescent="0.25">
      <c r="A3233" t="s">
        <v>191</v>
      </c>
      <c r="B3233" t="s">
        <v>249</v>
      </c>
      <c r="C3233">
        <v>2012</v>
      </c>
      <c r="D3233">
        <v>1.3</v>
      </c>
      <c r="E3233">
        <v>1.3</v>
      </c>
      <c r="F3233" t="str">
        <f t="shared" si="50"/>
        <v>solar pv</v>
      </c>
    </row>
    <row r="3234" spans="1:6" x14ac:dyDescent="0.25">
      <c r="A3234" t="s">
        <v>191</v>
      </c>
      <c r="B3234" t="s">
        <v>249</v>
      </c>
      <c r="C3234">
        <v>2015</v>
      </c>
      <c r="D3234">
        <v>164.31</v>
      </c>
      <c r="E3234">
        <v>165.1</v>
      </c>
      <c r="F3234" t="str">
        <f t="shared" si="50"/>
        <v>solar pv</v>
      </c>
    </row>
    <row r="3235" spans="1:6" x14ac:dyDescent="0.25">
      <c r="A3235" t="s">
        <v>191</v>
      </c>
      <c r="B3235" t="s">
        <v>249</v>
      </c>
      <c r="C3235">
        <v>2016</v>
      </c>
      <c r="D3235">
        <v>689.4</v>
      </c>
      <c r="E3235">
        <v>689.4</v>
      </c>
      <c r="F3235" t="str">
        <f t="shared" si="50"/>
        <v>solar pv</v>
      </c>
    </row>
    <row r="3236" spans="1:6" x14ac:dyDescent="0.25">
      <c r="A3236" t="s">
        <v>191</v>
      </c>
      <c r="B3236" t="s">
        <v>249</v>
      </c>
      <c r="C3236">
        <v>2017</v>
      </c>
      <c r="D3236">
        <v>1.3</v>
      </c>
      <c r="E3236">
        <v>1.3</v>
      </c>
      <c r="F3236" t="str">
        <f t="shared" si="50"/>
        <v>solar pv</v>
      </c>
    </row>
    <row r="3237" spans="1:6" x14ac:dyDescent="0.25">
      <c r="A3237" t="s">
        <v>191</v>
      </c>
      <c r="B3237" t="s">
        <v>249</v>
      </c>
      <c r="C3237">
        <v>2018</v>
      </c>
      <c r="D3237">
        <v>2</v>
      </c>
      <c r="E3237">
        <v>2</v>
      </c>
      <c r="F3237" t="str">
        <f t="shared" si="50"/>
        <v>solar pv</v>
      </c>
    </row>
    <row r="3238" spans="1:6" x14ac:dyDescent="0.25">
      <c r="A3238" t="s">
        <v>191</v>
      </c>
      <c r="B3238" t="s">
        <v>249</v>
      </c>
      <c r="C3238">
        <v>2019</v>
      </c>
      <c r="D3238">
        <v>57.6</v>
      </c>
      <c r="E3238">
        <v>57.6</v>
      </c>
      <c r="F3238" t="str">
        <f t="shared" si="50"/>
        <v>solar pv</v>
      </c>
    </row>
    <row r="3239" spans="1:6" x14ac:dyDescent="0.25">
      <c r="A3239" t="s">
        <v>191</v>
      </c>
      <c r="B3239" t="s">
        <v>249</v>
      </c>
      <c r="C3239">
        <v>2020</v>
      </c>
      <c r="D3239">
        <v>279</v>
      </c>
      <c r="E3239">
        <v>279</v>
      </c>
      <c r="F3239" t="str">
        <f t="shared" si="50"/>
        <v>solar pv</v>
      </c>
    </row>
    <row r="3240" spans="1:6" x14ac:dyDescent="0.25">
      <c r="A3240" t="s">
        <v>191</v>
      </c>
      <c r="B3240" t="s">
        <v>249</v>
      </c>
      <c r="C3240">
        <v>2021</v>
      </c>
      <c r="D3240">
        <v>264</v>
      </c>
      <c r="E3240">
        <v>264</v>
      </c>
      <c r="F3240" t="str">
        <f t="shared" si="50"/>
        <v>solar pv</v>
      </c>
    </row>
    <row r="3241" spans="1:6" x14ac:dyDescent="0.25">
      <c r="A3241" t="s">
        <v>191</v>
      </c>
      <c r="B3241" t="s">
        <v>249</v>
      </c>
      <c r="C3241">
        <v>2022</v>
      </c>
      <c r="D3241">
        <v>81.5</v>
      </c>
      <c r="E3241">
        <v>81.5</v>
      </c>
      <c r="F3241" t="str">
        <f t="shared" si="50"/>
        <v>solar pv</v>
      </c>
    </row>
    <row r="3242" spans="1:6" x14ac:dyDescent="0.25">
      <c r="A3242" t="s">
        <v>191</v>
      </c>
      <c r="B3242" t="s">
        <v>249</v>
      </c>
      <c r="C3242">
        <v>2023</v>
      </c>
      <c r="D3242">
        <v>93</v>
      </c>
      <c r="E3242">
        <v>93</v>
      </c>
      <c r="F3242" t="str">
        <f t="shared" si="50"/>
        <v>solar pv</v>
      </c>
    </row>
    <row r="3243" spans="1:6" x14ac:dyDescent="0.25">
      <c r="A3243" t="s">
        <v>191</v>
      </c>
      <c r="B3243" t="s">
        <v>249</v>
      </c>
      <c r="C3243">
        <v>2024</v>
      </c>
      <c r="D3243">
        <v>562.88</v>
      </c>
      <c r="E3243">
        <v>565</v>
      </c>
      <c r="F3243" t="str">
        <f t="shared" si="50"/>
        <v>solar pv</v>
      </c>
    </row>
    <row r="3244" spans="1:6" x14ac:dyDescent="0.25">
      <c r="A3244" t="s">
        <v>191</v>
      </c>
      <c r="B3244" t="s">
        <v>249</v>
      </c>
      <c r="C3244">
        <v>2025</v>
      </c>
      <c r="D3244">
        <v>851.2</v>
      </c>
      <c r="E3244">
        <v>851.5</v>
      </c>
      <c r="F3244" t="str">
        <f t="shared" si="50"/>
        <v>solar pv</v>
      </c>
    </row>
    <row r="3245" spans="1:6" x14ac:dyDescent="0.25">
      <c r="A3245" t="s">
        <v>191</v>
      </c>
      <c r="B3245" t="s">
        <v>89</v>
      </c>
      <c r="C3245">
        <v>2021</v>
      </c>
      <c r="D3245">
        <v>0.1</v>
      </c>
      <c r="E3245">
        <v>1.5</v>
      </c>
      <c r="F3245" t="str">
        <f t="shared" si="50"/>
        <v>solar thermal</v>
      </c>
    </row>
    <row r="3246" spans="1:6" x14ac:dyDescent="0.25">
      <c r="A3246" t="s">
        <v>193</v>
      </c>
      <c r="B3246" t="s">
        <v>90</v>
      </c>
      <c r="C3246">
        <v>1992</v>
      </c>
      <c r="D3246">
        <v>156.19999999999999</v>
      </c>
      <c r="E3246">
        <v>216.5</v>
      </c>
      <c r="F3246" t="str">
        <f t="shared" si="50"/>
        <v>biomass</v>
      </c>
    </row>
    <row r="3247" spans="1:6" x14ac:dyDescent="0.25">
      <c r="A3247" t="s">
        <v>193</v>
      </c>
      <c r="B3247" t="s">
        <v>90</v>
      </c>
      <c r="C3247">
        <v>1993</v>
      </c>
      <c r="D3247">
        <v>3.2</v>
      </c>
      <c r="E3247">
        <v>3.2</v>
      </c>
      <c r="F3247" t="str">
        <f t="shared" si="50"/>
        <v>biomass</v>
      </c>
    </row>
    <row r="3248" spans="1:6" x14ac:dyDescent="0.25">
      <c r="A3248" t="s">
        <v>193</v>
      </c>
      <c r="B3248" t="s">
        <v>90</v>
      </c>
      <c r="C3248">
        <v>1994</v>
      </c>
      <c r="D3248">
        <v>83</v>
      </c>
      <c r="E3248">
        <v>90</v>
      </c>
      <c r="F3248" t="str">
        <f t="shared" si="50"/>
        <v>biomass</v>
      </c>
    </row>
    <row r="3249" spans="1:6" x14ac:dyDescent="0.25">
      <c r="A3249" t="s">
        <v>193</v>
      </c>
      <c r="B3249" t="s">
        <v>90</v>
      </c>
      <c r="C3249">
        <v>2001</v>
      </c>
      <c r="D3249">
        <v>25.2</v>
      </c>
      <c r="E3249">
        <v>25.2</v>
      </c>
      <c r="F3249" t="str">
        <f t="shared" si="50"/>
        <v>biomass</v>
      </c>
    </row>
    <row r="3250" spans="1:6" x14ac:dyDescent="0.25">
      <c r="A3250" t="s">
        <v>193</v>
      </c>
      <c r="B3250" t="s">
        <v>90</v>
      </c>
      <c r="C3250">
        <v>2003</v>
      </c>
      <c r="D3250">
        <v>14.4</v>
      </c>
      <c r="E3250">
        <v>14.4</v>
      </c>
      <c r="F3250" t="str">
        <f t="shared" si="50"/>
        <v>biomass</v>
      </c>
    </row>
    <row r="3251" spans="1:6" x14ac:dyDescent="0.25">
      <c r="A3251" t="s">
        <v>193</v>
      </c>
      <c r="B3251" t="s">
        <v>90</v>
      </c>
      <c r="C3251">
        <v>2007</v>
      </c>
      <c r="D3251">
        <v>10.5</v>
      </c>
      <c r="E3251">
        <v>10.5</v>
      </c>
      <c r="F3251" t="str">
        <f t="shared" si="50"/>
        <v>biomass</v>
      </c>
    </row>
    <row r="3252" spans="1:6" x14ac:dyDescent="0.25">
      <c r="A3252" t="s">
        <v>193</v>
      </c>
      <c r="B3252" t="s">
        <v>90</v>
      </c>
      <c r="C3252">
        <v>2008</v>
      </c>
      <c r="D3252">
        <v>15.6</v>
      </c>
      <c r="E3252">
        <v>15.6</v>
      </c>
      <c r="F3252" t="str">
        <f t="shared" si="50"/>
        <v>biomass</v>
      </c>
    </row>
    <row r="3253" spans="1:6" x14ac:dyDescent="0.25">
      <c r="A3253" t="s">
        <v>193</v>
      </c>
      <c r="B3253" t="s">
        <v>90</v>
      </c>
      <c r="C3253">
        <v>2009</v>
      </c>
      <c r="D3253">
        <v>8.4</v>
      </c>
      <c r="E3253">
        <v>8.6</v>
      </c>
      <c r="F3253" t="str">
        <f t="shared" si="50"/>
        <v>biomass</v>
      </c>
    </row>
    <row r="3254" spans="1:6" x14ac:dyDescent="0.25">
      <c r="A3254" t="s">
        <v>193</v>
      </c>
      <c r="B3254" t="s">
        <v>90</v>
      </c>
      <c r="C3254">
        <v>2010</v>
      </c>
      <c r="D3254">
        <v>14</v>
      </c>
      <c r="E3254">
        <v>15.5</v>
      </c>
      <c r="F3254" t="str">
        <f t="shared" si="50"/>
        <v>biomass</v>
      </c>
    </row>
    <row r="3255" spans="1:6" x14ac:dyDescent="0.25">
      <c r="A3255" t="s">
        <v>193</v>
      </c>
      <c r="B3255" t="s">
        <v>90</v>
      </c>
      <c r="C3255">
        <v>2011</v>
      </c>
      <c r="D3255">
        <v>2.9</v>
      </c>
      <c r="E3255">
        <v>3.3</v>
      </c>
      <c r="F3255" t="str">
        <f t="shared" si="50"/>
        <v>biomass</v>
      </c>
    </row>
    <row r="3256" spans="1:6" x14ac:dyDescent="0.25">
      <c r="A3256" t="s">
        <v>193</v>
      </c>
      <c r="B3256" t="s">
        <v>90</v>
      </c>
      <c r="C3256">
        <v>2012</v>
      </c>
      <c r="D3256">
        <v>7.8</v>
      </c>
      <c r="E3256">
        <v>7.8</v>
      </c>
      <c r="F3256" t="str">
        <f t="shared" si="50"/>
        <v>biomass</v>
      </c>
    </row>
    <row r="3257" spans="1:6" x14ac:dyDescent="0.25">
      <c r="A3257" t="s">
        <v>193</v>
      </c>
      <c r="B3257" t="s">
        <v>90</v>
      </c>
      <c r="C3257">
        <v>2013</v>
      </c>
      <c r="D3257">
        <v>131.80000000000001</v>
      </c>
      <c r="E3257">
        <v>137.69999999999999</v>
      </c>
      <c r="F3257" t="str">
        <f t="shared" si="50"/>
        <v>biomass</v>
      </c>
    </row>
    <row r="3258" spans="1:6" x14ac:dyDescent="0.25">
      <c r="A3258" t="s">
        <v>193</v>
      </c>
      <c r="B3258" t="s">
        <v>90</v>
      </c>
      <c r="C3258">
        <v>2015</v>
      </c>
      <c r="D3258">
        <v>1.8</v>
      </c>
      <c r="E3258">
        <v>1.8</v>
      </c>
      <c r="F3258" t="str">
        <f t="shared" si="50"/>
        <v>biomass</v>
      </c>
    </row>
    <row r="3259" spans="1:6" x14ac:dyDescent="0.25">
      <c r="A3259" t="s">
        <v>193</v>
      </c>
      <c r="B3259" t="s">
        <v>90</v>
      </c>
      <c r="C3259">
        <v>2016</v>
      </c>
      <c r="D3259">
        <v>3.6</v>
      </c>
      <c r="E3259">
        <v>3.6</v>
      </c>
      <c r="F3259" t="str">
        <f t="shared" si="50"/>
        <v>biomass</v>
      </c>
    </row>
    <row r="3260" spans="1:6" x14ac:dyDescent="0.25">
      <c r="A3260" t="s">
        <v>193</v>
      </c>
      <c r="B3260" t="s">
        <v>81</v>
      </c>
      <c r="C3260">
        <v>1992</v>
      </c>
      <c r="D3260">
        <v>243</v>
      </c>
      <c r="E3260">
        <v>254.6</v>
      </c>
      <c r="F3260" t="str">
        <f t="shared" si="50"/>
        <v>hard coal</v>
      </c>
    </row>
    <row r="3261" spans="1:6" x14ac:dyDescent="0.25">
      <c r="A3261" t="s">
        <v>193</v>
      </c>
      <c r="B3261" t="s">
        <v>81</v>
      </c>
      <c r="C3261">
        <v>1995</v>
      </c>
      <c r="D3261">
        <v>440</v>
      </c>
      <c r="E3261">
        <v>424</v>
      </c>
      <c r="F3261" t="str">
        <f t="shared" si="50"/>
        <v>hard coal</v>
      </c>
    </row>
    <row r="3262" spans="1:6" x14ac:dyDescent="0.25">
      <c r="A3262" t="s">
        <v>193</v>
      </c>
      <c r="B3262" t="s">
        <v>81</v>
      </c>
      <c r="C3262">
        <v>1996</v>
      </c>
      <c r="D3262">
        <v>437.1</v>
      </c>
      <c r="E3262">
        <v>424</v>
      </c>
      <c r="F3262" t="str">
        <f t="shared" si="50"/>
        <v>hard coal</v>
      </c>
    </row>
    <row r="3263" spans="1:6" x14ac:dyDescent="0.25">
      <c r="A3263" t="s">
        <v>193</v>
      </c>
      <c r="B3263" t="s">
        <v>81</v>
      </c>
      <c r="C3263">
        <v>2012</v>
      </c>
      <c r="D3263">
        <v>610</v>
      </c>
      <c r="E3263">
        <v>668</v>
      </c>
      <c r="F3263" t="str">
        <f t="shared" si="50"/>
        <v>hard coal</v>
      </c>
    </row>
    <row r="3264" spans="1:6" x14ac:dyDescent="0.25">
      <c r="A3264" t="s">
        <v>193</v>
      </c>
      <c r="B3264" t="s">
        <v>86</v>
      </c>
      <c r="C3264">
        <v>1990</v>
      </c>
      <c r="D3264">
        <v>4.5</v>
      </c>
      <c r="E3264">
        <v>4.5</v>
      </c>
      <c r="F3264" t="str">
        <f t="shared" si="50"/>
        <v>hydro</v>
      </c>
    </row>
    <row r="3265" spans="1:6" x14ac:dyDescent="0.25">
      <c r="A3265" t="s">
        <v>193</v>
      </c>
      <c r="B3265" t="s">
        <v>86</v>
      </c>
      <c r="C3265">
        <v>1993</v>
      </c>
      <c r="D3265">
        <v>2.9</v>
      </c>
      <c r="E3265">
        <v>2.9</v>
      </c>
      <c r="F3265" t="str">
        <f t="shared" si="50"/>
        <v>hydro</v>
      </c>
    </row>
    <row r="3266" spans="1:6" x14ac:dyDescent="0.25">
      <c r="A3266" t="s">
        <v>193</v>
      </c>
      <c r="B3266" t="s">
        <v>86</v>
      </c>
      <c r="C3266">
        <v>2008</v>
      </c>
      <c r="D3266">
        <v>2</v>
      </c>
      <c r="E3266">
        <v>2.2000000000000002</v>
      </c>
      <c r="F3266" t="str">
        <f t="shared" ref="F3266:F3329" si="51">LOWER($B3266)</f>
        <v>hydro</v>
      </c>
    </row>
    <row r="3267" spans="1:6" x14ac:dyDescent="0.25">
      <c r="A3267" t="s">
        <v>193</v>
      </c>
      <c r="B3267" t="s">
        <v>86</v>
      </c>
      <c r="C3267">
        <v>2021</v>
      </c>
      <c r="D3267">
        <v>0.6</v>
      </c>
      <c r="E3267">
        <v>0.7</v>
      </c>
      <c r="F3267" t="str">
        <f t="shared" si="51"/>
        <v>hydro</v>
      </c>
    </row>
    <row r="3268" spans="1:6" x14ac:dyDescent="0.25">
      <c r="A3268" t="s">
        <v>193</v>
      </c>
      <c r="B3268" t="s">
        <v>98</v>
      </c>
      <c r="C3268">
        <v>1990</v>
      </c>
      <c r="D3268">
        <v>98</v>
      </c>
      <c r="E3268">
        <v>124</v>
      </c>
      <c r="F3268" t="str">
        <f t="shared" si="51"/>
        <v>municipal solid waste</v>
      </c>
    </row>
    <row r="3269" spans="1:6" x14ac:dyDescent="0.25">
      <c r="A3269" t="s">
        <v>193</v>
      </c>
      <c r="B3269" t="s">
        <v>84</v>
      </c>
      <c r="C3269">
        <v>1990</v>
      </c>
      <c r="D3269">
        <v>569.5</v>
      </c>
      <c r="E3269">
        <v>618.4</v>
      </c>
      <c r="F3269" t="str">
        <f t="shared" si="51"/>
        <v>natural gas combined cycle</v>
      </c>
    </row>
    <row r="3270" spans="1:6" x14ac:dyDescent="0.25">
      <c r="A3270" t="s">
        <v>193</v>
      </c>
      <c r="B3270" t="s">
        <v>84</v>
      </c>
      <c r="C3270">
        <v>1991</v>
      </c>
      <c r="D3270">
        <v>348</v>
      </c>
      <c r="E3270">
        <v>376</v>
      </c>
      <c r="F3270" t="str">
        <f t="shared" si="51"/>
        <v>natural gas combined cycle</v>
      </c>
    </row>
    <row r="3271" spans="1:6" x14ac:dyDescent="0.25">
      <c r="A3271" t="s">
        <v>193</v>
      </c>
      <c r="B3271" t="s">
        <v>84</v>
      </c>
      <c r="C3271">
        <v>1992</v>
      </c>
      <c r="D3271">
        <v>548.29999999999995</v>
      </c>
      <c r="E3271">
        <v>603.20000000000005</v>
      </c>
      <c r="F3271" t="str">
        <f t="shared" si="51"/>
        <v>natural gas combined cycle</v>
      </c>
    </row>
    <row r="3272" spans="1:6" x14ac:dyDescent="0.25">
      <c r="A3272" t="s">
        <v>193</v>
      </c>
      <c r="B3272" t="s">
        <v>84</v>
      </c>
      <c r="C3272">
        <v>1994</v>
      </c>
      <c r="D3272">
        <v>218</v>
      </c>
      <c r="E3272">
        <v>300.39999999999998</v>
      </c>
      <c r="F3272" t="str">
        <f t="shared" si="51"/>
        <v>natural gas combined cycle</v>
      </c>
    </row>
    <row r="3273" spans="1:6" x14ac:dyDescent="0.25">
      <c r="A3273" t="s">
        <v>193</v>
      </c>
      <c r="B3273" t="s">
        <v>84</v>
      </c>
      <c r="C3273">
        <v>1997</v>
      </c>
      <c r="D3273">
        <v>267</v>
      </c>
      <c r="E3273">
        <v>330</v>
      </c>
      <c r="F3273" t="str">
        <f t="shared" si="51"/>
        <v>natural gas combined cycle</v>
      </c>
    </row>
    <row r="3274" spans="1:6" x14ac:dyDescent="0.25">
      <c r="A3274" t="s">
        <v>193</v>
      </c>
      <c r="B3274" t="s">
        <v>84</v>
      </c>
      <c r="C3274">
        <v>2003</v>
      </c>
      <c r="D3274">
        <v>570.70000000000005</v>
      </c>
      <c r="E3274">
        <v>613</v>
      </c>
      <c r="F3274" t="str">
        <f t="shared" si="51"/>
        <v>natural gas combined cycle</v>
      </c>
    </row>
    <row r="3275" spans="1:6" x14ac:dyDescent="0.25">
      <c r="A3275" t="s">
        <v>193</v>
      </c>
      <c r="B3275" t="s">
        <v>84</v>
      </c>
      <c r="C3275">
        <v>2004</v>
      </c>
      <c r="D3275">
        <v>937.4</v>
      </c>
      <c r="E3275">
        <v>1011.4</v>
      </c>
      <c r="F3275" t="str">
        <f t="shared" si="51"/>
        <v>natural gas combined cycle</v>
      </c>
    </row>
    <row r="3276" spans="1:6" x14ac:dyDescent="0.25">
      <c r="A3276" t="s">
        <v>193</v>
      </c>
      <c r="B3276" t="s">
        <v>84</v>
      </c>
      <c r="C3276">
        <v>2011</v>
      </c>
      <c r="D3276">
        <v>628.20000000000005</v>
      </c>
      <c r="E3276">
        <v>559</v>
      </c>
      <c r="F3276" t="str">
        <f t="shared" si="51"/>
        <v>natural gas combined cycle</v>
      </c>
    </row>
    <row r="3277" spans="1:6" x14ac:dyDescent="0.25">
      <c r="A3277" t="s">
        <v>193</v>
      </c>
      <c r="B3277" t="s">
        <v>84</v>
      </c>
      <c r="C3277">
        <v>2014</v>
      </c>
      <c r="D3277">
        <v>1369.9</v>
      </c>
      <c r="E3277">
        <v>1472.2</v>
      </c>
      <c r="F3277" t="str">
        <f t="shared" si="51"/>
        <v>natural gas combined cycle</v>
      </c>
    </row>
    <row r="3278" spans="1:6" x14ac:dyDescent="0.25">
      <c r="A3278" t="s">
        <v>193</v>
      </c>
      <c r="B3278" t="s">
        <v>84</v>
      </c>
      <c r="C3278">
        <v>2016</v>
      </c>
      <c r="D3278">
        <v>1376</v>
      </c>
      <c r="E3278">
        <v>1472.2</v>
      </c>
      <c r="F3278" t="str">
        <f t="shared" si="51"/>
        <v>natural gas combined cycle</v>
      </c>
    </row>
    <row r="3279" spans="1:6" x14ac:dyDescent="0.25">
      <c r="A3279" t="s">
        <v>193</v>
      </c>
      <c r="B3279" t="s">
        <v>84</v>
      </c>
      <c r="C3279">
        <v>2017</v>
      </c>
      <c r="D3279">
        <v>766</v>
      </c>
      <c r="E3279">
        <v>812</v>
      </c>
      <c r="F3279" t="str">
        <f t="shared" si="51"/>
        <v>natural gas combined cycle</v>
      </c>
    </row>
    <row r="3280" spans="1:6" x14ac:dyDescent="0.25">
      <c r="A3280" t="s">
        <v>193</v>
      </c>
      <c r="B3280" t="s">
        <v>84</v>
      </c>
      <c r="C3280">
        <v>2018</v>
      </c>
      <c r="D3280">
        <v>1605.1</v>
      </c>
      <c r="E3280">
        <v>1773.3</v>
      </c>
      <c r="F3280" t="str">
        <f t="shared" si="51"/>
        <v>natural gas combined cycle</v>
      </c>
    </row>
    <row r="3281" spans="1:6" x14ac:dyDescent="0.25">
      <c r="A3281" t="s">
        <v>193</v>
      </c>
      <c r="B3281" t="s">
        <v>93</v>
      </c>
      <c r="C3281">
        <v>1990</v>
      </c>
      <c r="D3281">
        <v>340</v>
      </c>
      <c r="E3281">
        <v>368.4</v>
      </c>
      <c r="F3281" t="str">
        <f t="shared" si="51"/>
        <v>natural gas peaker</v>
      </c>
    </row>
    <row r="3282" spans="1:6" x14ac:dyDescent="0.25">
      <c r="A3282" t="s">
        <v>193</v>
      </c>
      <c r="B3282" t="s">
        <v>93</v>
      </c>
      <c r="C3282">
        <v>1992</v>
      </c>
      <c r="D3282">
        <v>325</v>
      </c>
      <c r="E3282">
        <v>388.8</v>
      </c>
      <c r="F3282" t="str">
        <f t="shared" si="51"/>
        <v>natural gas peaker</v>
      </c>
    </row>
    <row r="3283" spans="1:6" x14ac:dyDescent="0.25">
      <c r="A3283" t="s">
        <v>193</v>
      </c>
      <c r="B3283" t="s">
        <v>93</v>
      </c>
      <c r="C3283">
        <v>1997</v>
      </c>
      <c r="D3283">
        <v>46.4</v>
      </c>
      <c r="E3283">
        <v>46.4</v>
      </c>
      <c r="F3283" t="str">
        <f t="shared" si="51"/>
        <v>natural gas peaker</v>
      </c>
    </row>
    <row r="3284" spans="1:6" x14ac:dyDescent="0.25">
      <c r="A3284" t="s">
        <v>193</v>
      </c>
      <c r="B3284" t="s">
        <v>93</v>
      </c>
      <c r="C3284">
        <v>2000</v>
      </c>
      <c r="D3284">
        <v>613.70000000000005</v>
      </c>
      <c r="E3284">
        <v>705.5</v>
      </c>
      <c r="F3284" t="str">
        <f t="shared" si="51"/>
        <v>natural gas peaker</v>
      </c>
    </row>
    <row r="3285" spans="1:6" x14ac:dyDescent="0.25">
      <c r="A3285" t="s">
        <v>193</v>
      </c>
      <c r="B3285" t="s">
        <v>93</v>
      </c>
      <c r="C3285">
        <v>2001</v>
      </c>
      <c r="D3285">
        <v>728.4</v>
      </c>
      <c r="E3285">
        <v>829</v>
      </c>
      <c r="F3285" t="str">
        <f t="shared" si="51"/>
        <v>natural gas peaker</v>
      </c>
    </row>
    <row r="3286" spans="1:6" x14ac:dyDescent="0.25">
      <c r="A3286" t="s">
        <v>193</v>
      </c>
      <c r="B3286" t="s">
        <v>93</v>
      </c>
      <c r="C3286">
        <v>2002</v>
      </c>
      <c r="D3286">
        <v>84</v>
      </c>
      <c r="E3286">
        <v>88</v>
      </c>
      <c r="F3286" t="str">
        <f t="shared" si="51"/>
        <v>natural gas peaker</v>
      </c>
    </row>
    <row r="3287" spans="1:6" x14ac:dyDescent="0.25">
      <c r="A3287" t="s">
        <v>193</v>
      </c>
      <c r="B3287" t="s">
        <v>93</v>
      </c>
      <c r="C3287">
        <v>2003</v>
      </c>
      <c r="D3287">
        <v>466</v>
      </c>
      <c r="E3287">
        <v>545.70000000000005</v>
      </c>
      <c r="F3287" t="str">
        <f t="shared" si="51"/>
        <v>natural gas peaker</v>
      </c>
    </row>
    <row r="3288" spans="1:6" x14ac:dyDescent="0.25">
      <c r="A3288" t="s">
        <v>193</v>
      </c>
      <c r="B3288" t="s">
        <v>93</v>
      </c>
      <c r="C3288">
        <v>2004</v>
      </c>
      <c r="D3288">
        <v>484</v>
      </c>
      <c r="E3288">
        <v>596.70000000000005</v>
      </c>
      <c r="F3288" t="str">
        <f t="shared" si="51"/>
        <v>natural gas peaker</v>
      </c>
    </row>
    <row r="3289" spans="1:6" x14ac:dyDescent="0.25">
      <c r="A3289" t="s">
        <v>193</v>
      </c>
      <c r="B3289" t="s">
        <v>93</v>
      </c>
      <c r="C3289">
        <v>2008</v>
      </c>
      <c r="D3289">
        <v>319.89999999999998</v>
      </c>
      <c r="E3289">
        <v>357</v>
      </c>
      <c r="F3289" t="str">
        <f t="shared" si="51"/>
        <v>natural gas peaker</v>
      </c>
    </row>
    <row r="3290" spans="1:6" x14ac:dyDescent="0.25">
      <c r="A3290" t="s">
        <v>193</v>
      </c>
      <c r="B3290" t="s">
        <v>93</v>
      </c>
      <c r="C3290">
        <v>2009</v>
      </c>
      <c r="D3290">
        <v>160.6</v>
      </c>
      <c r="E3290">
        <v>178.5</v>
      </c>
      <c r="F3290" t="str">
        <f t="shared" si="51"/>
        <v>natural gas peaker</v>
      </c>
    </row>
    <row r="3291" spans="1:6" x14ac:dyDescent="0.25">
      <c r="A3291" t="s">
        <v>193</v>
      </c>
      <c r="B3291" t="s">
        <v>93</v>
      </c>
      <c r="C3291">
        <v>2012</v>
      </c>
      <c r="D3291">
        <v>1</v>
      </c>
      <c r="E3291">
        <v>1.1000000000000001</v>
      </c>
      <c r="F3291" t="str">
        <f t="shared" si="51"/>
        <v>natural gas peaker</v>
      </c>
    </row>
    <row r="3292" spans="1:6" x14ac:dyDescent="0.25">
      <c r="A3292" t="s">
        <v>193</v>
      </c>
      <c r="B3292" t="s">
        <v>93</v>
      </c>
      <c r="C3292">
        <v>2015</v>
      </c>
      <c r="D3292">
        <v>15</v>
      </c>
      <c r="E3292">
        <v>15</v>
      </c>
      <c r="F3292" t="str">
        <f t="shared" si="51"/>
        <v>natural gas peaker</v>
      </c>
    </row>
    <row r="3293" spans="1:6" x14ac:dyDescent="0.25">
      <c r="A3293" t="s">
        <v>193</v>
      </c>
      <c r="B3293" t="s">
        <v>93</v>
      </c>
      <c r="C3293">
        <v>2016</v>
      </c>
      <c r="D3293">
        <v>1.3</v>
      </c>
      <c r="E3293">
        <v>1.4</v>
      </c>
      <c r="F3293" t="str">
        <f t="shared" si="51"/>
        <v>natural gas peaker</v>
      </c>
    </row>
    <row r="3294" spans="1:6" x14ac:dyDescent="0.25">
      <c r="A3294" t="s">
        <v>193</v>
      </c>
      <c r="B3294" t="s">
        <v>93</v>
      </c>
      <c r="C3294">
        <v>2018</v>
      </c>
      <c r="D3294">
        <v>326.7</v>
      </c>
      <c r="E3294">
        <v>374</v>
      </c>
      <c r="F3294" t="str">
        <f t="shared" si="51"/>
        <v>natural gas peaker</v>
      </c>
    </row>
    <row r="3295" spans="1:6" x14ac:dyDescent="0.25">
      <c r="A3295" t="s">
        <v>193</v>
      </c>
      <c r="B3295" t="s">
        <v>93</v>
      </c>
      <c r="C3295">
        <v>2024</v>
      </c>
      <c r="D3295">
        <v>2</v>
      </c>
      <c r="E3295">
        <v>2</v>
      </c>
      <c r="F3295" t="str">
        <f t="shared" si="51"/>
        <v>natural gas peaker</v>
      </c>
    </row>
    <row r="3296" spans="1:6" x14ac:dyDescent="0.25">
      <c r="A3296" t="s">
        <v>193</v>
      </c>
      <c r="B3296" t="s">
        <v>93</v>
      </c>
      <c r="C3296">
        <v>2025</v>
      </c>
      <c r="D3296">
        <v>2</v>
      </c>
      <c r="E3296">
        <v>2</v>
      </c>
      <c r="F3296" t="str">
        <f t="shared" si="51"/>
        <v>natural gas peaker</v>
      </c>
    </row>
    <row r="3297" spans="1:6" x14ac:dyDescent="0.25">
      <c r="A3297" t="s">
        <v>193</v>
      </c>
      <c r="B3297" t="s">
        <v>83</v>
      </c>
      <c r="C3297">
        <v>1990</v>
      </c>
      <c r="D3297">
        <v>22.4</v>
      </c>
      <c r="E3297">
        <v>24</v>
      </c>
      <c r="F3297" t="str">
        <f t="shared" si="51"/>
        <v>natural gas steam turbine</v>
      </c>
    </row>
    <row r="3298" spans="1:6" x14ac:dyDescent="0.25">
      <c r="A3298" t="s">
        <v>193</v>
      </c>
      <c r="B3298" t="s">
        <v>83</v>
      </c>
      <c r="C3298">
        <v>1992</v>
      </c>
      <c r="D3298">
        <v>55</v>
      </c>
      <c r="E3298">
        <v>114.8</v>
      </c>
      <c r="F3298" t="str">
        <f t="shared" si="51"/>
        <v>natural gas steam turbine</v>
      </c>
    </row>
    <row r="3299" spans="1:6" x14ac:dyDescent="0.25">
      <c r="A3299" t="s">
        <v>193</v>
      </c>
      <c r="B3299" t="s">
        <v>83</v>
      </c>
      <c r="C3299">
        <v>1997</v>
      </c>
      <c r="D3299">
        <v>2.7</v>
      </c>
      <c r="E3299">
        <v>2.5</v>
      </c>
      <c r="F3299" t="str">
        <f t="shared" si="51"/>
        <v>natural gas steam turbine</v>
      </c>
    </row>
    <row r="3300" spans="1:6" x14ac:dyDescent="0.25">
      <c r="A3300" t="s">
        <v>193</v>
      </c>
      <c r="B3300" t="s">
        <v>83</v>
      </c>
      <c r="C3300">
        <v>2021</v>
      </c>
      <c r="D3300">
        <v>2.4</v>
      </c>
      <c r="E3300">
        <v>2.4</v>
      </c>
      <c r="F3300" t="str">
        <f t="shared" si="51"/>
        <v>natural gas steam turbine</v>
      </c>
    </row>
    <row r="3301" spans="1:6" x14ac:dyDescent="0.25">
      <c r="A3301" t="s">
        <v>193</v>
      </c>
      <c r="B3301" t="s">
        <v>95</v>
      </c>
      <c r="C3301">
        <v>2021</v>
      </c>
      <c r="D3301">
        <v>12</v>
      </c>
      <c r="E3301">
        <v>12</v>
      </c>
      <c r="F3301" t="str">
        <f t="shared" si="51"/>
        <v>offshore wind</v>
      </c>
    </row>
    <row r="3302" spans="1:6" x14ac:dyDescent="0.25">
      <c r="A3302" t="s">
        <v>193</v>
      </c>
      <c r="B3302" t="s">
        <v>92</v>
      </c>
      <c r="C3302">
        <v>1990</v>
      </c>
      <c r="D3302">
        <v>15</v>
      </c>
      <c r="E3302">
        <v>16</v>
      </c>
      <c r="F3302" t="str">
        <f t="shared" si="51"/>
        <v>petroleum</v>
      </c>
    </row>
    <row r="3303" spans="1:6" x14ac:dyDescent="0.25">
      <c r="A3303" t="s">
        <v>193</v>
      </c>
      <c r="B3303" t="s">
        <v>92</v>
      </c>
      <c r="C3303">
        <v>1992</v>
      </c>
      <c r="D3303">
        <v>9.1999999999999993</v>
      </c>
      <c r="E3303">
        <v>9.5</v>
      </c>
      <c r="F3303" t="str">
        <f t="shared" si="51"/>
        <v>petroleum</v>
      </c>
    </row>
    <row r="3304" spans="1:6" x14ac:dyDescent="0.25">
      <c r="A3304" t="s">
        <v>193</v>
      </c>
      <c r="B3304" t="s">
        <v>92</v>
      </c>
      <c r="C3304">
        <v>1993</v>
      </c>
      <c r="D3304">
        <v>5.4</v>
      </c>
      <c r="E3304">
        <v>5.6</v>
      </c>
      <c r="F3304" t="str">
        <f t="shared" si="51"/>
        <v>petroleum</v>
      </c>
    </row>
    <row r="3305" spans="1:6" x14ac:dyDescent="0.25">
      <c r="A3305" t="s">
        <v>193</v>
      </c>
      <c r="B3305" t="s">
        <v>92</v>
      </c>
      <c r="C3305">
        <v>1995</v>
      </c>
      <c r="D3305">
        <v>4.5</v>
      </c>
      <c r="E3305">
        <v>4.5</v>
      </c>
      <c r="F3305" t="str">
        <f t="shared" si="51"/>
        <v>petroleum</v>
      </c>
    </row>
    <row r="3306" spans="1:6" x14ac:dyDescent="0.25">
      <c r="A3306" t="s">
        <v>193</v>
      </c>
      <c r="B3306" t="s">
        <v>92</v>
      </c>
      <c r="C3306">
        <v>1996</v>
      </c>
      <c r="D3306">
        <v>4.7</v>
      </c>
      <c r="E3306">
        <v>5.5</v>
      </c>
      <c r="F3306" t="str">
        <f t="shared" si="51"/>
        <v>petroleum</v>
      </c>
    </row>
    <row r="3307" spans="1:6" x14ac:dyDescent="0.25">
      <c r="A3307" t="s">
        <v>193</v>
      </c>
      <c r="B3307" t="s">
        <v>92</v>
      </c>
      <c r="C3307">
        <v>1997</v>
      </c>
      <c r="D3307">
        <v>26.3</v>
      </c>
      <c r="E3307">
        <v>37.200000000000003</v>
      </c>
      <c r="F3307" t="str">
        <f t="shared" si="51"/>
        <v>petroleum</v>
      </c>
    </row>
    <row r="3308" spans="1:6" x14ac:dyDescent="0.25">
      <c r="A3308" t="s">
        <v>193</v>
      </c>
      <c r="B3308" t="s">
        <v>92</v>
      </c>
      <c r="C3308">
        <v>1999</v>
      </c>
      <c r="D3308">
        <v>9</v>
      </c>
      <c r="E3308">
        <v>14</v>
      </c>
      <c r="F3308" t="str">
        <f t="shared" si="51"/>
        <v>petroleum</v>
      </c>
    </row>
    <row r="3309" spans="1:6" x14ac:dyDescent="0.25">
      <c r="A3309" t="s">
        <v>193</v>
      </c>
      <c r="B3309" t="s">
        <v>92</v>
      </c>
      <c r="C3309">
        <v>2000</v>
      </c>
      <c r="D3309">
        <v>141.80000000000001</v>
      </c>
      <c r="E3309">
        <v>178.8</v>
      </c>
      <c r="F3309" t="str">
        <f t="shared" si="51"/>
        <v>petroleum</v>
      </c>
    </row>
    <row r="3310" spans="1:6" x14ac:dyDescent="0.25">
      <c r="A3310" t="s">
        <v>193</v>
      </c>
      <c r="B3310" t="s">
        <v>92</v>
      </c>
      <c r="C3310">
        <v>2001</v>
      </c>
      <c r="D3310">
        <v>183</v>
      </c>
      <c r="E3310">
        <v>233.2</v>
      </c>
      <c r="F3310" t="str">
        <f t="shared" si="51"/>
        <v>petroleum</v>
      </c>
    </row>
    <row r="3311" spans="1:6" x14ac:dyDescent="0.25">
      <c r="A3311" t="s">
        <v>193</v>
      </c>
      <c r="B3311" t="s">
        <v>92</v>
      </c>
      <c r="C3311">
        <v>2002</v>
      </c>
      <c r="D3311">
        <v>26</v>
      </c>
      <c r="E3311">
        <v>26</v>
      </c>
      <c r="F3311" t="str">
        <f t="shared" si="51"/>
        <v>petroleum</v>
      </c>
    </row>
    <row r="3312" spans="1:6" x14ac:dyDescent="0.25">
      <c r="A3312" t="s">
        <v>193</v>
      </c>
      <c r="B3312" t="s">
        <v>92</v>
      </c>
      <c r="C3312">
        <v>2003</v>
      </c>
      <c r="D3312">
        <v>2</v>
      </c>
      <c r="E3312">
        <v>2</v>
      </c>
      <c r="F3312" t="str">
        <f t="shared" si="51"/>
        <v>petroleum</v>
      </c>
    </row>
    <row r="3313" spans="1:6" x14ac:dyDescent="0.25">
      <c r="A3313" t="s">
        <v>193</v>
      </c>
      <c r="B3313" t="s">
        <v>92</v>
      </c>
      <c r="C3313">
        <v>2004</v>
      </c>
      <c r="D3313">
        <v>21.8</v>
      </c>
      <c r="E3313">
        <v>21.8</v>
      </c>
      <c r="F3313" t="str">
        <f t="shared" si="51"/>
        <v>petroleum</v>
      </c>
    </row>
    <row r="3314" spans="1:6" x14ac:dyDescent="0.25">
      <c r="A3314" t="s">
        <v>193</v>
      </c>
      <c r="B3314" t="s">
        <v>92</v>
      </c>
      <c r="C3314">
        <v>2005</v>
      </c>
      <c r="D3314">
        <v>7.4</v>
      </c>
      <c r="E3314">
        <v>9</v>
      </c>
      <c r="F3314" t="str">
        <f t="shared" si="51"/>
        <v>petroleum</v>
      </c>
    </row>
    <row r="3315" spans="1:6" x14ac:dyDescent="0.25">
      <c r="A3315" t="s">
        <v>193</v>
      </c>
      <c r="B3315" t="s">
        <v>92</v>
      </c>
      <c r="C3315">
        <v>2006</v>
      </c>
      <c r="D3315">
        <v>2</v>
      </c>
      <c r="E3315">
        <v>2</v>
      </c>
      <c r="F3315" t="str">
        <f t="shared" si="51"/>
        <v>petroleum</v>
      </c>
    </row>
    <row r="3316" spans="1:6" x14ac:dyDescent="0.25">
      <c r="A3316" t="s">
        <v>193</v>
      </c>
      <c r="B3316" t="s">
        <v>92</v>
      </c>
      <c r="C3316">
        <v>2007</v>
      </c>
      <c r="D3316">
        <v>6.2</v>
      </c>
      <c r="E3316">
        <v>6.3</v>
      </c>
      <c r="F3316" t="str">
        <f t="shared" si="51"/>
        <v>petroleum</v>
      </c>
    </row>
    <row r="3317" spans="1:6" x14ac:dyDescent="0.25">
      <c r="A3317" t="s">
        <v>193</v>
      </c>
      <c r="B3317" t="s">
        <v>92</v>
      </c>
      <c r="C3317">
        <v>2009</v>
      </c>
      <c r="D3317">
        <v>7.5</v>
      </c>
      <c r="E3317">
        <v>7.8</v>
      </c>
      <c r="F3317" t="str">
        <f t="shared" si="51"/>
        <v>petroleum</v>
      </c>
    </row>
    <row r="3318" spans="1:6" x14ac:dyDescent="0.25">
      <c r="A3318" t="s">
        <v>193</v>
      </c>
      <c r="B3318" t="s">
        <v>92</v>
      </c>
      <c r="C3318">
        <v>2016</v>
      </c>
      <c r="D3318">
        <v>6</v>
      </c>
      <c r="E3318">
        <v>6</v>
      </c>
      <c r="F3318" t="str">
        <f t="shared" si="51"/>
        <v>petroleum</v>
      </c>
    </row>
    <row r="3319" spans="1:6" x14ac:dyDescent="0.25">
      <c r="A3319" t="s">
        <v>193</v>
      </c>
      <c r="B3319" t="s">
        <v>92</v>
      </c>
      <c r="C3319">
        <v>2017</v>
      </c>
      <c r="D3319">
        <v>3</v>
      </c>
      <c r="E3319">
        <v>3</v>
      </c>
      <c r="F3319" t="str">
        <f t="shared" si="51"/>
        <v>petroleum</v>
      </c>
    </row>
    <row r="3320" spans="1:6" x14ac:dyDescent="0.25">
      <c r="A3320" t="s">
        <v>193</v>
      </c>
      <c r="B3320" t="s">
        <v>249</v>
      </c>
      <c r="C3320">
        <v>2016</v>
      </c>
      <c r="D3320">
        <v>139</v>
      </c>
      <c r="E3320">
        <v>139</v>
      </c>
      <c r="F3320" t="str">
        <f t="shared" si="51"/>
        <v>solar pv</v>
      </c>
    </row>
    <row r="3321" spans="1:6" x14ac:dyDescent="0.25">
      <c r="A3321" t="s">
        <v>193</v>
      </c>
      <c r="B3321" t="s">
        <v>249</v>
      </c>
      <c r="C3321">
        <v>2017</v>
      </c>
      <c r="D3321">
        <v>288.60000000000002</v>
      </c>
      <c r="E3321">
        <v>285</v>
      </c>
      <c r="F3321" t="str">
        <f t="shared" si="51"/>
        <v>solar pv</v>
      </c>
    </row>
    <row r="3322" spans="1:6" x14ac:dyDescent="0.25">
      <c r="A3322" t="s">
        <v>193</v>
      </c>
      <c r="B3322" t="s">
        <v>249</v>
      </c>
      <c r="C3322">
        <v>2018</v>
      </c>
      <c r="D3322">
        <v>58</v>
      </c>
      <c r="E3322">
        <v>58</v>
      </c>
      <c r="F3322" t="str">
        <f t="shared" si="51"/>
        <v>solar pv</v>
      </c>
    </row>
    <row r="3323" spans="1:6" x14ac:dyDescent="0.25">
      <c r="A3323" t="s">
        <v>193</v>
      </c>
      <c r="B3323" t="s">
        <v>249</v>
      </c>
      <c r="C3323">
        <v>2019</v>
      </c>
      <c r="D3323">
        <v>163.13999999999999</v>
      </c>
      <c r="E3323">
        <v>163.19999999999999</v>
      </c>
      <c r="F3323" t="str">
        <f t="shared" si="51"/>
        <v>solar pv</v>
      </c>
    </row>
    <row r="3324" spans="1:6" x14ac:dyDescent="0.25">
      <c r="A3324" t="s">
        <v>193</v>
      </c>
      <c r="B3324" t="s">
        <v>249</v>
      </c>
      <c r="C3324">
        <v>2020</v>
      </c>
      <c r="D3324">
        <v>679.34</v>
      </c>
      <c r="E3324">
        <v>679.4</v>
      </c>
      <c r="F3324" t="str">
        <f t="shared" si="51"/>
        <v>solar pv</v>
      </c>
    </row>
    <row r="3325" spans="1:6" x14ac:dyDescent="0.25">
      <c r="A3325" t="s">
        <v>193</v>
      </c>
      <c r="B3325" t="s">
        <v>249</v>
      </c>
      <c r="C3325">
        <v>2021</v>
      </c>
      <c r="D3325">
        <v>888.1</v>
      </c>
      <c r="E3325">
        <v>888.1</v>
      </c>
      <c r="F3325" t="str">
        <f t="shared" si="51"/>
        <v>solar pv</v>
      </c>
    </row>
    <row r="3326" spans="1:6" x14ac:dyDescent="0.25">
      <c r="A3326" t="s">
        <v>193</v>
      </c>
      <c r="B3326" t="s">
        <v>249</v>
      </c>
      <c r="C3326">
        <v>2022</v>
      </c>
      <c r="D3326">
        <v>647.70000000000005</v>
      </c>
      <c r="E3326">
        <v>647.79999999999995</v>
      </c>
      <c r="F3326" t="str">
        <f t="shared" si="51"/>
        <v>solar pv</v>
      </c>
    </row>
    <row r="3327" spans="1:6" x14ac:dyDescent="0.25">
      <c r="A3327" t="s">
        <v>193</v>
      </c>
      <c r="B3327" t="s">
        <v>249</v>
      </c>
      <c r="C3327">
        <v>2023</v>
      </c>
      <c r="D3327">
        <v>815.6</v>
      </c>
      <c r="E3327">
        <v>829.8</v>
      </c>
      <c r="F3327" t="str">
        <f t="shared" si="51"/>
        <v>solar pv</v>
      </c>
    </row>
    <row r="3328" spans="1:6" x14ac:dyDescent="0.25">
      <c r="A3328" t="s">
        <v>193</v>
      </c>
      <c r="B3328" t="s">
        <v>249</v>
      </c>
      <c r="C3328">
        <v>2024</v>
      </c>
      <c r="D3328">
        <v>998.9</v>
      </c>
      <c r="E3328">
        <v>1000.4</v>
      </c>
      <c r="F3328" t="str">
        <f t="shared" si="51"/>
        <v>solar pv</v>
      </c>
    </row>
    <row r="3329" spans="1:6" x14ac:dyDescent="0.25">
      <c r="A3329" t="s">
        <v>193</v>
      </c>
      <c r="B3329" t="s">
        <v>249</v>
      </c>
      <c r="C3329">
        <v>2025</v>
      </c>
      <c r="D3329">
        <v>484.6</v>
      </c>
      <c r="E3329">
        <v>484.6</v>
      </c>
      <c r="F3329" t="str">
        <f t="shared" si="51"/>
        <v>solar pv</v>
      </c>
    </row>
    <row r="3330" spans="1:6" x14ac:dyDescent="0.25">
      <c r="A3330" t="s">
        <v>195</v>
      </c>
      <c r="B3330" t="s">
        <v>90</v>
      </c>
      <c r="C3330">
        <v>1992</v>
      </c>
      <c r="D3330">
        <v>19.7</v>
      </c>
      <c r="E3330">
        <v>21.5</v>
      </c>
      <c r="F3330" t="str">
        <f t="shared" ref="F3330:F3393" si="52">LOWER($B3330)</f>
        <v>biomass</v>
      </c>
    </row>
    <row r="3331" spans="1:6" x14ac:dyDescent="0.25">
      <c r="A3331" t="s">
        <v>195</v>
      </c>
      <c r="B3331" t="s">
        <v>90</v>
      </c>
      <c r="C3331">
        <v>1999</v>
      </c>
      <c r="D3331">
        <v>0.3</v>
      </c>
      <c r="E3331">
        <v>0.8</v>
      </c>
      <c r="F3331" t="str">
        <f t="shared" si="52"/>
        <v>biomass</v>
      </c>
    </row>
    <row r="3332" spans="1:6" x14ac:dyDescent="0.25">
      <c r="A3332" t="s">
        <v>195</v>
      </c>
      <c r="B3332" t="s">
        <v>90</v>
      </c>
      <c r="C3332">
        <v>2005</v>
      </c>
      <c r="D3332">
        <v>4.5</v>
      </c>
      <c r="E3332">
        <v>4.8</v>
      </c>
      <c r="F3332" t="str">
        <f t="shared" si="52"/>
        <v>biomass</v>
      </c>
    </row>
    <row r="3333" spans="1:6" x14ac:dyDescent="0.25">
      <c r="A3333" t="s">
        <v>195</v>
      </c>
      <c r="B3333" t="s">
        <v>90</v>
      </c>
      <c r="C3333">
        <v>2007</v>
      </c>
      <c r="D3333">
        <v>1.5</v>
      </c>
      <c r="E3333">
        <v>1.6</v>
      </c>
      <c r="F3333" t="str">
        <f t="shared" si="52"/>
        <v>biomass</v>
      </c>
    </row>
    <row r="3334" spans="1:6" x14ac:dyDescent="0.25">
      <c r="A3334" t="s">
        <v>195</v>
      </c>
      <c r="B3334" t="s">
        <v>90</v>
      </c>
      <c r="C3334">
        <v>2008</v>
      </c>
      <c r="D3334">
        <v>3.2</v>
      </c>
      <c r="E3334">
        <v>3.2</v>
      </c>
      <c r="F3334" t="str">
        <f t="shared" si="52"/>
        <v>biomass</v>
      </c>
    </row>
    <row r="3335" spans="1:6" x14ac:dyDescent="0.25">
      <c r="A3335" t="s">
        <v>195</v>
      </c>
      <c r="B3335" t="s">
        <v>90</v>
      </c>
      <c r="C3335">
        <v>2009</v>
      </c>
      <c r="D3335">
        <v>1.5</v>
      </c>
      <c r="E3335">
        <v>1.6</v>
      </c>
      <c r="F3335" t="str">
        <f t="shared" si="52"/>
        <v>biomass</v>
      </c>
    </row>
    <row r="3336" spans="1:6" x14ac:dyDescent="0.25">
      <c r="A3336" t="s">
        <v>195</v>
      </c>
      <c r="B3336" t="s">
        <v>86</v>
      </c>
      <c r="C3336">
        <v>1990</v>
      </c>
      <c r="D3336">
        <v>4.8</v>
      </c>
      <c r="E3336">
        <v>5.8</v>
      </c>
      <c r="F3336" t="str">
        <f t="shared" si="52"/>
        <v>hydro</v>
      </c>
    </row>
    <row r="3337" spans="1:6" x14ac:dyDescent="0.25">
      <c r="A3337" t="s">
        <v>195</v>
      </c>
      <c r="B3337" t="s">
        <v>86</v>
      </c>
      <c r="C3337">
        <v>1993</v>
      </c>
      <c r="D3337">
        <v>7.5</v>
      </c>
      <c r="E3337">
        <v>7.5</v>
      </c>
      <c r="F3337" t="str">
        <f t="shared" si="52"/>
        <v>hydro</v>
      </c>
    </row>
    <row r="3338" spans="1:6" x14ac:dyDescent="0.25">
      <c r="A3338" t="s">
        <v>195</v>
      </c>
      <c r="B3338" t="s">
        <v>86</v>
      </c>
      <c r="C3338">
        <v>2008</v>
      </c>
      <c r="D3338">
        <v>17</v>
      </c>
      <c r="E3338">
        <v>19.8</v>
      </c>
      <c r="F3338" t="str">
        <f t="shared" si="52"/>
        <v>hydro</v>
      </c>
    </row>
    <row r="3339" spans="1:6" x14ac:dyDescent="0.25">
      <c r="A3339" t="s">
        <v>195</v>
      </c>
      <c r="B3339" t="s">
        <v>86</v>
      </c>
      <c r="C3339">
        <v>2012</v>
      </c>
      <c r="D3339">
        <v>0.1</v>
      </c>
      <c r="E3339">
        <v>0.5</v>
      </c>
      <c r="F3339" t="str">
        <f t="shared" si="52"/>
        <v>hydro</v>
      </c>
    </row>
    <row r="3340" spans="1:6" x14ac:dyDescent="0.25">
      <c r="A3340" t="s">
        <v>195</v>
      </c>
      <c r="B3340" t="s">
        <v>86</v>
      </c>
      <c r="C3340">
        <v>2016</v>
      </c>
      <c r="D3340">
        <v>2.4</v>
      </c>
      <c r="E3340">
        <v>2.4</v>
      </c>
      <c r="F3340" t="str">
        <f t="shared" si="52"/>
        <v>hydro</v>
      </c>
    </row>
    <row r="3341" spans="1:6" x14ac:dyDescent="0.25">
      <c r="A3341" t="s">
        <v>195</v>
      </c>
      <c r="B3341" t="s">
        <v>87</v>
      </c>
      <c r="C3341">
        <v>1997</v>
      </c>
      <c r="D3341">
        <v>5.2</v>
      </c>
      <c r="E3341">
        <v>6</v>
      </c>
      <c r="F3341" t="str">
        <f t="shared" si="52"/>
        <v>onshore wind</v>
      </c>
    </row>
    <row r="3342" spans="1:6" x14ac:dyDescent="0.25">
      <c r="A3342" t="s">
        <v>195</v>
      </c>
      <c r="B3342" t="s">
        <v>87</v>
      </c>
      <c r="C3342">
        <v>2011</v>
      </c>
      <c r="D3342">
        <v>40</v>
      </c>
      <c r="E3342">
        <v>40</v>
      </c>
      <c r="F3342" t="str">
        <f t="shared" si="52"/>
        <v>onshore wind</v>
      </c>
    </row>
    <row r="3343" spans="1:6" x14ac:dyDescent="0.25">
      <c r="A3343" t="s">
        <v>195</v>
      </c>
      <c r="B3343" t="s">
        <v>87</v>
      </c>
      <c r="C3343">
        <v>2012</v>
      </c>
      <c r="D3343">
        <v>75</v>
      </c>
      <c r="E3343">
        <v>75</v>
      </c>
      <c r="F3343" t="str">
        <f t="shared" si="52"/>
        <v>onshore wind</v>
      </c>
    </row>
    <row r="3344" spans="1:6" x14ac:dyDescent="0.25">
      <c r="A3344" t="s">
        <v>195</v>
      </c>
      <c r="B3344" t="s">
        <v>87</v>
      </c>
      <c r="C3344">
        <v>2017</v>
      </c>
      <c r="D3344">
        <v>30</v>
      </c>
      <c r="E3344">
        <v>30</v>
      </c>
      <c r="F3344" t="str">
        <f t="shared" si="52"/>
        <v>onshore wind</v>
      </c>
    </row>
    <row r="3345" spans="1:6" x14ac:dyDescent="0.25">
      <c r="A3345" t="s">
        <v>195</v>
      </c>
      <c r="B3345" t="s">
        <v>92</v>
      </c>
      <c r="C3345">
        <v>2007</v>
      </c>
      <c r="D3345">
        <v>7.2</v>
      </c>
      <c r="E3345">
        <v>8</v>
      </c>
      <c r="F3345" t="str">
        <f t="shared" si="52"/>
        <v>petroleum</v>
      </c>
    </row>
    <row r="3346" spans="1:6" x14ac:dyDescent="0.25">
      <c r="A3346" t="s">
        <v>195</v>
      </c>
      <c r="B3346" t="s">
        <v>92</v>
      </c>
      <c r="C3346">
        <v>2010</v>
      </c>
      <c r="D3346">
        <v>38</v>
      </c>
      <c r="E3346">
        <v>47.2</v>
      </c>
      <c r="F3346" t="str">
        <f t="shared" si="52"/>
        <v>petroleum</v>
      </c>
    </row>
    <row r="3347" spans="1:6" x14ac:dyDescent="0.25">
      <c r="A3347" t="s">
        <v>195</v>
      </c>
      <c r="B3347" t="s">
        <v>249</v>
      </c>
      <c r="C3347">
        <v>2011</v>
      </c>
      <c r="D3347">
        <v>3.3</v>
      </c>
      <c r="E3347">
        <v>3.5</v>
      </c>
      <c r="F3347" t="str">
        <f t="shared" si="52"/>
        <v>solar pv</v>
      </c>
    </row>
    <row r="3348" spans="1:6" x14ac:dyDescent="0.25">
      <c r="A3348" t="s">
        <v>195</v>
      </c>
      <c r="B3348" t="s">
        <v>249</v>
      </c>
      <c r="C3348">
        <v>2012</v>
      </c>
      <c r="D3348">
        <v>5.8</v>
      </c>
      <c r="E3348">
        <v>5.8</v>
      </c>
      <c r="F3348" t="str">
        <f t="shared" si="52"/>
        <v>solar pv</v>
      </c>
    </row>
    <row r="3349" spans="1:6" x14ac:dyDescent="0.25">
      <c r="A3349" t="s">
        <v>195</v>
      </c>
      <c r="B3349" t="s">
        <v>249</v>
      </c>
      <c r="C3349">
        <v>2013</v>
      </c>
      <c r="D3349">
        <v>8.4</v>
      </c>
      <c r="E3349">
        <v>8.5</v>
      </c>
      <c r="F3349" t="str">
        <f t="shared" si="52"/>
        <v>solar pv</v>
      </c>
    </row>
    <row r="3350" spans="1:6" x14ac:dyDescent="0.25">
      <c r="A3350" t="s">
        <v>195</v>
      </c>
      <c r="B3350" t="s">
        <v>249</v>
      </c>
      <c r="C3350">
        <v>2014</v>
      </c>
      <c r="D3350">
        <v>19.899999999999999</v>
      </c>
      <c r="E3350">
        <v>20</v>
      </c>
      <c r="F3350" t="str">
        <f t="shared" si="52"/>
        <v>solar pv</v>
      </c>
    </row>
    <row r="3351" spans="1:6" x14ac:dyDescent="0.25">
      <c r="A3351" t="s">
        <v>195</v>
      </c>
      <c r="B3351" t="s">
        <v>249</v>
      </c>
      <c r="C3351">
        <v>2015</v>
      </c>
      <c r="D3351">
        <v>2</v>
      </c>
      <c r="E3351">
        <v>2</v>
      </c>
      <c r="F3351" t="str">
        <f t="shared" si="52"/>
        <v>solar pv</v>
      </c>
    </row>
    <row r="3352" spans="1:6" x14ac:dyDescent="0.25">
      <c r="A3352" t="s">
        <v>195</v>
      </c>
      <c r="B3352" t="s">
        <v>249</v>
      </c>
      <c r="C3352">
        <v>2016</v>
      </c>
      <c r="D3352">
        <v>29.6</v>
      </c>
      <c r="E3352">
        <v>29.6</v>
      </c>
      <c r="F3352" t="str">
        <f t="shared" si="52"/>
        <v>solar pv</v>
      </c>
    </row>
    <row r="3353" spans="1:6" x14ac:dyDescent="0.25">
      <c r="A3353" t="s">
        <v>195</v>
      </c>
      <c r="B3353" t="s">
        <v>249</v>
      </c>
      <c r="C3353">
        <v>2017</v>
      </c>
      <c r="D3353">
        <v>8.5</v>
      </c>
      <c r="E3353">
        <v>8.5</v>
      </c>
      <c r="F3353" t="str">
        <f t="shared" si="52"/>
        <v>solar pv</v>
      </c>
    </row>
    <row r="3354" spans="1:6" x14ac:dyDescent="0.25">
      <c r="A3354" t="s">
        <v>195</v>
      </c>
      <c r="B3354" t="s">
        <v>249</v>
      </c>
      <c r="C3354">
        <v>2018</v>
      </c>
      <c r="D3354">
        <v>33.799999999999997</v>
      </c>
      <c r="E3354">
        <v>33.799999999999997</v>
      </c>
      <c r="F3354" t="str">
        <f t="shared" si="52"/>
        <v>solar pv</v>
      </c>
    </row>
    <row r="3355" spans="1:6" x14ac:dyDescent="0.25">
      <c r="A3355" t="s">
        <v>195</v>
      </c>
      <c r="B3355" t="s">
        <v>249</v>
      </c>
      <c r="C3355">
        <v>2019</v>
      </c>
      <c r="D3355">
        <v>16.7</v>
      </c>
      <c r="E3355">
        <v>16.7</v>
      </c>
      <c r="F3355" t="str">
        <f t="shared" si="52"/>
        <v>solar pv</v>
      </c>
    </row>
    <row r="3356" spans="1:6" x14ac:dyDescent="0.25">
      <c r="A3356" t="s">
        <v>195</v>
      </c>
      <c r="B3356" t="s">
        <v>249</v>
      </c>
      <c r="C3356">
        <v>2020</v>
      </c>
      <c r="D3356">
        <v>2.2000000000000002</v>
      </c>
      <c r="E3356">
        <v>2.2000000000000002</v>
      </c>
      <c r="F3356" t="str">
        <f t="shared" si="52"/>
        <v>solar pv</v>
      </c>
    </row>
    <row r="3357" spans="1:6" x14ac:dyDescent="0.25">
      <c r="A3357" t="s">
        <v>195</v>
      </c>
      <c r="B3357" t="s">
        <v>249</v>
      </c>
      <c r="C3357">
        <v>2021</v>
      </c>
      <c r="D3357">
        <v>12.2</v>
      </c>
      <c r="E3357">
        <v>12.2</v>
      </c>
      <c r="F3357" t="str">
        <f t="shared" si="52"/>
        <v>solar pv</v>
      </c>
    </row>
    <row r="3358" spans="1:6" x14ac:dyDescent="0.25">
      <c r="A3358" t="s">
        <v>195</v>
      </c>
      <c r="B3358" t="s">
        <v>249</v>
      </c>
      <c r="C3358">
        <v>2022</v>
      </c>
      <c r="D3358">
        <v>5.5</v>
      </c>
      <c r="E3358">
        <v>5.5</v>
      </c>
      <c r="F3358" t="str">
        <f t="shared" si="52"/>
        <v>solar pv</v>
      </c>
    </row>
    <row r="3359" spans="1:6" x14ac:dyDescent="0.25">
      <c r="A3359" t="s">
        <v>195</v>
      </c>
      <c r="B3359" t="s">
        <v>249</v>
      </c>
      <c r="C3359">
        <v>2023</v>
      </c>
      <c r="D3359">
        <v>7.2</v>
      </c>
      <c r="E3359">
        <v>7.2</v>
      </c>
      <c r="F3359" t="str">
        <f t="shared" si="52"/>
        <v>solar pv</v>
      </c>
    </row>
    <row r="3360" spans="1:6" x14ac:dyDescent="0.25">
      <c r="A3360" t="s">
        <v>197</v>
      </c>
      <c r="B3360" t="s">
        <v>90</v>
      </c>
      <c r="C3360">
        <v>1990</v>
      </c>
      <c r="D3360">
        <v>25</v>
      </c>
      <c r="E3360">
        <v>25</v>
      </c>
      <c r="F3360" t="str">
        <f t="shared" si="52"/>
        <v>biomass</v>
      </c>
    </row>
    <row r="3361" spans="1:6" x14ac:dyDescent="0.25">
      <c r="A3361" t="s">
        <v>197</v>
      </c>
      <c r="B3361" t="s">
        <v>90</v>
      </c>
      <c r="C3361">
        <v>1996</v>
      </c>
      <c r="D3361">
        <v>36</v>
      </c>
      <c r="E3361">
        <v>42</v>
      </c>
      <c r="F3361" t="str">
        <f t="shared" si="52"/>
        <v>biomass</v>
      </c>
    </row>
    <row r="3362" spans="1:6" x14ac:dyDescent="0.25">
      <c r="A3362" t="s">
        <v>197</v>
      </c>
      <c r="B3362" t="s">
        <v>90</v>
      </c>
      <c r="C3362">
        <v>2003</v>
      </c>
      <c r="D3362">
        <v>17.399999999999999</v>
      </c>
      <c r="E3362">
        <v>18</v>
      </c>
      <c r="F3362" t="str">
        <f t="shared" si="52"/>
        <v>biomass</v>
      </c>
    </row>
    <row r="3363" spans="1:6" x14ac:dyDescent="0.25">
      <c r="A3363" t="s">
        <v>197</v>
      </c>
      <c r="B3363" t="s">
        <v>90</v>
      </c>
      <c r="C3363">
        <v>2007</v>
      </c>
      <c r="D3363">
        <v>29.1</v>
      </c>
      <c r="E3363">
        <v>32.5</v>
      </c>
      <c r="F3363" t="str">
        <f t="shared" si="52"/>
        <v>biomass</v>
      </c>
    </row>
    <row r="3364" spans="1:6" x14ac:dyDescent="0.25">
      <c r="A3364" t="s">
        <v>197</v>
      </c>
      <c r="B3364" t="s">
        <v>90</v>
      </c>
      <c r="C3364">
        <v>2009</v>
      </c>
      <c r="D3364">
        <v>5.4</v>
      </c>
      <c r="E3364">
        <v>5.4</v>
      </c>
      <c r="F3364" t="str">
        <f t="shared" si="52"/>
        <v>biomass</v>
      </c>
    </row>
    <row r="3365" spans="1:6" x14ac:dyDescent="0.25">
      <c r="A3365" t="s">
        <v>197</v>
      </c>
      <c r="B3365" t="s">
        <v>90</v>
      </c>
      <c r="C3365">
        <v>2012</v>
      </c>
      <c r="D3365">
        <v>4.5999999999999996</v>
      </c>
      <c r="E3365">
        <v>4.5999999999999996</v>
      </c>
      <c r="F3365" t="str">
        <f t="shared" si="52"/>
        <v>biomass</v>
      </c>
    </row>
    <row r="3366" spans="1:6" x14ac:dyDescent="0.25">
      <c r="A3366" t="s">
        <v>197</v>
      </c>
      <c r="B3366" t="s">
        <v>90</v>
      </c>
      <c r="C3366">
        <v>2013</v>
      </c>
      <c r="D3366">
        <v>17.100000000000001</v>
      </c>
      <c r="E3366">
        <v>24.5</v>
      </c>
      <c r="F3366" t="str">
        <f t="shared" si="52"/>
        <v>biomass</v>
      </c>
    </row>
    <row r="3367" spans="1:6" x14ac:dyDescent="0.25">
      <c r="A3367" t="s">
        <v>197</v>
      </c>
      <c r="B3367" t="s">
        <v>90</v>
      </c>
      <c r="C3367">
        <v>2022</v>
      </c>
      <c r="D3367">
        <v>12</v>
      </c>
      <c r="E3367">
        <v>12.6</v>
      </c>
      <c r="F3367" t="str">
        <f t="shared" si="52"/>
        <v>biomass</v>
      </c>
    </row>
    <row r="3368" spans="1:6" x14ac:dyDescent="0.25">
      <c r="A3368" t="s">
        <v>197</v>
      </c>
      <c r="B3368" t="s">
        <v>86</v>
      </c>
      <c r="C3368">
        <v>1990</v>
      </c>
      <c r="D3368">
        <v>24.2</v>
      </c>
      <c r="E3368">
        <v>23.9</v>
      </c>
      <c r="F3368" t="str">
        <f t="shared" si="52"/>
        <v>hydro</v>
      </c>
    </row>
    <row r="3369" spans="1:6" x14ac:dyDescent="0.25">
      <c r="A3369" t="s">
        <v>197</v>
      </c>
      <c r="B3369" t="s">
        <v>86</v>
      </c>
      <c r="C3369">
        <v>1992</v>
      </c>
      <c r="D3369">
        <v>15</v>
      </c>
      <c r="E3369">
        <v>14.8</v>
      </c>
      <c r="F3369" t="str">
        <f t="shared" si="52"/>
        <v>hydro</v>
      </c>
    </row>
    <row r="3370" spans="1:6" x14ac:dyDescent="0.25">
      <c r="A3370" t="s">
        <v>197</v>
      </c>
      <c r="B3370" t="s">
        <v>86</v>
      </c>
      <c r="C3370">
        <v>1994</v>
      </c>
      <c r="D3370">
        <v>109.2</v>
      </c>
      <c r="E3370">
        <v>106.5</v>
      </c>
      <c r="F3370" t="str">
        <f t="shared" si="52"/>
        <v>hydro</v>
      </c>
    </row>
    <row r="3371" spans="1:6" x14ac:dyDescent="0.25">
      <c r="A3371" t="s">
        <v>197</v>
      </c>
      <c r="B3371" t="s">
        <v>86</v>
      </c>
      <c r="C3371">
        <v>1995</v>
      </c>
      <c r="D3371">
        <v>16.8</v>
      </c>
      <c r="E3371">
        <v>16.8</v>
      </c>
      <c r="F3371" t="str">
        <f t="shared" si="52"/>
        <v>hydro</v>
      </c>
    </row>
    <row r="3372" spans="1:6" x14ac:dyDescent="0.25">
      <c r="A3372" t="s">
        <v>197</v>
      </c>
      <c r="B3372" t="s">
        <v>86</v>
      </c>
      <c r="C3372">
        <v>1997</v>
      </c>
      <c r="D3372">
        <v>9</v>
      </c>
      <c r="E3372">
        <v>10</v>
      </c>
      <c r="F3372" t="str">
        <f t="shared" si="52"/>
        <v>hydro</v>
      </c>
    </row>
    <row r="3373" spans="1:6" x14ac:dyDescent="0.25">
      <c r="A3373" t="s">
        <v>197</v>
      </c>
      <c r="B3373" t="s">
        <v>86</v>
      </c>
      <c r="C3373">
        <v>2006</v>
      </c>
      <c r="D3373">
        <v>14.2</v>
      </c>
      <c r="E3373">
        <v>14.2</v>
      </c>
      <c r="F3373" t="str">
        <f t="shared" si="52"/>
        <v>hydro</v>
      </c>
    </row>
    <row r="3374" spans="1:6" x14ac:dyDescent="0.25">
      <c r="A3374" t="s">
        <v>197</v>
      </c>
      <c r="B3374" t="s">
        <v>86</v>
      </c>
      <c r="C3374">
        <v>2011</v>
      </c>
      <c r="D3374">
        <v>129.9</v>
      </c>
      <c r="E3374">
        <v>129.5</v>
      </c>
      <c r="F3374" t="str">
        <f t="shared" si="52"/>
        <v>hydro</v>
      </c>
    </row>
    <row r="3375" spans="1:6" x14ac:dyDescent="0.25">
      <c r="A3375" t="s">
        <v>197</v>
      </c>
      <c r="B3375" t="s">
        <v>86</v>
      </c>
      <c r="C3375">
        <v>2012</v>
      </c>
      <c r="D3375">
        <v>244</v>
      </c>
      <c r="E3375">
        <v>244</v>
      </c>
      <c r="F3375" t="str">
        <f t="shared" si="52"/>
        <v>hydro</v>
      </c>
    </row>
    <row r="3376" spans="1:6" x14ac:dyDescent="0.25">
      <c r="A3376" t="s">
        <v>197</v>
      </c>
      <c r="B3376" t="s">
        <v>86</v>
      </c>
      <c r="C3376">
        <v>2013</v>
      </c>
      <c r="D3376">
        <v>167.4</v>
      </c>
      <c r="E3376">
        <v>169.9</v>
      </c>
      <c r="F3376" t="str">
        <f t="shared" si="52"/>
        <v>hydro</v>
      </c>
    </row>
    <row r="3377" spans="1:6" x14ac:dyDescent="0.25">
      <c r="A3377" t="s">
        <v>197</v>
      </c>
      <c r="B3377" t="s">
        <v>86</v>
      </c>
      <c r="C3377">
        <v>2014</v>
      </c>
      <c r="D3377">
        <v>122</v>
      </c>
      <c r="E3377">
        <v>122</v>
      </c>
      <c r="F3377" t="str">
        <f t="shared" si="52"/>
        <v>hydro</v>
      </c>
    </row>
    <row r="3378" spans="1:6" x14ac:dyDescent="0.25">
      <c r="A3378" t="s">
        <v>197</v>
      </c>
      <c r="B3378" t="s">
        <v>86</v>
      </c>
      <c r="C3378">
        <v>2015</v>
      </c>
      <c r="D3378">
        <v>122</v>
      </c>
      <c r="E3378">
        <v>122</v>
      </c>
      <c r="F3378" t="str">
        <f t="shared" si="52"/>
        <v>hydro</v>
      </c>
    </row>
    <row r="3379" spans="1:6" x14ac:dyDescent="0.25">
      <c r="A3379" t="s">
        <v>197</v>
      </c>
      <c r="B3379" t="s">
        <v>86</v>
      </c>
      <c r="C3379">
        <v>2016</v>
      </c>
      <c r="D3379">
        <v>122</v>
      </c>
      <c r="E3379">
        <v>122</v>
      </c>
      <c r="F3379" t="str">
        <f t="shared" si="52"/>
        <v>hydro</v>
      </c>
    </row>
    <row r="3380" spans="1:6" x14ac:dyDescent="0.25">
      <c r="A3380" t="s">
        <v>197</v>
      </c>
      <c r="B3380" t="s">
        <v>86</v>
      </c>
      <c r="C3380">
        <v>2017</v>
      </c>
      <c r="D3380">
        <v>122</v>
      </c>
      <c r="E3380">
        <v>122</v>
      </c>
      <c r="F3380" t="str">
        <f t="shared" si="52"/>
        <v>hydro</v>
      </c>
    </row>
    <row r="3381" spans="1:6" x14ac:dyDescent="0.25">
      <c r="A3381" t="s">
        <v>197</v>
      </c>
      <c r="B3381" t="s">
        <v>86</v>
      </c>
      <c r="C3381">
        <v>2018</v>
      </c>
      <c r="D3381">
        <v>136</v>
      </c>
      <c r="E3381">
        <v>134</v>
      </c>
      <c r="F3381" t="str">
        <f t="shared" si="52"/>
        <v>hydro</v>
      </c>
    </row>
    <row r="3382" spans="1:6" x14ac:dyDescent="0.25">
      <c r="A3382" t="s">
        <v>197</v>
      </c>
      <c r="B3382" t="s">
        <v>86</v>
      </c>
      <c r="C3382">
        <v>2020</v>
      </c>
      <c r="D3382">
        <v>122</v>
      </c>
      <c r="E3382">
        <v>122</v>
      </c>
      <c r="F3382" t="str">
        <f t="shared" si="52"/>
        <v>hydro</v>
      </c>
    </row>
    <row r="3383" spans="1:6" x14ac:dyDescent="0.25">
      <c r="A3383" t="s">
        <v>197</v>
      </c>
      <c r="B3383" t="s">
        <v>98</v>
      </c>
      <c r="C3383">
        <v>1991</v>
      </c>
      <c r="D3383">
        <v>22.7</v>
      </c>
      <c r="E3383">
        <v>26</v>
      </c>
      <c r="F3383" t="str">
        <f t="shared" si="52"/>
        <v>municipal solid waste</v>
      </c>
    </row>
    <row r="3384" spans="1:6" x14ac:dyDescent="0.25">
      <c r="A3384" t="s">
        <v>197</v>
      </c>
      <c r="B3384" t="s">
        <v>84</v>
      </c>
      <c r="C3384">
        <v>1993</v>
      </c>
      <c r="D3384">
        <v>310.89999999999998</v>
      </c>
      <c r="E3384">
        <v>328.9</v>
      </c>
      <c r="F3384" t="str">
        <f t="shared" si="52"/>
        <v>natural gas combined cycle</v>
      </c>
    </row>
    <row r="3385" spans="1:6" x14ac:dyDescent="0.25">
      <c r="A3385" t="s">
        <v>197</v>
      </c>
      <c r="B3385" t="s">
        <v>84</v>
      </c>
      <c r="C3385">
        <v>1994</v>
      </c>
      <c r="D3385">
        <v>270</v>
      </c>
      <c r="E3385">
        <v>285.5</v>
      </c>
      <c r="F3385" t="str">
        <f t="shared" si="52"/>
        <v>natural gas combined cycle</v>
      </c>
    </row>
    <row r="3386" spans="1:6" x14ac:dyDescent="0.25">
      <c r="A3386" t="s">
        <v>197</v>
      </c>
      <c r="B3386" t="s">
        <v>84</v>
      </c>
      <c r="C3386">
        <v>1997</v>
      </c>
      <c r="D3386">
        <v>230</v>
      </c>
      <c r="E3386">
        <v>248</v>
      </c>
      <c r="F3386" t="str">
        <f t="shared" si="52"/>
        <v>natural gas combined cycle</v>
      </c>
    </row>
    <row r="3387" spans="1:6" x14ac:dyDescent="0.25">
      <c r="A3387" t="s">
        <v>197</v>
      </c>
      <c r="B3387" t="s">
        <v>84</v>
      </c>
      <c r="C3387">
        <v>2002</v>
      </c>
      <c r="D3387">
        <v>502</v>
      </c>
      <c r="E3387">
        <v>640.29999999999995</v>
      </c>
      <c r="F3387" t="str">
        <f t="shared" si="52"/>
        <v>natural gas combined cycle</v>
      </c>
    </row>
    <row r="3388" spans="1:6" x14ac:dyDescent="0.25">
      <c r="A3388" t="s">
        <v>197</v>
      </c>
      <c r="B3388" t="s">
        <v>84</v>
      </c>
      <c r="C3388">
        <v>2003</v>
      </c>
      <c r="D3388">
        <v>477</v>
      </c>
      <c r="E3388">
        <v>593.29999999999995</v>
      </c>
      <c r="F3388" t="str">
        <f t="shared" si="52"/>
        <v>natural gas combined cycle</v>
      </c>
    </row>
    <row r="3389" spans="1:6" x14ac:dyDescent="0.25">
      <c r="A3389" t="s">
        <v>197</v>
      </c>
      <c r="B3389" t="s">
        <v>84</v>
      </c>
      <c r="C3389">
        <v>2004</v>
      </c>
      <c r="D3389">
        <v>263.7</v>
      </c>
      <c r="E3389">
        <v>302.8</v>
      </c>
      <c r="F3389" t="str">
        <f t="shared" si="52"/>
        <v>natural gas combined cycle</v>
      </c>
    </row>
    <row r="3390" spans="1:6" x14ac:dyDescent="0.25">
      <c r="A3390" t="s">
        <v>197</v>
      </c>
      <c r="B3390" t="s">
        <v>84</v>
      </c>
      <c r="C3390">
        <v>2008</v>
      </c>
      <c r="D3390">
        <v>865</v>
      </c>
      <c r="E3390">
        <v>1033.9000000000001</v>
      </c>
      <c r="F3390" t="str">
        <f t="shared" si="52"/>
        <v>natural gas combined cycle</v>
      </c>
    </row>
    <row r="3391" spans="1:6" x14ac:dyDescent="0.25">
      <c r="A3391" t="s">
        <v>197</v>
      </c>
      <c r="B3391" t="s">
        <v>93</v>
      </c>
      <c r="C3391">
        <v>1991</v>
      </c>
      <c r="D3391">
        <v>80</v>
      </c>
      <c r="E3391">
        <v>93.2</v>
      </c>
      <c r="F3391" t="str">
        <f t="shared" si="52"/>
        <v>natural gas peaker</v>
      </c>
    </row>
    <row r="3392" spans="1:6" x14ac:dyDescent="0.25">
      <c r="A3392" t="s">
        <v>197</v>
      </c>
      <c r="B3392" t="s">
        <v>93</v>
      </c>
      <c r="C3392">
        <v>1993</v>
      </c>
      <c r="D3392">
        <v>40</v>
      </c>
      <c r="E3392">
        <v>46.6</v>
      </c>
      <c r="F3392" t="str">
        <f t="shared" si="52"/>
        <v>natural gas peaker</v>
      </c>
    </row>
    <row r="3393" spans="1:6" x14ac:dyDescent="0.25">
      <c r="A3393" t="s">
        <v>197</v>
      </c>
      <c r="B3393" t="s">
        <v>93</v>
      </c>
      <c r="C3393">
        <v>1995</v>
      </c>
      <c r="D3393">
        <v>60</v>
      </c>
      <c r="E3393">
        <v>68</v>
      </c>
      <c r="F3393" t="str">
        <f t="shared" si="52"/>
        <v>natural gas peaker</v>
      </c>
    </row>
    <row r="3394" spans="1:6" x14ac:dyDescent="0.25">
      <c r="A3394" t="s">
        <v>197</v>
      </c>
      <c r="B3394" t="s">
        <v>93</v>
      </c>
      <c r="C3394">
        <v>2001</v>
      </c>
      <c r="D3394">
        <v>94</v>
      </c>
      <c r="E3394">
        <v>117.8</v>
      </c>
      <c r="F3394" t="str">
        <f t="shared" ref="F3394:F3457" si="53">LOWER($B3394)</f>
        <v>natural gas peaker</v>
      </c>
    </row>
    <row r="3395" spans="1:6" x14ac:dyDescent="0.25">
      <c r="A3395" t="s">
        <v>197</v>
      </c>
      <c r="B3395" t="s">
        <v>93</v>
      </c>
      <c r="C3395">
        <v>2002</v>
      </c>
      <c r="D3395">
        <v>30.8</v>
      </c>
      <c r="E3395">
        <v>31.8</v>
      </c>
      <c r="F3395" t="str">
        <f t="shared" si="53"/>
        <v>natural gas peaker</v>
      </c>
    </row>
    <row r="3396" spans="1:6" x14ac:dyDescent="0.25">
      <c r="A3396" t="s">
        <v>197</v>
      </c>
      <c r="B3396" t="s">
        <v>93</v>
      </c>
      <c r="C3396">
        <v>2005</v>
      </c>
      <c r="D3396">
        <v>2</v>
      </c>
      <c r="E3396">
        <v>2.2000000000000002</v>
      </c>
      <c r="F3396" t="str">
        <f t="shared" si="53"/>
        <v>natural gas peaker</v>
      </c>
    </row>
    <row r="3397" spans="1:6" x14ac:dyDescent="0.25">
      <c r="A3397" t="s">
        <v>197</v>
      </c>
      <c r="B3397" t="s">
        <v>83</v>
      </c>
      <c r="C3397">
        <v>2023</v>
      </c>
      <c r="D3397">
        <v>3</v>
      </c>
      <c r="E3397">
        <v>3</v>
      </c>
      <c r="F3397" t="str">
        <f t="shared" si="53"/>
        <v>natural gas steam turbine</v>
      </c>
    </row>
    <row r="3398" spans="1:6" x14ac:dyDescent="0.25">
      <c r="A3398" t="s">
        <v>197</v>
      </c>
      <c r="B3398" t="s">
        <v>87</v>
      </c>
      <c r="C3398">
        <v>2001</v>
      </c>
      <c r="D3398">
        <v>176.9</v>
      </c>
      <c r="E3398">
        <v>176.9</v>
      </c>
      <c r="F3398" t="str">
        <f t="shared" si="53"/>
        <v>onshore wind</v>
      </c>
    </row>
    <row r="3399" spans="1:6" x14ac:dyDescent="0.25">
      <c r="A3399" t="s">
        <v>197</v>
      </c>
      <c r="B3399" t="s">
        <v>87</v>
      </c>
      <c r="C3399">
        <v>2002</v>
      </c>
      <c r="D3399">
        <v>95</v>
      </c>
      <c r="E3399">
        <v>95.9</v>
      </c>
      <c r="F3399" t="str">
        <f t="shared" si="53"/>
        <v>onshore wind</v>
      </c>
    </row>
    <row r="3400" spans="1:6" x14ac:dyDescent="0.25">
      <c r="A3400" t="s">
        <v>197</v>
      </c>
      <c r="B3400" t="s">
        <v>87</v>
      </c>
      <c r="C3400">
        <v>2005</v>
      </c>
      <c r="D3400">
        <v>149.4</v>
      </c>
      <c r="E3400">
        <v>149.4</v>
      </c>
      <c r="F3400" t="str">
        <f t="shared" si="53"/>
        <v>onshore wind</v>
      </c>
    </row>
    <row r="3401" spans="1:6" x14ac:dyDescent="0.25">
      <c r="A3401" t="s">
        <v>197</v>
      </c>
      <c r="B3401" t="s">
        <v>87</v>
      </c>
      <c r="C3401">
        <v>2006</v>
      </c>
      <c r="D3401">
        <v>425.8</v>
      </c>
      <c r="E3401">
        <v>427.6</v>
      </c>
      <c r="F3401" t="str">
        <f t="shared" si="53"/>
        <v>onshore wind</v>
      </c>
    </row>
    <row r="3402" spans="1:6" x14ac:dyDescent="0.25">
      <c r="A3402" t="s">
        <v>197</v>
      </c>
      <c r="B3402" t="s">
        <v>87</v>
      </c>
      <c r="C3402">
        <v>2007</v>
      </c>
      <c r="D3402">
        <v>360</v>
      </c>
      <c r="E3402">
        <v>360</v>
      </c>
      <c r="F3402" t="str">
        <f t="shared" si="53"/>
        <v>onshore wind</v>
      </c>
    </row>
    <row r="3403" spans="1:6" x14ac:dyDescent="0.25">
      <c r="A3403" t="s">
        <v>197</v>
      </c>
      <c r="B3403" t="s">
        <v>87</v>
      </c>
      <c r="C3403">
        <v>2008</v>
      </c>
      <c r="D3403">
        <v>179.2</v>
      </c>
      <c r="E3403">
        <v>188.6</v>
      </c>
      <c r="F3403" t="str">
        <f t="shared" si="53"/>
        <v>onshore wind</v>
      </c>
    </row>
    <row r="3404" spans="1:6" x14ac:dyDescent="0.25">
      <c r="A3404" t="s">
        <v>197</v>
      </c>
      <c r="B3404" t="s">
        <v>87</v>
      </c>
      <c r="C3404">
        <v>2009</v>
      </c>
      <c r="D3404">
        <v>541.4</v>
      </c>
      <c r="E3404">
        <v>541.4</v>
      </c>
      <c r="F3404" t="str">
        <f t="shared" si="53"/>
        <v>onshore wind</v>
      </c>
    </row>
    <row r="3405" spans="1:6" x14ac:dyDescent="0.25">
      <c r="A3405" t="s">
        <v>197</v>
      </c>
      <c r="B3405" t="s">
        <v>87</v>
      </c>
      <c r="C3405">
        <v>2010</v>
      </c>
      <c r="D3405">
        <v>246.7</v>
      </c>
      <c r="E3405">
        <v>246.7</v>
      </c>
      <c r="F3405" t="str">
        <f t="shared" si="53"/>
        <v>onshore wind</v>
      </c>
    </row>
    <row r="3406" spans="1:6" x14ac:dyDescent="0.25">
      <c r="A3406" t="s">
        <v>197</v>
      </c>
      <c r="B3406" t="s">
        <v>87</v>
      </c>
      <c r="C3406">
        <v>2011</v>
      </c>
      <c r="D3406">
        <v>198.8</v>
      </c>
      <c r="E3406">
        <v>201.2</v>
      </c>
      <c r="F3406" t="str">
        <f t="shared" si="53"/>
        <v>onshore wind</v>
      </c>
    </row>
    <row r="3407" spans="1:6" x14ac:dyDescent="0.25">
      <c r="A3407" t="s">
        <v>197</v>
      </c>
      <c r="B3407" t="s">
        <v>87</v>
      </c>
      <c r="C3407">
        <v>2012</v>
      </c>
      <c r="D3407">
        <v>452.3</v>
      </c>
      <c r="E3407">
        <v>452.3</v>
      </c>
      <c r="F3407" t="str">
        <f t="shared" si="53"/>
        <v>onshore wind</v>
      </c>
    </row>
    <row r="3408" spans="1:6" x14ac:dyDescent="0.25">
      <c r="A3408" t="s">
        <v>197</v>
      </c>
      <c r="B3408" t="s">
        <v>87</v>
      </c>
      <c r="C3408">
        <v>2014</v>
      </c>
      <c r="D3408">
        <v>266.8</v>
      </c>
      <c r="E3408">
        <v>266.8</v>
      </c>
      <c r="F3408" t="str">
        <f t="shared" si="53"/>
        <v>onshore wind</v>
      </c>
    </row>
    <row r="3409" spans="1:6" x14ac:dyDescent="0.25">
      <c r="A3409" t="s">
        <v>197</v>
      </c>
      <c r="B3409" t="s">
        <v>87</v>
      </c>
      <c r="C3409">
        <v>2020</v>
      </c>
      <c r="D3409">
        <v>280.8</v>
      </c>
      <c r="E3409">
        <v>280</v>
      </c>
      <c r="F3409" t="str">
        <f t="shared" si="53"/>
        <v>onshore wind</v>
      </c>
    </row>
    <row r="3410" spans="1:6" x14ac:dyDescent="0.25">
      <c r="A3410" t="s">
        <v>197</v>
      </c>
      <c r="B3410" t="s">
        <v>92</v>
      </c>
      <c r="C3410">
        <v>1993</v>
      </c>
      <c r="D3410">
        <v>4</v>
      </c>
      <c r="E3410">
        <v>4</v>
      </c>
      <c r="F3410" t="str">
        <f t="shared" si="53"/>
        <v>petroleum</v>
      </c>
    </row>
    <row r="3411" spans="1:6" x14ac:dyDescent="0.25">
      <c r="A3411" t="s">
        <v>197</v>
      </c>
      <c r="B3411" t="s">
        <v>92</v>
      </c>
      <c r="C3411">
        <v>1994</v>
      </c>
      <c r="D3411">
        <v>2</v>
      </c>
      <c r="E3411">
        <v>2</v>
      </c>
      <c r="F3411" t="str">
        <f t="shared" si="53"/>
        <v>petroleum</v>
      </c>
    </row>
    <row r="3412" spans="1:6" x14ac:dyDescent="0.25">
      <c r="A3412" t="s">
        <v>197</v>
      </c>
      <c r="B3412" t="s">
        <v>92</v>
      </c>
      <c r="C3412">
        <v>2001</v>
      </c>
      <c r="D3412">
        <v>83.8</v>
      </c>
      <c r="E3412">
        <v>79.8</v>
      </c>
      <c r="F3412" t="str">
        <f t="shared" si="53"/>
        <v>petroleum</v>
      </c>
    </row>
    <row r="3413" spans="1:6" x14ac:dyDescent="0.25">
      <c r="A3413" t="s">
        <v>197</v>
      </c>
      <c r="B3413" t="s">
        <v>92</v>
      </c>
      <c r="C3413">
        <v>2003</v>
      </c>
      <c r="D3413">
        <v>4</v>
      </c>
      <c r="E3413">
        <v>4</v>
      </c>
      <c r="F3413" t="str">
        <f t="shared" si="53"/>
        <v>petroleum</v>
      </c>
    </row>
    <row r="3414" spans="1:6" x14ac:dyDescent="0.25">
      <c r="A3414" t="s">
        <v>197</v>
      </c>
      <c r="B3414" t="s">
        <v>92</v>
      </c>
      <c r="C3414">
        <v>2005</v>
      </c>
      <c r="D3414">
        <v>1.7</v>
      </c>
      <c r="E3414">
        <v>1.8</v>
      </c>
      <c r="F3414" t="str">
        <f t="shared" si="53"/>
        <v>petroleum</v>
      </c>
    </row>
    <row r="3415" spans="1:6" x14ac:dyDescent="0.25">
      <c r="A3415" t="s">
        <v>197</v>
      </c>
      <c r="B3415" t="s">
        <v>92</v>
      </c>
      <c r="C3415">
        <v>2009</v>
      </c>
      <c r="D3415">
        <v>1</v>
      </c>
      <c r="E3415">
        <v>1</v>
      </c>
      <c r="F3415" t="str">
        <f t="shared" si="53"/>
        <v>petroleum</v>
      </c>
    </row>
    <row r="3416" spans="1:6" x14ac:dyDescent="0.25">
      <c r="A3416" t="s">
        <v>197</v>
      </c>
      <c r="B3416" t="s">
        <v>92</v>
      </c>
      <c r="C3416">
        <v>2022</v>
      </c>
      <c r="D3416">
        <v>2</v>
      </c>
      <c r="E3416">
        <v>2</v>
      </c>
      <c r="F3416" t="str">
        <f t="shared" si="53"/>
        <v>petroleum</v>
      </c>
    </row>
    <row r="3417" spans="1:6" x14ac:dyDescent="0.25">
      <c r="A3417" t="s">
        <v>197</v>
      </c>
      <c r="B3417" t="s">
        <v>249</v>
      </c>
      <c r="C3417">
        <v>2007</v>
      </c>
      <c r="D3417">
        <v>0.4</v>
      </c>
      <c r="E3417">
        <v>0.5</v>
      </c>
      <c r="F3417" t="str">
        <f t="shared" si="53"/>
        <v>solar pv</v>
      </c>
    </row>
    <row r="3418" spans="1:6" x14ac:dyDescent="0.25">
      <c r="A3418" t="s">
        <v>197</v>
      </c>
      <c r="B3418" t="s">
        <v>249</v>
      </c>
      <c r="C3418">
        <v>2018</v>
      </c>
      <c r="D3418">
        <v>19.2</v>
      </c>
      <c r="E3418">
        <v>19.2</v>
      </c>
      <c r="F3418" t="str">
        <f t="shared" si="53"/>
        <v>solar pv</v>
      </c>
    </row>
    <row r="3419" spans="1:6" x14ac:dyDescent="0.25">
      <c r="A3419" t="s">
        <v>197</v>
      </c>
      <c r="B3419" t="s">
        <v>249</v>
      </c>
      <c r="C3419">
        <v>2019</v>
      </c>
      <c r="D3419">
        <v>0.5</v>
      </c>
      <c r="E3419">
        <v>0.5</v>
      </c>
      <c r="F3419" t="str">
        <f t="shared" si="53"/>
        <v>solar pv</v>
      </c>
    </row>
    <row r="3420" spans="1:6" x14ac:dyDescent="0.25">
      <c r="A3420" t="s">
        <v>197</v>
      </c>
      <c r="B3420" t="s">
        <v>249</v>
      </c>
      <c r="C3420">
        <v>2020</v>
      </c>
      <c r="D3420">
        <v>3.2</v>
      </c>
      <c r="E3420">
        <v>3.2</v>
      </c>
      <c r="F3420" t="str">
        <f t="shared" si="53"/>
        <v>solar pv</v>
      </c>
    </row>
    <row r="3421" spans="1:6" x14ac:dyDescent="0.25">
      <c r="A3421" t="s">
        <v>197</v>
      </c>
      <c r="B3421" t="s">
        <v>249</v>
      </c>
      <c r="C3421">
        <v>2022</v>
      </c>
      <c r="D3421">
        <v>165</v>
      </c>
      <c r="E3421">
        <v>165</v>
      </c>
      <c r="F3421" t="str">
        <f t="shared" si="53"/>
        <v>solar pv</v>
      </c>
    </row>
    <row r="3422" spans="1:6" x14ac:dyDescent="0.25">
      <c r="A3422" t="s">
        <v>197</v>
      </c>
      <c r="B3422" t="s">
        <v>249</v>
      </c>
      <c r="C3422">
        <v>2024</v>
      </c>
      <c r="D3422">
        <v>80</v>
      </c>
      <c r="E3422">
        <v>80</v>
      </c>
      <c r="F3422" t="str">
        <f t="shared" si="53"/>
        <v>solar pv</v>
      </c>
    </row>
    <row r="3423" spans="1:6" x14ac:dyDescent="0.25">
      <c r="A3423" t="s">
        <v>199</v>
      </c>
      <c r="B3423" t="s">
        <v>90</v>
      </c>
      <c r="C3423">
        <v>1991</v>
      </c>
      <c r="D3423">
        <v>12.5</v>
      </c>
      <c r="E3423">
        <v>13.1</v>
      </c>
      <c r="F3423" t="str">
        <f t="shared" si="53"/>
        <v>biomass</v>
      </c>
    </row>
    <row r="3424" spans="1:6" x14ac:dyDescent="0.25">
      <c r="A3424" t="s">
        <v>199</v>
      </c>
      <c r="B3424" t="s">
        <v>90</v>
      </c>
      <c r="C3424">
        <v>1992</v>
      </c>
      <c r="D3424">
        <v>2.7</v>
      </c>
      <c r="E3424">
        <v>2.7</v>
      </c>
      <c r="F3424" t="str">
        <f t="shared" si="53"/>
        <v>biomass</v>
      </c>
    </row>
    <row r="3425" spans="1:6" x14ac:dyDescent="0.25">
      <c r="A3425" t="s">
        <v>199</v>
      </c>
      <c r="B3425" t="s">
        <v>90</v>
      </c>
      <c r="C3425">
        <v>1996</v>
      </c>
      <c r="D3425">
        <v>0.8</v>
      </c>
      <c r="E3425">
        <v>0.8</v>
      </c>
      <c r="F3425" t="str">
        <f t="shared" si="53"/>
        <v>biomass</v>
      </c>
    </row>
    <row r="3426" spans="1:6" x14ac:dyDescent="0.25">
      <c r="A3426" t="s">
        <v>199</v>
      </c>
      <c r="B3426" t="s">
        <v>90</v>
      </c>
      <c r="C3426">
        <v>2000</v>
      </c>
      <c r="D3426">
        <v>10.5</v>
      </c>
      <c r="E3426">
        <v>10.6</v>
      </c>
      <c r="F3426" t="str">
        <f t="shared" si="53"/>
        <v>biomass</v>
      </c>
    </row>
    <row r="3427" spans="1:6" x14ac:dyDescent="0.25">
      <c r="A3427" t="s">
        <v>199</v>
      </c>
      <c r="B3427" t="s">
        <v>90</v>
      </c>
      <c r="C3427">
        <v>2001</v>
      </c>
      <c r="D3427">
        <v>5.4</v>
      </c>
      <c r="E3427">
        <v>5.7</v>
      </c>
      <c r="F3427" t="str">
        <f t="shared" si="53"/>
        <v>biomass</v>
      </c>
    </row>
    <row r="3428" spans="1:6" x14ac:dyDescent="0.25">
      <c r="A3428" t="s">
        <v>199</v>
      </c>
      <c r="B3428" t="s">
        <v>90</v>
      </c>
      <c r="C3428">
        <v>2002</v>
      </c>
      <c r="D3428">
        <v>5.6</v>
      </c>
      <c r="E3428">
        <v>5.6</v>
      </c>
      <c r="F3428" t="str">
        <f t="shared" si="53"/>
        <v>biomass</v>
      </c>
    </row>
    <row r="3429" spans="1:6" x14ac:dyDescent="0.25">
      <c r="A3429" t="s">
        <v>199</v>
      </c>
      <c r="B3429" t="s">
        <v>90</v>
      </c>
      <c r="C3429">
        <v>2003</v>
      </c>
      <c r="D3429">
        <v>4.3</v>
      </c>
      <c r="E3429">
        <v>4.3</v>
      </c>
      <c r="F3429" t="str">
        <f t="shared" si="53"/>
        <v>biomass</v>
      </c>
    </row>
    <row r="3430" spans="1:6" x14ac:dyDescent="0.25">
      <c r="A3430" t="s">
        <v>199</v>
      </c>
      <c r="B3430" t="s">
        <v>90</v>
      </c>
      <c r="C3430">
        <v>2004</v>
      </c>
      <c r="D3430">
        <v>5.4</v>
      </c>
      <c r="E3430">
        <v>6</v>
      </c>
      <c r="F3430" t="str">
        <f t="shared" si="53"/>
        <v>biomass</v>
      </c>
    </row>
    <row r="3431" spans="1:6" x14ac:dyDescent="0.25">
      <c r="A3431" t="s">
        <v>199</v>
      </c>
      <c r="B3431" t="s">
        <v>90</v>
      </c>
      <c r="C3431">
        <v>2006</v>
      </c>
      <c r="D3431">
        <v>11.2</v>
      </c>
      <c r="E3431">
        <v>11.2</v>
      </c>
      <c r="F3431" t="str">
        <f t="shared" si="53"/>
        <v>biomass</v>
      </c>
    </row>
    <row r="3432" spans="1:6" x14ac:dyDescent="0.25">
      <c r="A3432" t="s">
        <v>199</v>
      </c>
      <c r="B3432" t="s">
        <v>90</v>
      </c>
      <c r="C3432">
        <v>2007</v>
      </c>
      <c r="D3432">
        <v>6.6</v>
      </c>
      <c r="E3432">
        <v>6.6</v>
      </c>
      <c r="F3432" t="str">
        <f t="shared" si="53"/>
        <v>biomass</v>
      </c>
    </row>
    <row r="3433" spans="1:6" x14ac:dyDescent="0.25">
      <c r="A3433" t="s">
        <v>199</v>
      </c>
      <c r="B3433" t="s">
        <v>90</v>
      </c>
      <c r="C3433">
        <v>2008</v>
      </c>
      <c r="D3433">
        <v>3.4</v>
      </c>
      <c r="E3433">
        <v>3.4</v>
      </c>
      <c r="F3433" t="str">
        <f t="shared" si="53"/>
        <v>biomass</v>
      </c>
    </row>
    <row r="3434" spans="1:6" x14ac:dyDescent="0.25">
      <c r="A3434" t="s">
        <v>199</v>
      </c>
      <c r="B3434" t="s">
        <v>90</v>
      </c>
      <c r="C3434">
        <v>2009</v>
      </c>
      <c r="D3434">
        <v>2.7</v>
      </c>
      <c r="E3434">
        <v>2.7</v>
      </c>
      <c r="F3434" t="str">
        <f t="shared" si="53"/>
        <v>biomass</v>
      </c>
    </row>
    <row r="3435" spans="1:6" x14ac:dyDescent="0.25">
      <c r="A3435" t="s">
        <v>199</v>
      </c>
      <c r="B3435" t="s">
        <v>90</v>
      </c>
      <c r="C3435">
        <v>2010</v>
      </c>
      <c r="D3435">
        <v>5.2</v>
      </c>
      <c r="E3435">
        <v>5.6</v>
      </c>
      <c r="F3435" t="str">
        <f t="shared" si="53"/>
        <v>biomass</v>
      </c>
    </row>
    <row r="3436" spans="1:6" x14ac:dyDescent="0.25">
      <c r="A3436" t="s">
        <v>199</v>
      </c>
      <c r="B3436" t="s">
        <v>90</v>
      </c>
      <c r="C3436">
        <v>2012</v>
      </c>
      <c r="D3436">
        <v>2.5</v>
      </c>
      <c r="E3436">
        <v>2.5</v>
      </c>
      <c r="F3436" t="str">
        <f t="shared" si="53"/>
        <v>biomass</v>
      </c>
    </row>
    <row r="3437" spans="1:6" x14ac:dyDescent="0.25">
      <c r="A3437" t="s">
        <v>199</v>
      </c>
      <c r="B3437" t="s">
        <v>90</v>
      </c>
      <c r="C3437">
        <v>2013</v>
      </c>
      <c r="D3437">
        <v>60.6</v>
      </c>
      <c r="E3437">
        <v>71.7</v>
      </c>
      <c r="F3437" t="str">
        <f t="shared" si="53"/>
        <v>biomass</v>
      </c>
    </row>
    <row r="3438" spans="1:6" x14ac:dyDescent="0.25">
      <c r="A3438" t="s">
        <v>199</v>
      </c>
      <c r="B3438" t="s">
        <v>90</v>
      </c>
      <c r="C3438">
        <v>2020</v>
      </c>
      <c r="D3438">
        <v>0.6</v>
      </c>
      <c r="E3438">
        <v>0.6</v>
      </c>
      <c r="F3438" t="str">
        <f t="shared" si="53"/>
        <v>biomass</v>
      </c>
    </row>
    <row r="3439" spans="1:6" x14ac:dyDescent="0.25">
      <c r="A3439" t="s">
        <v>199</v>
      </c>
      <c r="B3439" t="s">
        <v>81</v>
      </c>
      <c r="C3439">
        <v>2005</v>
      </c>
      <c r="D3439">
        <v>26.4</v>
      </c>
      <c r="E3439">
        <v>28.2</v>
      </c>
      <c r="F3439" t="str">
        <f t="shared" si="53"/>
        <v>hard coal</v>
      </c>
    </row>
    <row r="3440" spans="1:6" x14ac:dyDescent="0.25">
      <c r="A3440" t="s">
        <v>199</v>
      </c>
      <c r="B3440" t="s">
        <v>81</v>
      </c>
      <c r="C3440">
        <v>2008</v>
      </c>
      <c r="D3440">
        <v>553.20000000000005</v>
      </c>
      <c r="E3440">
        <v>595</v>
      </c>
      <c r="F3440" t="str">
        <f t="shared" si="53"/>
        <v>hard coal</v>
      </c>
    </row>
    <row r="3441" spans="1:6" x14ac:dyDescent="0.25">
      <c r="A3441" t="s">
        <v>199</v>
      </c>
      <c r="B3441" t="s">
        <v>81</v>
      </c>
      <c r="C3441">
        <v>2010</v>
      </c>
      <c r="D3441">
        <v>635.9</v>
      </c>
      <c r="E3441">
        <v>701.3</v>
      </c>
      <c r="F3441" t="str">
        <f t="shared" si="53"/>
        <v>hard coal</v>
      </c>
    </row>
    <row r="3442" spans="1:6" x14ac:dyDescent="0.25">
      <c r="A3442" t="s">
        <v>199</v>
      </c>
      <c r="B3442" t="s">
        <v>81</v>
      </c>
      <c r="C3442">
        <v>2011</v>
      </c>
      <c r="D3442">
        <v>634.9</v>
      </c>
      <c r="E3442">
        <v>701.3</v>
      </c>
      <c r="F3442" t="str">
        <f t="shared" si="53"/>
        <v>hard coal</v>
      </c>
    </row>
    <row r="3443" spans="1:6" x14ac:dyDescent="0.25">
      <c r="A3443" t="s">
        <v>199</v>
      </c>
      <c r="B3443" t="s">
        <v>86</v>
      </c>
      <c r="C3443">
        <v>1993</v>
      </c>
      <c r="D3443">
        <v>1.1000000000000001</v>
      </c>
      <c r="E3443">
        <v>2.5</v>
      </c>
      <c r="F3443" t="str">
        <f t="shared" si="53"/>
        <v>hydro</v>
      </c>
    </row>
    <row r="3444" spans="1:6" x14ac:dyDescent="0.25">
      <c r="A3444" t="s">
        <v>199</v>
      </c>
      <c r="B3444" t="s">
        <v>86</v>
      </c>
      <c r="C3444">
        <v>2014</v>
      </c>
      <c r="D3444">
        <v>8</v>
      </c>
      <c r="E3444">
        <v>8.1999999999999993</v>
      </c>
      <c r="F3444" t="str">
        <f t="shared" si="53"/>
        <v>hydro</v>
      </c>
    </row>
    <row r="3445" spans="1:6" x14ac:dyDescent="0.25">
      <c r="A3445" t="s">
        <v>199</v>
      </c>
      <c r="B3445" t="s">
        <v>86</v>
      </c>
      <c r="C3445">
        <v>2016</v>
      </c>
      <c r="D3445">
        <v>9.1999999999999993</v>
      </c>
      <c r="E3445">
        <v>9.1999999999999993</v>
      </c>
      <c r="F3445" t="str">
        <f t="shared" si="53"/>
        <v>hydro</v>
      </c>
    </row>
    <row r="3446" spans="1:6" x14ac:dyDescent="0.25">
      <c r="A3446" t="s">
        <v>199</v>
      </c>
      <c r="B3446" t="s">
        <v>84</v>
      </c>
      <c r="C3446">
        <v>1997</v>
      </c>
      <c r="D3446">
        <v>261</v>
      </c>
      <c r="E3446">
        <v>283.5</v>
      </c>
      <c r="F3446" t="str">
        <f t="shared" si="53"/>
        <v>natural gas combined cycle</v>
      </c>
    </row>
    <row r="3447" spans="1:6" x14ac:dyDescent="0.25">
      <c r="A3447" t="s">
        <v>199</v>
      </c>
      <c r="B3447" t="s">
        <v>84</v>
      </c>
      <c r="C3447">
        <v>2002</v>
      </c>
      <c r="D3447">
        <v>51.9</v>
      </c>
      <c r="E3447">
        <v>66.5</v>
      </c>
      <c r="F3447" t="str">
        <f t="shared" si="53"/>
        <v>natural gas combined cycle</v>
      </c>
    </row>
    <row r="3448" spans="1:6" x14ac:dyDescent="0.25">
      <c r="A3448" t="s">
        <v>199</v>
      </c>
      <c r="B3448" t="s">
        <v>84</v>
      </c>
      <c r="C3448">
        <v>2004</v>
      </c>
      <c r="D3448">
        <v>534.79999999999995</v>
      </c>
      <c r="E3448">
        <v>674.9</v>
      </c>
      <c r="F3448" t="str">
        <f t="shared" si="53"/>
        <v>natural gas combined cycle</v>
      </c>
    </row>
    <row r="3449" spans="1:6" x14ac:dyDescent="0.25">
      <c r="A3449" t="s">
        <v>199</v>
      </c>
      <c r="B3449" t="s">
        <v>84</v>
      </c>
      <c r="C3449">
        <v>2005</v>
      </c>
      <c r="D3449">
        <v>1152.9000000000001</v>
      </c>
      <c r="E3449">
        <v>1204</v>
      </c>
      <c r="F3449" t="str">
        <f t="shared" si="53"/>
        <v>natural gas combined cycle</v>
      </c>
    </row>
    <row r="3450" spans="1:6" x14ac:dyDescent="0.25">
      <c r="A3450" t="s">
        <v>199</v>
      </c>
      <c r="B3450" t="s">
        <v>84</v>
      </c>
      <c r="C3450">
        <v>2006</v>
      </c>
      <c r="D3450">
        <v>170.8</v>
      </c>
      <c r="E3450">
        <v>198.9</v>
      </c>
      <c r="F3450" t="str">
        <f t="shared" si="53"/>
        <v>natural gas combined cycle</v>
      </c>
    </row>
    <row r="3451" spans="1:6" x14ac:dyDescent="0.25">
      <c r="A3451" t="s">
        <v>199</v>
      </c>
      <c r="B3451" t="s">
        <v>84</v>
      </c>
      <c r="C3451">
        <v>2008</v>
      </c>
      <c r="D3451">
        <v>622.1</v>
      </c>
      <c r="E3451">
        <v>614.79999999999995</v>
      </c>
      <c r="F3451" t="str">
        <f t="shared" si="53"/>
        <v>natural gas combined cycle</v>
      </c>
    </row>
    <row r="3452" spans="1:6" x14ac:dyDescent="0.25">
      <c r="A3452" t="s">
        <v>199</v>
      </c>
      <c r="B3452" t="s">
        <v>84</v>
      </c>
      <c r="C3452">
        <v>2020</v>
      </c>
      <c r="D3452">
        <v>684.2</v>
      </c>
      <c r="E3452">
        <v>723.2</v>
      </c>
      <c r="F3452" t="str">
        <f t="shared" si="53"/>
        <v>natural gas combined cycle</v>
      </c>
    </row>
    <row r="3453" spans="1:6" x14ac:dyDescent="0.25">
      <c r="A3453" t="s">
        <v>199</v>
      </c>
      <c r="B3453" t="s">
        <v>93</v>
      </c>
      <c r="C3453">
        <v>1993</v>
      </c>
      <c r="D3453">
        <v>338.6</v>
      </c>
      <c r="E3453">
        <v>389.7</v>
      </c>
      <c r="F3453" t="str">
        <f t="shared" si="53"/>
        <v>natural gas peaker</v>
      </c>
    </row>
    <row r="3454" spans="1:6" x14ac:dyDescent="0.25">
      <c r="A3454" t="s">
        <v>199</v>
      </c>
      <c r="B3454" t="s">
        <v>93</v>
      </c>
      <c r="C3454">
        <v>1994</v>
      </c>
      <c r="D3454">
        <v>349.4</v>
      </c>
      <c r="E3454">
        <v>381.6</v>
      </c>
      <c r="F3454" t="str">
        <f t="shared" si="53"/>
        <v>natural gas peaker</v>
      </c>
    </row>
    <row r="3455" spans="1:6" x14ac:dyDescent="0.25">
      <c r="A3455" t="s">
        <v>199</v>
      </c>
      <c r="B3455" t="s">
        <v>93</v>
      </c>
      <c r="C3455">
        <v>1995</v>
      </c>
      <c r="D3455">
        <v>359.8</v>
      </c>
      <c r="E3455">
        <v>381.6</v>
      </c>
      <c r="F3455" t="str">
        <f t="shared" si="53"/>
        <v>natural gas peaker</v>
      </c>
    </row>
    <row r="3456" spans="1:6" x14ac:dyDescent="0.25">
      <c r="A3456" t="s">
        <v>199</v>
      </c>
      <c r="B3456" t="s">
        <v>93</v>
      </c>
      <c r="C3456">
        <v>1996</v>
      </c>
      <c r="D3456">
        <v>83.9</v>
      </c>
      <c r="E3456">
        <v>95.4</v>
      </c>
      <c r="F3456" t="str">
        <f t="shared" si="53"/>
        <v>natural gas peaker</v>
      </c>
    </row>
    <row r="3457" spans="1:6" x14ac:dyDescent="0.25">
      <c r="A3457" t="s">
        <v>199</v>
      </c>
      <c r="B3457" t="s">
        <v>93</v>
      </c>
      <c r="C3457">
        <v>1999</v>
      </c>
      <c r="D3457">
        <v>188</v>
      </c>
      <c r="E3457">
        <v>216.8</v>
      </c>
      <c r="F3457" t="str">
        <f t="shared" si="53"/>
        <v>natural gas peaker</v>
      </c>
    </row>
    <row r="3458" spans="1:6" x14ac:dyDescent="0.25">
      <c r="A3458" t="s">
        <v>199</v>
      </c>
      <c r="B3458" t="s">
        <v>93</v>
      </c>
      <c r="C3458">
        <v>2000</v>
      </c>
      <c r="D3458">
        <v>504.5</v>
      </c>
      <c r="E3458">
        <v>562.9</v>
      </c>
      <c r="F3458" t="str">
        <f t="shared" ref="F3458:F3521" si="54">LOWER($B3458)</f>
        <v>natural gas peaker</v>
      </c>
    </row>
    <row r="3459" spans="1:6" x14ac:dyDescent="0.25">
      <c r="A3459" t="s">
        <v>199</v>
      </c>
      <c r="B3459" t="s">
        <v>93</v>
      </c>
      <c r="C3459">
        <v>2001</v>
      </c>
      <c r="D3459">
        <v>563.29999999999995</v>
      </c>
      <c r="E3459">
        <v>642.1</v>
      </c>
      <c r="F3459" t="str">
        <f t="shared" si="54"/>
        <v>natural gas peaker</v>
      </c>
    </row>
    <row r="3460" spans="1:6" x14ac:dyDescent="0.25">
      <c r="A3460" t="s">
        <v>199</v>
      </c>
      <c r="B3460" t="s">
        <v>93</v>
      </c>
      <c r="C3460">
        <v>2003</v>
      </c>
      <c r="D3460">
        <v>79.8</v>
      </c>
      <c r="E3460">
        <v>91</v>
      </c>
      <c r="F3460" t="str">
        <f t="shared" si="54"/>
        <v>natural gas peaker</v>
      </c>
    </row>
    <row r="3461" spans="1:6" x14ac:dyDescent="0.25">
      <c r="A3461" t="s">
        <v>199</v>
      </c>
      <c r="B3461" t="s">
        <v>93</v>
      </c>
      <c r="C3461">
        <v>2004</v>
      </c>
      <c r="D3461">
        <v>54.6</v>
      </c>
      <c r="E3461">
        <v>60.5</v>
      </c>
      <c r="F3461" t="str">
        <f t="shared" si="54"/>
        <v>natural gas peaker</v>
      </c>
    </row>
    <row r="3462" spans="1:6" x14ac:dyDescent="0.25">
      <c r="A3462" t="s">
        <v>199</v>
      </c>
      <c r="B3462" t="s">
        <v>93</v>
      </c>
      <c r="C3462">
        <v>2005</v>
      </c>
      <c r="D3462">
        <v>349.6</v>
      </c>
      <c r="E3462">
        <v>350.3</v>
      </c>
      <c r="F3462" t="str">
        <f t="shared" si="54"/>
        <v>natural gas peaker</v>
      </c>
    </row>
    <row r="3463" spans="1:6" x14ac:dyDescent="0.25">
      <c r="A3463" t="s">
        <v>199</v>
      </c>
      <c r="B3463" t="s">
        <v>93</v>
      </c>
      <c r="C3463">
        <v>2011</v>
      </c>
      <c r="D3463">
        <v>53.3</v>
      </c>
      <c r="E3463">
        <v>60.4</v>
      </c>
      <c r="F3463" t="str">
        <f t="shared" si="54"/>
        <v>natural gas peaker</v>
      </c>
    </row>
    <row r="3464" spans="1:6" x14ac:dyDescent="0.25">
      <c r="A3464" t="s">
        <v>199</v>
      </c>
      <c r="B3464" t="s">
        <v>93</v>
      </c>
      <c r="C3464">
        <v>2013</v>
      </c>
      <c r="D3464">
        <v>4.5999999999999996</v>
      </c>
      <c r="E3464">
        <v>4.5999999999999996</v>
      </c>
      <c r="F3464" t="str">
        <f t="shared" si="54"/>
        <v>natural gas peaker</v>
      </c>
    </row>
    <row r="3465" spans="1:6" x14ac:dyDescent="0.25">
      <c r="A3465" t="s">
        <v>199</v>
      </c>
      <c r="B3465" t="s">
        <v>93</v>
      </c>
      <c r="C3465">
        <v>2023</v>
      </c>
      <c r="D3465">
        <v>131.6</v>
      </c>
      <c r="E3465">
        <v>131.6</v>
      </c>
      <c r="F3465" t="str">
        <f t="shared" si="54"/>
        <v>natural gas peaker</v>
      </c>
    </row>
    <row r="3466" spans="1:6" x14ac:dyDescent="0.25">
      <c r="A3466" t="s">
        <v>199</v>
      </c>
      <c r="B3466" t="s">
        <v>93</v>
      </c>
      <c r="C3466">
        <v>2025</v>
      </c>
      <c r="D3466">
        <v>47</v>
      </c>
      <c r="E3466">
        <v>49</v>
      </c>
      <c r="F3466" t="str">
        <f t="shared" si="54"/>
        <v>natural gas peaker</v>
      </c>
    </row>
    <row r="3467" spans="1:6" x14ac:dyDescent="0.25">
      <c r="A3467" t="s">
        <v>199</v>
      </c>
      <c r="B3467" t="s">
        <v>83</v>
      </c>
      <c r="C3467">
        <v>2002</v>
      </c>
      <c r="D3467">
        <v>7</v>
      </c>
      <c r="E3467">
        <v>7.6</v>
      </c>
      <c r="F3467" t="str">
        <f t="shared" si="54"/>
        <v>natural gas steam turbine</v>
      </c>
    </row>
    <row r="3468" spans="1:6" x14ac:dyDescent="0.25">
      <c r="A3468" t="s">
        <v>199</v>
      </c>
      <c r="B3468" t="s">
        <v>87</v>
      </c>
      <c r="C3468">
        <v>1998</v>
      </c>
      <c r="D3468">
        <v>0.1</v>
      </c>
      <c r="E3468">
        <v>1.2</v>
      </c>
      <c r="F3468" t="str">
        <f t="shared" si="54"/>
        <v>onshore wind</v>
      </c>
    </row>
    <row r="3469" spans="1:6" x14ac:dyDescent="0.25">
      <c r="A3469" t="s">
        <v>199</v>
      </c>
      <c r="B3469" t="s">
        <v>87</v>
      </c>
      <c r="C3469">
        <v>1999</v>
      </c>
      <c r="D3469">
        <v>11.9</v>
      </c>
      <c r="E3469">
        <v>21.6</v>
      </c>
      <c r="F3469" t="str">
        <f t="shared" si="54"/>
        <v>onshore wind</v>
      </c>
    </row>
    <row r="3470" spans="1:6" x14ac:dyDescent="0.25">
      <c r="A3470" t="s">
        <v>199</v>
      </c>
      <c r="B3470" t="s">
        <v>87</v>
      </c>
      <c r="C3470">
        <v>2002</v>
      </c>
      <c r="D3470">
        <v>30</v>
      </c>
      <c r="E3470">
        <v>30</v>
      </c>
      <c r="F3470" t="str">
        <f t="shared" si="54"/>
        <v>onshore wind</v>
      </c>
    </row>
    <row r="3471" spans="1:6" x14ac:dyDescent="0.25">
      <c r="A3471" t="s">
        <v>199</v>
      </c>
      <c r="B3471" t="s">
        <v>87</v>
      </c>
      <c r="C3471">
        <v>2008</v>
      </c>
      <c r="D3471">
        <v>311.85000000000002</v>
      </c>
      <c r="E3471">
        <v>311.89999999999998</v>
      </c>
      <c r="F3471" t="str">
        <f t="shared" si="54"/>
        <v>onshore wind</v>
      </c>
    </row>
    <row r="3472" spans="1:6" x14ac:dyDescent="0.25">
      <c r="A3472" t="s">
        <v>199</v>
      </c>
      <c r="B3472" t="s">
        <v>87</v>
      </c>
      <c r="C3472">
        <v>2009</v>
      </c>
      <c r="D3472">
        <v>84</v>
      </c>
      <c r="E3472">
        <v>84</v>
      </c>
      <c r="F3472" t="str">
        <f t="shared" si="54"/>
        <v>onshore wind</v>
      </c>
    </row>
    <row r="3473" spans="1:6" x14ac:dyDescent="0.25">
      <c r="A3473" t="s">
        <v>199</v>
      </c>
      <c r="B3473" t="s">
        <v>87</v>
      </c>
      <c r="C3473">
        <v>2010</v>
      </c>
      <c r="D3473">
        <v>20</v>
      </c>
      <c r="E3473">
        <v>20</v>
      </c>
      <c r="F3473" t="str">
        <f t="shared" si="54"/>
        <v>onshore wind</v>
      </c>
    </row>
    <row r="3474" spans="1:6" x14ac:dyDescent="0.25">
      <c r="A3474" t="s">
        <v>199</v>
      </c>
      <c r="B3474" t="s">
        <v>87</v>
      </c>
      <c r="C3474">
        <v>2011</v>
      </c>
      <c r="D3474">
        <v>162</v>
      </c>
      <c r="E3474">
        <v>162</v>
      </c>
      <c r="F3474" t="str">
        <f t="shared" si="54"/>
        <v>onshore wind</v>
      </c>
    </row>
    <row r="3475" spans="1:6" x14ac:dyDescent="0.25">
      <c r="A3475" t="s">
        <v>199</v>
      </c>
      <c r="B3475" t="s">
        <v>87</v>
      </c>
      <c r="C3475">
        <v>2012</v>
      </c>
      <c r="D3475">
        <v>17.7</v>
      </c>
      <c r="E3475">
        <v>17.899999999999999</v>
      </c>
      <c r="F3475" t="str">
        <f t="shared" si="54"/>
        <v>onshore wind</v>
      </c>
    </row>
    <row r="3476" spans="1:6" x14ac:dyDescent="0.25">
      <c r="A3476" t="s">
        <v>199</v>
      </c>
      <c r="B3476" t="s">
        <v>87</v>
      </c>
      <c r="C3476">
        <v>2017</v>
      </c>
      <c r="D3476">
        <v>98</v>
      </c>
      <c r="E3476">
        <v>98</v>
      </c>
      <c r="F3476" t="str">
        <f t="shared" si="54"/>
        <v>onshore wind</v>
      </c>
    </row>
    <row r="3477" spans="1:6" x14ac:dyDescent="0.25">
      <c r="A3477" t="s">
        <v>199</v>
      </c>
      <c r="B3477" t="s">
        <v>87</v>
      </c>
      <c r="C3477">
        <v>2023</v>
      </c>
      <c r="D3477">
        <v>91.6</v>
      </c>
      <c r="E3477">
        <v>91.6</v>
      </c>
      <c r="F3477" t="str">
        <f t="shared" si="54"/>
        <v>onshore wind</v>
      </c>
    </row>
    <row r="3478" spans="1:6" x14ac:dyDescent="0.25">
      <c r="A3478" t="s">
        <v>199</v>
      </c>
      <c r="B3478" t="s">
        <v>92</v>
      </c>
      <c r="C3478">
        <v>1990</v>
      </c>
      <c r="D3478">
        <v>1.5</v>
      </c>
      <c r="E3478">
        <v>1.5</v>
      </c>
      <c r="F3478" t="str">
        <f t="shared" si="54"/>
        <v>petroleum</v>
      </c>
    </row>
    <row r="3479" spans="1:6" x14ac:dyDescent="0.25">
      <c r="A3479" t="s">
        <v>199</v>
      </c>
      <c r="B3479" t="s">
        <v>92</v>
      </c>
      <c r="C3479">
        <v>1991</v>
      </c>
      <c r="D3479">
        <v>0.8</v>
      </c>
      <c r="E3479">
        <v>0.8</v>
      </c>
      <c r="F3479" t="str">
        <f t="shared" si="54"/>
        <v>petroleum</v>
      </c>
    </row>
    <row r="3480" spans="1:6" x14ac:dyDescent="0.25">
      <c r="A3480" t="s">
        <v>199</v>
      </c>
      <c r="B3480" t="s">
        <v>92</v>
      </c>
      <c r="C3480">
        <v>1995</v>
      </c>
      <c r="D3480">
        <v>3.2</v>
      </c>
      <c r="E3480">
        <v>3.7</v>
      </c>
      <c r="F3480" t="str">
        <f t="shared" si="54"/>
        <v>petroleum</v>
      </c>
    </row>
    <row r="3481" spans="1:6" x14ac:dyDescent="0.25">
      <c r="A3481" t="s">
        <v>199</v>
      </c>
      <c r="B3481" t="s">
        <v>92</v>
      </c>
      <c r="C3481">
        <v>1996</v>
      </c>
      <c r="D3481">
        <v>3.6</v>
      </c>
      <c r="E3481">
        <v>4</v>
      </c>
      <c r="F3481" t="str">
        <f t="shared" si="54"/>
        <v>petroleum</v>
      </c>
    </row>
    <row r="3482" spans="1:6" x14ac:dyDescent="0.25">
      <c r="A3482" t="s">
        <v>199</v>
      </c>
      <c r="B3482" t="s">
        <v>92</v>
      </c>
      <c r="C3482">
        <v>1997</v>
      </c>
      <c r="D3482">
        <v>3.2</v>
      </c>
      <c r="E3482">
        <v>3.2</v>
      </c>
      <c r="F3482" t="str">
        <f t="shared" si="54"/>
        <v>petroleum</v>
      </c>
    </row>
    <row r="3483" spans="1:6" x14ac:dyDescent="0.25">
      <c r="A3483" t="s">
        <v>199</v>
      </c>
      <c r="B3483" t="s">
        <v>92</v>
      </c>
      <c r="C3483">
        <v>1998</v>
      </c>
      <c r="D3483">
        <v>5.9</v>
      </c>
      <c r="E3483">
        <v>5.9</v>
      </c>
      <c r="F3483" t="str">
        <f t="shared" si="54"/>
        <v>petroleum</v>
      </c>
    </row>
    <row r="3484" spans="1:6" x14ac:dyDescent="0.25">
      <c r="A3484" t="s">
        <v>199</v>
      </c>
      <c r="B3484" t="s">
        <v>92</v>
      </c>
      <c r="C3484">
        <v>1999</v>
      </c>
      <c r="D3484">
        <v>5.4</v>
      </c>
      <c r="E3484">
        <v>5.4</v>
      </c>
      <c r="F3484" t="str">
        <f t="shared" si="54"/>
        <v>petroleum</v>
      </c>
    </row>
    <row r="3485" spans="1:6" x14ac:dyDescent="0.25">
      <c r="A3485" t="s">
        <v>199</v>
      </c>
      <c r="B3485" t="s">
        <v>92</v>
      </c>
      <c r="C3485">
        <v>2000</v>
      </c>
      <c r="D3485">
        <v>7.5</v>
      </c>
      <c r="E3485">
        <v>7.5</v>
      </c>
      <c r="F3485" t="str">
        <f t="shared" si="54"/>
        <v>petroleum</v>
      </c>
    </row>
    <row r="3486" spans="1:6" x14ac:dyDescent="0.25">
      <c r="A3486" t="s">
        <v>199</v>
      </c>
      <c r="B3486" t="s">
        <v>92</v>
      </c>
      <c r="C3486">
        <v>2001</v>
      </c>
      <c r="D3486">
        <v>55.1</v>
      </c>
      <c r="E3486">
        <v>59.6</v>
      </c>
      <c r="F3486" t="str">
        <f t="shared" si="54"/>
        <v>petroleum</v>
      </c>
    </row>
    <row r="3487" spans="1:6" x14ac:dyDescent="0.25">
      <c r="A3487" t="s">
        <v>199</v>
      </c>
      <c r="B3487" t="s">
        <v>92</v>
      </c>
      <c r="C3487">
        <v>2002</v>
      </c>
      <c r="D3487">
        <v>15.4</v>
      </c>
      <c r="E3487">
        <v>14.6</v>
      </c>
      <c r="F3487" t="str">
        <f t="shared" si="54"/>
        <v>petroleum</v>
      </c>
    </row>
    <row r="3488" spans="1:6" x14ac:dyDescent="0.25">
      <c r="A3488" t="s">
        <v>199</v>
      </c>
      <c r="B3488" t="s">
        <v>92</v>
      </c>
      <c r="C3488">
        <v>2003</v>
      </c>
      <c r="D3488">
        <v>12.6</v>
      </c>
      <c r="E3488">
        <v>16</v>
      </c>
      <c r="F3488" t="str">
        <f t="shared" si="54"/>
        <v>petroleum</v>
      </c>
    </row>
    <row r="3489" spans="1:6" x14ac:dyDescent="0.25">
      <c r="A3489" t="s">
        <v>199</v>
      </c>
      <c r="B3489" t="s">
        <v>92</v>
      </c>
      <c r="C3489">
        <v>2004</v>
      </c>
      <c r="D3489">
        <v>2</v>
      </c>
      <c r="E3489">
        <v>2.2000000000000002</v>
      </c>
      <c r="F3489" t="str">
        <f t="shared" si="54"/>
        <v>petroleum</v>
      </c>
    </row>
    <row r="3490" spans="1:6" x14ac:dyDescent="0.25">
      <c r="A3490" t="s">
        <v>199</v>
      </c>
      <c r="B3490" t="s">
        <v>92</v>
      </c>
      <c r="C3490">
        <v>2005</v>
      </c>
      <c r="D3490">
        <v>9.5</v>
      </c>
      <c r="E3490">
        <v>10.3</v>
      </c>
      <c r="F3490" t="str">
        <f t="shared" si="54"/>
        <v>petroleum</v>
      </c>
    </row>
    <row r="3491" spans="1:6" x14ac:dyDescent="0.25">
      <c r="A3491" t="s">
        <v>199</v>
      </c>
      <c r="B3491" t="s">
        <v>92</v>
      </c>
      <c r="C3491">
        <v>2007</v>
      </c>
      <c r="D3491">
        <v>62.2</v>
      </c>
      <c r="E3491">
        <v>67.2</v>
      </c>
      <c r="F3491" t="str">
        <f t="shared" si="54"/>
        <v>petroleum</v>
      </c>
    </row>
    <row r="3492" spans="1:6" x14ac:dyDescent="0.25">
      <c r="A3492" t="s">
        <v>199</v>
      </c>
      <c r="B3492" t="s">
        <v>92</v>
      </c>
      <c r="C3492">
        <v>2009</v>
      </c>
      <c r="D3492">
        <v>6.9</v>
      </c>
      <c r="E3492">
        <v>6.9</v>
      </c>
      <c r="F3492" t="str">
        <f t="shared" si="54"/>
        <v>petroleum</v>
      </c>
    </row>
    <row r="3493" spans="1:6" x14ac:dyDescent="0.25">
      <c r="A3493" t="s">
        <v>199</v>
      </c>
      <c r="B3493" t="s">
        <v>92</v>
      </c>
      <c r="C3493">
        <v>2011</v>
      </c>
      <c r="D3493">
        <v>2</v>
      </c>
      <c r="E3493">
        <v>2</v>
      </c>
      <c r="F3493" t="str">
        <f t="shared" si="54"/>
        <v>petroleum</v>
      </c>
    </row>
    <row r="3494" spans="1:6" x14ac:dyDescent="0.25">
      <c r="A3494" t="s">
        <v>199</v>
      </c>
      <c r="B3494" t="s">
        <v>92</v>
      </c>
      <c r="C3494">
        <v>2013</v>
      </c>
      <c r="D3494">
        <v>34.5</v>
      </c>
      <c r="E3494">
        <v>34.5</v>
      </c>
      <c r="F3494" t="str">
        <f t="shared" si="54"/>
        <v>petroleum</v>
      </c>
    </row>
    <row r="3495" spans="1:6" x14ac:dyDescent="0.25">
      <c r="A3495" t="s">
        <v>199</v>
      </c>
      <c r="B3495" t="s">
        <v>92</v>
      </c>
      <c r="C3495">
        <v>2021</v>
      </c>
      <c r="D3495">
        <v>2.2999999999999998</v>
      </c>
      <c r="E3495">
        <v>2.2999999999999998</v>
      </c>
      <c r="F3495" t="str">
        <f t="shared" si="54"/>
        <v>petroleum</v>
      </c>
    </row>
    <row r="3496" spans="1:6" x14ac:dyDescent="0.25">
      <c r="A3496" t="s">
        <v>199</v>
      </c>
      <c r="B3496" t="s">
        <v>249</v>
      </c>
      <c r="C3496">
        <v>2011</v>
      </c>
      <c r="D3496">
        <v>2.09</v>
      </c>
      <c r="E3496">
        <v>2.7</v>
      </c>
      <c r="F3496" t="str">
        <f t="shared" si="54"/>
        <v>solar pv</v>
      </c>
    </row>
    <row r="3497" spans="1:6" x14ac:dyDescent="0.25">
      <c r="A3497" t="s">
        <v>199</v>
      </c>
      <c r="B3497" t="s">
        <v>249</v>
      </c>
      <c r="C3497">
        <v>2013</v>
      </c>
      <c r="D3497">
        <v>1</v>
      </c>
      <c r="E3497">
        <v>1</v>
      </c>
      <c r="F3497" t="str">
        <f t="shared" si="54"/>
        <v>solar pv</v>
      </c>
    </row>
    <row r="3498" spans="1:6" x14ac:dyDescent="0.25">
      <c r="A3498" t="s">
        <v>199</v>
      </c>
      <c r="B3498" t="s">
        <v>249</v>
      </c>
      <c r="C3498">
        <v>2016</v>
      </c>
      <c r="D3498">
        <v>2.1</v>
      </c>
      <c r="E3498">
        <v>2.1</v>
      </c>
      <c r="F3498" t="str">
        <f t="shared" si="54"/>
        <v>solar pv</v>
      </c>
    </row>
    <row r="3499" spans="1:6" x14ac:dyDescent="0.25">
      <c r="A3499" t="s">
        <v>199</v>
      </c>
      <c r="B3499" t="s">
        <v>249</v>
      </c>
      <c r="C3499">
        <v>2017</v>
      </c>
      <c r="D3499">
        <v>15.3</v>
      </c>
      <c r="E3499">
        <v>15.3</v>
      </c>
      <c r="F3499" t="str">
        <f t="shared" si="54"/>
        <v>solar pv</v>
      </c>
    </row>
    <row r="3500" spans="1:6" x14ac:dyDescent="0.25">
      <c r="A3500" t="s">
        <v>199</v>
      </c>
      <c r="B3500" t="s">
        <v>249</v>
      </c>
      <c r="C3500">
        <v>2018</v>
      </c>
      <c r="D3500">
        <v>3.7</v>
      </c>
      <c r="E3500">
        <v>3.7</v>
      </c>
      <c r="F3500" t="str">
        <f t="shared" si="54"/>
        <v>solar pv</v>
      </c>
    </row>
    <row r="3501" spans="1:6" x14ac:dyDescent="0.25">
      <c r="A3501" t="s">
        <v>199</v>
      </c>
      <c r="B3501" t="s">
        <v>249</v>
      </c>
      <c r="C3501">
        <v>2019</v>
      </c>
      <c r="D3501">
        <v>18.600000000000001</v>
      </c>
      <c r="E3501">
        <v>18.5</v>
      </c>
      <c r="F3501" t="str">
        <f t="shared" si="54"/>
        <v>solar pv</v>
      </c>
    </row>
    <row r="3502" spans="1:6" x14ac:dyDescent="0.25">
      <c r="A3502" t="s">
        <v>199</v>
      </c>
      <c r="B3502" t="s">
        <v>249</v>
      </c>
      <c r="C3502">
        <v>2020</v>
      </c>
      <c r="D3502">
        <v>175.5</v>
      </c>
      <c r="E3502">
        <v>175.5</v>
      </c>
      <c r="F3502" t="str">
        <f t="shared" si="54"/>
        <v>solar pv</v>
      </c>
    </row>
    <row r="3503" spans="1:6" x14ac:dyDescent="0.25">
      <c r="A3503" t="s">
        <v>199</v>
      </c>
      <c r="B3503" t="s">
        <v>249</v>
      </c>
      <c r="C3503">
        <v>2021</v>
      </c>
      <c r="D3503">
        <v>305.60000000000002</v>
      </c>
      <c r="E3503">
        <v>305.60000000000002</v>
      </c>
      <c r="F3503" t="str">
        <f t="shared" si="54"/>
        <v>solar pv</v>
      </c>
    </row>
    <row r="3504" spans="1:6" x14ac:dyDescent="0.25">
      <c r="A3504" t="s">
        <v>199</v>
      </c>
      <c r="B3504" t="s">
        <v>249</v>
      </c>
      <c r="C3504">
        <v>2022</v>
      </c>
      <c r="D3504">
        <v>270.7</v>
      </c>
      <c r="E3504">
        <v>270.60000000000002</v>
      </c>
      <c r="F3504" t="str">
        <f t="shared" si="54"/>
        <v>solar pv</v>
      </c>
    </row>
    <row r="3505" spans="1:6" x14ac:dyDescent="0.25">
      <c r="A3505" t="s">
        <v>199</v>
      </c>
      <c r="B3505" t="s">
        <v>249</v>
      </c>
      <c r="C3505">
        <v>2023</v>
      </c>
      <c r="D3505">
        <v>861.4</v>
      </c>
      <c r="E3505">
        <v>864.4</v>
      </c>
      <c r="F3505" t="str">
        <f t="shared" si="54"/>
        <v>solar pv</v>
      </c>
    </row>
    <row r="3506" spans="1:6" x14ac:dyDescent="0.25">
      <c r="A3506" t="s">
        <v>199</v>
      </c>
      <c r="B3506" t="s">
        <v>249</v>
      </c>
      <c r="C3506">
        <v>2024</v>
      </c>
      <c r="D3506">
        <v>452.8</v>
      </c>
      <c r="E3506">
        <v>452.8</v>
      </c>
      <c r="F3506" t="str">
        <f t="shared" si="54"/>
        <v>solar pv</v>
      </c>
    </row>
    <row r="3507" spans="1:6" x14ac:dyDescent="0.25">
      <c r="A3507" t="s">
        <v>199</v>
      </c>
      <c r="B3507" t="s">
        <v>249</v>
      </c>
      <c r="C3507">
        <v>2025</v>
      </c>
      <c r="D3507">
        <v>428.6</v>
      </c>
      <c r="E3507">
        <v>428.6</v>
      </c>
      <c r="F3507" t="str">
        <f t="shared" si="54"/>
        <v>solar pv</v>
      </c>
    </row>
    <row r="3508" spans="1:6" x14ac:dyDescent="0.25">
      <c r="A3508" t="s">
        <v>201</v>
      </c>
      <c r="B3508" t="s">
        <v>90</v>
      </c>
      <c r="C3508">
        <v>2017</v>
      </c>
      <c r="D3508">
        <v>3.2</v>
      </c>
      <c r="E3508">
        <v>3.2</v>
      </c>
      <c r="F3508" t="str">
        <f t="shared" si="54"/>
        <v>biomass</v>
      </c>
    </row>
    <row r="3509" spans="1:6" x14ac:dyDescent="0.25">
      <c r="A3509" t="s">
        <v>201</v>
      </c>
      <c r="B3509" t="s">
        <v>81</v>
      </c>
      <c r="C3509">
        <v>1991</v>
      </c>
      <c r="D3509">
        <v>50</v>
      </c>
      <c r="E3509">
        <v>68.900000000000006</v>
      </c>
      <c r="F3509" t="str">
        <f t="shared" si="54"/>
        <v>hard coal</v>
      </c>
    </row>
    <row r="3510" spans="1:6" x14ac:dyDescent="0.25">
      <c r="A3510" t="s">
        <v>201</v>
      </c>
      <c r="B3510" t="s">
        <v>81</v>
      </c>
      <c r="C3510">
        <v>1992</v>
      </c>
      <c r="D3510">
        <v>154</v>
      </c>
      <c r="E3510">
        <v>175.7</v>
      </c>
      <c r="F3510" t="str">
        <f t="shared" si="54"/>
        <v>hard coal</v>
      </c>
    </row>
    <row r="3511" spans="1:6" x14ac:dyDescent="0.25">
      <c r="A3511" t="s">
        <v>201</v>
      </c>
      <c r="B3511" t="s">
        <v>81</v>
      </c>
      <c r="C3511">
        <v>2011</v>
      </c>
      <c r="D3511">
        <v>710</v>
      </c>
      <c r="E3511">
        <v>807.5</v>
      </c>
      <c r="F3511" t="str">
        <f t="shared" si="54"/>
        <v>hard coal</v>
      </c>
    </row>
    <row r="3512" spans="1:6" x14ac:dyDescent="0.25">
      <c r="A3512" t="s">
        <v>201</v>
      </c>
      <c r="B3512" t="s">
        <v>86</v>
      </c>
      <c r="C3512">
        <v>1991</v>
      </c>
      <c r="D3512">
        <v>0.9</v>
      </c>
      <c r="E3512">
        <v>0.9</v>
      </c>
      <c r="F3512" t="str">
        <f t="shared" si="54"/>
        <v>hydro</v>
      </c>
    </row>
    <row r="3513" spans="1:6" x14ac:dyDescent="0.25">
      <c r="A3513" t="s">
        <v>201</v>
      </c>
      <c r="B3513" t="s">
        <v>86</v>
      </c>
      <c r="C3513">
        <v>1999</v>
      </c>
      <c r="D3513">
        <v>42</v>
      </c>
      <c r="E3513">
        <v>42</v>
      </c>
      <c r="F3513" t="str">
        <f t="shared" si="54"/>
        <v>hydro</v>
      </c>
    </row>
    <row r="3514" spans="1:6" x14ac:dyDescent="0.25">
      <c r="A3514" t="s">
        <v>201</v>
      </c>
      <c r="B3514" t="s">
        <v>86</v>
      </c>
      <c r="C3514">
        <v>2001</v>
      </c>
      <c r="D3514">
        <v>80</v>
      </c>
      <c r="E3514">
        <v>80</v>
      </c>
      <c r="F3514" t="str">
        <f t="shared" si="54"/>
        <v>hydro</v>
      </c>
    </row>
    <row r="3515" spans="1:6" x14ac:dyDescent="0.25">
      <c r="A3515" t="s">
        <v>201</v>
      </c>
      <c r="B3515" t="s">
        <v>86</v>
      </c>
      <c r="C3515">
        <v>2016</v>
      </c>
      <c r="D3515">
        <v>44</v>
      </c>
      <c r="E3515">
        <v>44</v>
      </c>
      <c r="F3515" t="str">
        <f t="shared" si="54"/>
        <v>hydro</v>
      </c>
    </row>
    <row r="3516" spans="1:6" x14ac:dyDescent="0.25">
      <c r="A3516" t="s">
        <v>201</v>
      </c>
      <c r="B3516" t="s">
        <v>93</v>
      </c>
      <c r="C3516">
        <v>2001</v>
      </c>
      <c r="D3516">
        <v>750</v>
      </c>
      <c r="E3516">
        <v>872.4</v>
      </c>
      <c r="F3516" t="str">
        <f t="shared" si="54"/>
        <v>natural gas peaker</v>
      </c>
    </row>
    <row r="3517" spans="1:6" x14ac:dyDescent="0.25">
      <c r="A3517" t="s">
        <v>201</v>
      </c>
      <c r="B3517" t="s">
        <v>93</v>
      </c>
      <c r="C3517">
        <v>2002</v>
      </c>
      <c r="D3517">
        <v>341.1</v>
      </c>
      <c r="E3517">
        <v>382.8</v>
      </c>
      <c r="F3517" t="str">
        <f t="shared" si="54"/>
        <v>natural gas peaker</v>
      </c>
    </row>
    <row r="3518" spans="1:6" x14ac:dyDescent="0.25">
      <c r="A3518" t="s">
        <v>201</v>
      </c>
      <c r="B3518" t="s">
        <v>87</v>
      </c>
      <c r="C3518">
        <v>2002</v>
      </c>
      <c r="D3518">
        <v>66</v>
      </c>
      <c r="E3518">
        <v>66</v>
      </c>
      <c r="F3518" t="str">
        <f t="shared" si="54"/>
        <v>onshore wind</v>
      </c>
    </row>
    <row r="3519" spans="1:6" x14ac:dyDescent="0.25">
      <c r="A3519" t="s">
        <v>201</v>
      </c>
      <c r="B3519" t="s">
        <v>87</v>
      </c>
      <c r="C3519">
        <v>2008</v>
      </c>
      <c r="D3519">
        <v>264</v>
      </c>
      <c r="E3519">
        <v>264</v>
      </c>
      <c r="F3519" t="str">
        <f t="shared" si="54"/>
        <v>onshore wind</v>
      </c>
    </row>
    <row r="3520" spans="1:6" x14ac:dyDescent="0.25">
      <c r="A3520" t="s">
        <v>201</v>
      </c>
      <c r="B3520" t="s">
        <v>87</v>
      </c>
      <c r="C3520">
        <v>2010</v>
      </c>
      <c r="D3520">
        <v>100.5</v>
      </c>
      <c r="E3520">
        <v>100.5</v>
      </c>
      <c r="F3520" t="str">
        <f t="shared" si="54"/>
        <v>onshore wind</v>
      </c>
    </row>
    <row r="3521" spans="1:6" x14ac:dyDescent="0.25">
      <c r="A3521" t="s">
        <v>201</v>
      </c>
      <c r="B3521" t="s">
        <v>87</v>
      </c>
      <c r="C3521">
        <v>2011</v>
      </c>
      <c r="D3521">
        <v>150.5</v>
      </c>
      <c r="E3521">
        <v>151.30000000000001</v>
      </c>
      <c r="F3521" t="str">
        <f t="shared" si="54"/>
        <v>onshore wind</v>
      </c>
    </row>
    <row r="3522" spans="1:6" x14ac:dyDescent="0.25">
      <c r="A3522" t="s">
        <v>201</v>
      </c>
      <c r="B3522" t="s">
        <v>87</v>
      </c>
      <c r="C3522">
        <v>2016</v>
      </c>
      <c r="D3522">
        <v>103</v>
      </c>
      <c r="E3522">
        <v>103</v>
      </c>
      <c r="F3522" t="str">
        <f t="shared" ref="F3522:F3563" si="55">LOWER($B3522)</f>
        <v>onshore wind</v>
      </c>
    </row>
    <row r="3523" spans="1:6" x14ac:dyDescent="0.25">
      <c r="A3523" t="s">
        <v>201</v>
      </c>
      <c r="B3523" t="s">
        <v>87</v>
      </c>
      <c r="C3523">
        <v>2020</v>
      </c>
      <c r="D3523">
        <v>56.2</v>
      </c>
      <c r="E3523">
        <v>56.2</v>
      </c>
      <c r="F3523" t="str">
        <f t="shared" si="55"/>
        <v>onshore wind</v>
      </c>
    </row>
    <row r="3524" spans="1:6" x14ac:dyDescent="0.25">
      <c r="A3524" t="s">
        <v>201</v>
      </c>
      <c r="B3524" t="s">
        <v>87</v>
      </c>
      <c r="C3524">
        <v>2022</v>
      </c>
      <c r="D3524">
        <v>115</v>
      </c>
      <c r="E3524">
        <v>115</v>
      </c>
      <c r="F3524" t="str">
        <f t="shared" si="55"/>
        <v>onshore wind</v>
      </c>
    </row>
    <row r="3525" spans="1:6" x14ac:dyDescent="0.25">
      <c r="A3525" t="s">
        <v>201</v>
      </c>
      <c r="B3525" t="s">
        <v>249</v>
      </c>
      <c r="C3525">
        <v>2024</v>
      </c>
      <c r="D3525">
        <v>124.4</v>
      </c>
      <c r="E3525">
        <v>140.4</v>
      </c>
      <c r="F3525" t="str">
        <f t="shared" si="55"/>
        <v>solar pv</v>
      </c>
    </row>
    <row r="3526" spans="1:6" x14ac:dyDescent="0.25">
      <c r="A3526" t="s">
        <v>201</v>
      </c>
      <c r="B3526" t="s">
        <v>249</v>
      </c>
      <c r="C3526">
        <v>2025</v>
      </c>
      <c r="D3526">
        <v>118.9</v>
      </c>
      <c r="E3526">
        <v>118.9</v>
      </c>
      <c r="F3526" t="str">
        <f t="shared" si="55"/>
        <v>solar pv</v>
      </c>
    </row>
    <row r="3527" spans="1:6" x14ac:dyDescent="0.25">
      <c r="A3527" t="s">
        <v>203</v>
      </c>
      <c r="B3527" t="s">
        <v>81</v>
      </c>
      <c r="C3527">
        <v>1995</v>
      </c>
      <c r="D3527">
        <v>82</v>
      </c>
      <c r="E3527">
        <v>90</v>
      </c>
      <c r="F3527" t="str">
        <f t="shared" si="55"/>
        <v>hard coal</v>
      </c>
    </row>
    <row r="3528" spans="1:6" x14ac:dyDescent="0.25">
      <c r="A3528" t="s">
        <v>203</v>
      </c>
      <c r="B3528" t="s">
        <v>81</v>
      </c>
      <c r="C3528">
        <v>2003</v>
      </c>
      <c r="D3528">
        <v>85</v>
      </c>
      <c r="E3528">
        <v>90</v>
      </c>
      <c r="F3528" t="str">
        <f t="shared" si="55"/>
        <v>hard coal</v>
      </c>
    </row>
    <row r="3529" spans="1:6" x14ac:dyDescent="0.25">
      <c r="A3529" t="s">
        <v>203</v>
      </c>
      <c r="B3529" t="s">
        <v>81</v>
      </c>
      <c r="C3529">
        <v>2008</v>
      </c>
      <c r="D3529">
        <v>90</v>
      </c>
      <c r="E3529">
        <v>95</v>
      </c>
      <c r="F3529" t="str">
        <f t="shared" si="55"/>
        <v>hard coal</v>
      </c>
    </row>
    <row r="3530" spans="1:6" x14ac:dyDescent="0.25">
      <c r="A3530" t="s">
        <v>203</v>
      </c>
      <c r="B3530" t="s">
        <v>81</v>
      </c>
      <c r="C3530">
        <v>2010</v>
      </c>
      <c r="D3530">
        <v>100</v>
      </c>
      <c r="E3530">
        <v>116</v>
      </c>
      <c r="F3530" t="str">
        <f t="shared" si="55"/>
        <v>hard coal</v>
      </c>
    </row>
    <row r="3531" spans="1:6" x14ac:dyDescent="0.25">
      <c r="A3531" t="s">
        <v>203</v>
      </c>
      <c r="B3531" t="s">
        <v>81</v>
      </c>
      <c r="C3531">
        <v>2011</v>
      </c>
      <c r="D3531">
        <v>390</v>
      </c>
      <c r="E3531">
        <v>483.7</v>
      </c>
      <c r="F3531" t="str">
        <f t="shared" si="55"/>
        <v>hard coal</v>
      </c>
    </row>
    <row r="3532" spans="1:6" x14ac:dyDescent="0.25">
      <c r="A3532" t="s">
        <v>203</v>
      </c>
      <c r="B3532" t="s">
        <v>86</v>
      </c>
      <c r="C3532">
        <v>1992</v>
      </c>
      <c r="D3532">
        <v>18</v>
      </c>
      <c r="E3532">
        <v>18</v>
      </c>
      <c r="F3532" t="str">
        <f t="shared" si="55"/>
        <v>hydro</v>
      </c>
    </row>
    <row r="3533" spans="1:6" x14ac:dyDescent="0.25">
      <c r="A3533" t="s">
        <v>203</v>
      </c>
      <c r="B3533" t="s">
        <v>86</v>
      </c>
      <c r="C3533">
        <v>1994</v>
      </c>
      <c r="D3533">
        <v>4.5</v>
      </c>
      <c r="E3533">
        <v>4.5</v>
      </c>
      <c r="F3533" t="str">
        <f t="shared" si="55"/>
        <v>hydro</v>
      </c>
    </row>
    <row r="3534" spans="1:6" x14ac:dyDescent="0.25">
      <c r="A3534" t="s">
        <v>203</v>
      </c>
      <c r="B3534" t="s">
        <v>86</v>
      </c>
      <c r="C3534">
        <v>2009</v>
      </c>
      <c r="D3534">
        <v>0.8</v>
      </c>
      <c r="E3534">
        <v>0.8</v>
      </c>
      <c r="F3534" t="str">
        <f t="shared" si="55"/>
        <v>hydro</v>
      </c>
    </row>
    <row r="3535" spans="1:6" x14ac:dyDescent="0.25">
      <c r="A3535" t="s">
        <v>203</v>
      </c>
      <c r="B3535" t="s">
        <v>86</v>
      </c>
      <c r="C3535">
        <v>2010</v>
      </c>
      <c r="D3535">
        <v>0.9</v>
      </c>
      <c r="E3535">
        <v>0.9</v>
      </c>
      <c r="F3535" t="str">
        <f t="shared" si="55"/>
        <v>hydro</v>
      </c>
    </row>
    <row r="3536" spans="1:6" x14ac:dyDescent="0.25">
      <c r="A3536" t="s">
        <v>203</v>
      </c>
      <c r="B3536" t="s">
        <v>84</v>
      </c>
      <c r="C3536">
        <v>2014</v>
      </c>
      <c r="D3536">
        <v>94</v>
      </c>
      <c r="E3536">
        <v>100</v>
      </c>
      <c r="F3536" t="str">
        <f t="shared" si="55"/>
        <v>natural gas combined cycle</v>
      </c>
    </row>
    <row r="3537" spans="1:6" x14ac:dyDescent="0.25">
      <c r="A3537" t="s">
        <v>203</v>
      </c>
      <c r="B3537" t="s">
        <v>93</v>
      </c>
      <c r="C3537">
        <v>1992</v>
      </c>
      <c r="D3537">
        <v>1.8</v>
      </c>
      <c r="E3537">
        <v>2.5</v>
      </c>
      <c r="F3537" t="str">
        <f t="shared" si="55"/>
        <v>natural gas peaker</v>
      </c>
    </row>
    <row r="3538" spans="1:6" x14ac:dyDescent="0.25">
      <c r="A3538" t="s">
        <v>203</v>
      </c>
      <c r="B3538" t="s">
        <v>93</v>
      </c>
      <c r="C3538">
        <v>2000</v>
      </c>
      <c r="D3538">
        <v>34</v>
      </c>
      <c r="E3538">
        <v>40</v>
      </c>
      <c r="F3538" t="str">
        <f t="shared" si="55"/>
        <v>natural gas peaker</v>
      </c>
    </row>
    <row r="3539" spans="1:6" x14ac:dyDescent="0.25">
      <c r="A3539" t="s">
        <v>203</v>
      </c>
      <c r="B3539" t="s">
        <v>93</v>
      </c>
      <c r="C3539">
        <v>2001</v>
      </c>
      <c r="D3539">
        <v>34</v>
      </c>
      <c r="E3539">
        <v>40</v>
      </c>
      <c r="F3539" t="str">
        <f t="shared" si="55"/>
        <v>natural gas peaker</v>
      </c>
    </row>
    <row r="3540" spans="1:6" x14ac:dyDescent="0.25">
      <c r="A3540" t="s">
        <v>203</v>
      </c>
      <c r="B3540" t="s">
        <v>93</v>
      </c>
      <c r="C3540">
        <v>2002</v>
      </c>
      <c r="D3540">
        <v>45</v>
      </c>
      <c r="E3540">
        <v>67.5</v>
      </c>
      <c r="F3540" t="str">
        <f t="shared" si="55"/>
        <v>natural gas peaker</v>
      </c>
    </row>
    <row r="3541" spans="1:6" x14ac:dyDescent="0.25">
      <c r="A3541" t="s">
        <v>203</v>
      </c>
      <c r="B3541" t="s">
        <v>93</v>
      </c>
      <c r="C3541">
        <v>2005</v>
      </c>
      <c r="D3541">
        <v>100.5</v>
      </c>
      <c r="E3541">
        <v>144</v>
      </c>
      <c r="F3541" t="str">
        <f t="shared" si="55"/>
        <v>natural gas peaker</v>
      </c>
    </row>
    <row r="3542" spans="1:6" x14ac:dyDescent="0.25">
      <c r="A3542" t="s">
        <v>203</v>
      </c>
      <c r="B3542" t="s">
        <v>93</v>
      </c>
      <c r="C3542">
        <v>2012</v>
      </c>
      <c r="D3542">
        <v>5.2</v>
      </c>
      <c r="E3542">
        <v>5.2</v>
      </c>
      <c r="F3542" t="str">
        <f t="shared" si="55"/>
        <v>natural gas peaker</v>
      </c>
    </row>
    <row r="3543" spans="1:6" x14ac:dyDescent="0.25">
      <c r="A3543" t="s">
        <v>203</v>
      </c>
      <c r="B3543" t="s">
        <v>93</v>
      </c>
      <c r="C3543">
        <v>2014</v>
      </c>
      <c r="D3543">
        <v>37</v>
      </c>
      <c r="E3543">
        <v>40</v>
      </c>
      <c r="F3543" t="str">
        <f t="shared" si="55"/>
        <v>natural gas peaker</v>
      </c>
    </row>
    <row r="3544" spans="1:6" x14ac:dyDescent="0.25">
      <c r="A3544" t="s">
        <v>203</v>
      </c>
      <c r="B3544" t="s">
        <v>93</v>
      </c>
      <c r="C3544">
        <v>2015</v>
      </c>
      <c r="D3544">
        <v>7</v>
      </c>
      <c r="E3544">
        <v>8</v>
      </c>
      <c r="F3544" t="str">
        <f t="shared" si="55"/>
        <v>natural gas peaker</v>
      </c>
    </row>
    <row r="3545" spans="1:6" x14ac:dyDescent="0.25">
      <c r="A3545" t="s">
        <v>203</v>
      </c>
      <c r="B3545" t="s">
        <v>93</v>
      </c>
      <c r="C3545">
        <v>2020</v>
      </c>
      <c r="D3545">
        <v>0.1</v>
      </c>
      <c r="E3545">
        <v>0.1</v>
      </c>
      <c r="F3545" t="str">
        <f t="shared" si="55"/>
        <v>natural gas peaker</v>
      </c>
    </row>
    <row r="3546" spans="1:6" x14ac:dyDescent="0.25">
      <c r="A3546" t="s">
        <v>203</v>
      </c>
      <c r="B3546" t="s">
        <v>93</v>
      </c>
      <c r="C3546">
        <v>2024</v>
      </c>
      <c r="D3546">
        <v>2.2000000000000002</v>
      </c>
      <c r="E3546">
        <v>2.2000000000000002</v>
      </c>
      <c r="F3546" t="str">
        <f t="shared" si="55"/>
        <v>natural gas peaker</v>
      </c>
    </row>
    <row r="3547" spans="1:6" x14ac:dyDescent="0.25">
      <c r="A3547" t="s">
        <v>203</v>
      </c>
      <c r="B3547" t="s">
        <v>87</v>
      </c>
      <c r="C3547">
        <v>1998</v>
      </c>
      <c r="D3547">
        <v>0.1</v>
      </c>
      <c r="E3547">
        <v>0.1</v>
      </c>
      <c r="F3547" t="str">
        <f t="shared" si="55"/>
        <v>onshore wind</v>
      </c>
    </row>
    <row r="3548" spans="1:6" x14ac:dyDescent="0.25">
      <c r="A3548" t="s">
        <v>203</v>
      </c>
      <c r="B3548" t="s">
        <v>87</v>
      </c>
      <c r="C3548">
        <v>1999</v>
      </c>
      <c r="D3548">
        <v>68</v>
      </c>
      <c r="E3548">
        <v>68</v>
      </c>
      <c r="F3548" t="str">
        <f t="shared" si="55"/>
        <v>onshore wind</v>
      </c>
    </row>
    <row r="3549" spans="1:6" x14ac:dyDescent="0.25">
      <c r="A3549" t="s">
        <v>203</v>
      </c>
      <c r="B3549" t="s">
        <v>87</v>
      </c>
      <c r="C3549">
        <v>2000</v>
      </c>
      <c r="D3549">
        <v>23</v>
      </c>
      <c r="E3549">
        <v>23</v>
      </c>
      <c r="F3549" t="str">
        <f t="shared" si="55"/>
        <v>onshore wind</v>
      </c>
    </row>
    <row r="3550" spans="1:6" x14ac:dyDescent="0.25">
      <c r="A3550" t="s">
        <v>203</v>
      </c>
      <c r="B3550" t="s">
        <v>87</v>
      </c>
      <c r="C3550">
        <v>2001</v>
      </c>
      <c r="D3550">
        <v>50</v>
      </c>
      <c r="E3550">
        <v>50</v>
      </c>
      <c r="F3550" t="str">
        <f t="shared" si="55"/>
        <v>onshore wind</v>
      </c>
    </row>
    <row r="3551" spans="1:6" x14ac:dyDescent="0.25">
      <c r="A3551" t="s">
        <v>203</v>
      </c>
      <c r="B3551" t="s">
        <v>87</v>
      </c>
      <c r="C3551">
        <v>2003</v>
      </c>
      <c r="D3551">
        <v>142.19999999999999</v>
      </c>
      <c r="E3551">
        <v>144</v>
      </c>
      <c r="F3551" t="str">
        <f t="shared" si="55"/>
        <v>onshore wind</v>
      </c>
    </row>
    <row r="3552" spans="1:6" x14ac:dyDescent="0.25">
      <c r="A3552" t="s">
        <v>203</v>
      </c>
      <c r="B3552" t="s">
        <v>87</v>
      </c>
      <c r="C3552">
        <v>2005</v>
      </c>
      <c r="D3552">
        <v>2.5</v>
      </c>
      <c r="E3552">
        <v>2.5</v>
      </c>
      <c r="F3552" t="str">
        <f t="shared" si="55"/>
        <v>onshore wind</v>
      </c>
    </row>
    <row r="3553" spans="1:6" x14ac:dyDescent="0.25">
      <c r="A3553" t="s">
        <v>203</v>
      </c>
      <c r="B3553" t="s">
        <v>87</v>
      </c>
      <c r="C3553">
        <v>2008</v>
      </c>
      <c r="D3553">
        <v>387.9</v>
      </c>
      <c r="E3553">
        <v>436.2</v>
      </c>
      <c r="F3553" t="str">
        <f t="shared" si="55"/>
        <v>onshore wind</v>
      </c>
    </row>
    <row r="3554" spans="1:6" x14ac:dyDescent="0.25">
      <c r="A3554" t="s">
        <v>203</v>
      </c>
      <c r="B3554" t="s">
        <v>87</v>
      </c>
      <c r="C3554">
        <v>2009</v>
      </c>
      <c r="D3554">
        <v>423.8</v>
      </c>
      <c r="E3554">
        <v>477.1</v>
      </c>
      <c r="F3554" t="str">
        <f t="shared" si="55"/>
        <v>onshore wind</v>
      </c>
    </row>
    <row r="3555" spans="1:6" x14ac:dyDescent="0.25">
      <c r="A3555" t="s">
        <v>203</v>
      </c>
      <c r="B3555" t="s">
        <v>87</v>
      </c>
      <c r="C3555">
        <v>2010</v>
      </c>
      <c r="D3555">
        <v>311</v>
      </c>
      <c r="E3555">
        <v>329.5</v>
      </c>
      <c r="F3555" t="str">
        <f t="shared" si="55"/>
        <v>onshore wind</v>
      </c>
    </row>
    <row r="3556" spans="1:6" x14ac:dyDescent="0.25">
      <c r="A3556" t="s">
        <v>203</v>
      </c>
      <c r="B3556" t="s">
        <v>87</v>
      </c>
      <c r="C3556">
        <v>2016</v>
      </c>
      <c r="D3556">
        <v>80</v>
      </c>
      <c r="E3556">
        <v>80</v>
      </c>
      <c r="F3556" t="str">
        <f t="shared" si="55"/>
        <v>onshore wind</v>
      </c>
    </row>
    <row r="3557" spans="1:6" x14ac:dyDescent="0.25">
      <c r="A3557" t="s">
        <v>203</v>
      </c>
      <c r="B3557" t="s">
        <v>87</v>
      </c>
      <c r="C3557">
        <v>2020</v>
      </c>
      <c r="D3557">
        <v>1061.2</v>
      </c>
      <c r="E3557">
        <v>1062.4000000000001</v>
      </c>
      <c r="F3557" t="str">
        <f t="shared" si="55"/>
        <v>onshore wind</v>
      </c>
    </row>
    <row r="3558" spans="1:6" x14ac:dyDescent="0.25">
      <c r="A3558" t="s">
        <v>203</v>
      </c>
      <c r="B3558" t="s">
        <v>87</v>
      </c>
      <c r="C3558">
        <v>2021</v>
      </c>
      <c r="D3558">
        <v>503.2</v>
      </c>
      <c r="E3558">
        <v>503.2</v>
      </c>
      <c r="F3558" t="str">
        <f t="shared" si="55"/>
        <v>onshore wind</v>
      </c>
    </row>
    <row r="3559" spans="1:6" x14ac:dyDescent="0.25">
      <c r="A3559" t="s">
        <v>203</v>
      </c>
      <c r="B3559" t="s">
        <v>87</v>
      </c>
      <c r="C3559">
        <v>2023</v>
      </c>
      <c r="D3559">
        <v>105.7</v>
      </c>
      <c r="E3559">
        <v>105.7</v>
      </c>
      <c r="F3559" t="str">
        <f t="shared" si="55"/>
        <v>onshore wind</v>
      </c>
    </row>
    <row r="3560" spans="1:6" x14ac:dyDescent="0.25">
      <c r="A3560" t="s">
        <v>203</v>
      </c>
      <c r="B3560" t="s">
        <v>87</v>
      </c>
      <c r="C3560">
        <v>2024</v>
      </c>
      <c r="D3560">
        <v>588.9</v>
      </c>
      <c r="E3560">
        <v>588.9</v>
      </c>
      <c r="F3560" t="str">
        <f t="shared" si="55"/>
        <v>onshore wind</v>
      </c>
    </row>
    <row r="3561" spans="1:6" x14ac:dyDescent="0.25">
      <c r="A3561" t="s">
        <v>203</v>
      </c>
      <c r="B3561" t="s">
        <v>87</v>
      </c>
      <c r="C3561">
        <v>2025</v>
      </c>
      <c r="D3561">
        <v>980.4</v>
      </c>
      <c r="E3561">
        <v>980.4</v>
      </c>
      <c r="F3561" t="str">
        <f t="shared" si="55"/>
        <v>onshore wind</v>
      </c>
    </row>
    <row r="3562" spans="1:6" x14ac:dyDescent="0.25">
      <c r="A3562" t="s">
        <v>203</v>
      </c>
      <c r="B3562" t="s">
        <v>249</v>
      </c>
      <c r="C3562">
        <v>2018</v>
      </c>
      <c r="D3562">
        <v>92</v>
      </c>
      <c r="E3562">
        <v>92</v>
      </c>
      <c r="F3562" t="str">
        <f t="shared" si="55"/>
        <v>solar pv</v>
      </c>
    </row>
    <row r="3563" spans="1:6" x14ac:dyDescent="0.25">
      <c r="A3563" t="s">
        <v>203</v>
      </c>
      <c r="B3563" t="s">
        <v>249</v>
      </c>
      <c r="C3563">
        <v>2024</v>
      </c>
      <c r="D3563">
        <v>150</v>
      </c>
      <c r="E3563">
        <v>150</v>
      </c>
      <c r="F3563" t="str">
        <f t="shared" si="55"/>
        <v>solar pv</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Y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s>
  <sheetData>
    <row r="1" spans="1:25" x14ac:dyDescent="0.25">
      <c r="A1" s="1" t="s">
        <v>252</v>
      </c>
    </row>
    <row r="2" spans="1:25" ht="163.5" x14ac:dyDescent="0.25">
      <c r="A2" s="7" t="s">
        <v>253</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B3">
        <v>50</v>
      </c>
      <c r="C3">
        <v>50</v>
      </c>
      <c r="D3">
        <v>50</v>
      </c>
      <c r="E3">
        <v>500</v>
      </c>
      <c r="F3">
        <v>1</v>
      </c>
      <c r="G3">
        <v>1</v>
      </c>
      <c r="H3">
        <v>1</v>
      </c>
      <c r="I3">
        <v>50</v>
      </c>
      <c r="J3">
        <v>1</v>
      </c>
      <c r="K3">
        <v>50</v>
      </c>
      <c r="L3">
        <v>50</v>
      </c>
      <c r="M3">
        <v>50</v>
      </c>
      <c r="N3">
        <v>50</v>
      </c>
      <c r="O3">
        <v>1</v>
      </c>
      <c r="P3">
        <v>50</v>
      </c>
      <c r="Q3">
        <v>50</v>
      </c>
      <c r="R3">
        <v>10</v>
      </c>
      <c r="S3">
        <v>100</v>
      </c>
      <c r="T3">
        <v>100</v>
      </c>
      <c r="U3">
        <v>10</v>
      </c>
      <c r="V3">
        <v>100</v>
      </c>
      <c r="W3">
        <v>100</v>
      </c>
      <c r="X3">
        <v>100</v>
      </c>
      <c r="Y3">
        <v>100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43"/>
  <sheetViews>
    <sheetView workbookViewId="0">
      <pane xSplit="1" topLeftCell="B1" activePane="topRight" state="frozen"/>
      <selection pane="topRight"/>
    </sheetView>
  </sheetViews>
  <sheetFormatPr defaultRowHeight="15" x14ac:dyDescent="0.25"/>
  <cols>
    <col min="1" max="1" width="40" customWidth="1"/>
  </cols>
  <sheetData>
    <row r="1" spans="1:2" x14ac:dyDescent="0.25">
      <c r="A1" s="10" t="s">
        <v>254</v>
      </c>
    </row>
    <row r="2" spans="1:2" ht="45" x14ac:dyDescent="0.25">
      <c r="A2" s="4" t="s">
        <v>255</v>
      </c>
    </row>
    <row r="3" spans="1:2" x14ac:dyDescent="0.25">
      <c r="A3" t="s">
        <v>256</v>
      </c>
    </row>
    <row r="4" spans="1:2" x14ac:dyDescent="0.25">
      <c r="A4" t="s">
        <v>257</v>
      </c>
      <c r="B4">
        <v>2</v>
      </c>
    </row>
    <row r="7" spans="1:2" x14ac:dyDescent="0.25">
      <c r="A7" s="10" t="s">
        <v>258</v>
      </c>
    </row>
    <row r="8" spans="1:2" ht="30" x14ac:dyDescent="0.25">
      <c r="A8" s="4" t="s">
        <v>259</v>
      </c>
    </row>
    <row r="9" spans="1:2" x14ac:dyDescent="0.25">
      <c r="A9" t="s">
        <v>260</v>
      </c>
      <c r="B9" t="s">
        <v>41</v>
      </c>
    </row>
    <row r="10" spans="1:2" x14ac:dyDescent="0.25">
      <c r="A10" t="s">
        <v>261</v>
      </c>
      <c r="B10">
        <v>0.2</v>
      </c>
    </row>
    <row r="11" spans="1:2" x14ac:dyDescent="0.25">
      <c r="A11" t="s">
        <v>262</v>
      </c>
      <c r="B11">
        <v>0.6</v>
      </c>
    </row>
    <row r="12" spans="1:2" x14ac:dyDescent="0.25">
      <c r="A12" t="s">
        <v>263</v>
      </c>
      <c r="B12">
        <v>3</v>
      </c>
    </row>
    <row r="13" spans="1:2" x14ac:dyDescent="0.25">
      <c r="A13" t="s">
        <v>264</v>
      </c>
      <c r="B13">
        <v>0.5</v>
      </c>
    </row>
    <row r="14" spans="1:2" x14ac:dyDescent="0.25">
      <c r="A14" t="s">
        <v>265</v>
      </c>
      <c r="B14">
        <v>30000</v>
      </c>
    </row>
    <row r="17" spans="1:28" x14ac:dyDescent="0.25">
      <c r="A17" s="10" t="s">
        <v>266</v>
      </c>
    </row>
    <row r="18" spans="1:28" ht="60" x14ac:dyDescent="0.25">
      <c r="A18" s="4" t="s">
        <v>267</v>
      </c>
    </row>
    <row r="19" spans="1:28" x14ac:dyDescent="0.25">
      <c r="A19" t="s">
        <v>268</v>
      </c>
      <c r="B19">
        <v>2024</v>
      </c>
      <c r="C19">
        <v>2025</v>
      </c>
      <c r="D19">
        <v>2026</v>
      </c>
      <c r="E19">
        <v>2027</v>
      </c>
      <c r="F19">
        <v>2028</v>
      </c>
      <c r="G19">
        <v>2029</v>
      </c>
      <c r="H19">
        <v>2030</v>
      </c>
      <c r="I19">
        <v>2031</v>
      </c>
      <c r="J19">
        <v>2032</v>
      </c>
      <c r="K19">
        <v>2033</v>
      </c>
      <c r="L19">
        <v>2034</v>
      </c>
      <c r="M19">
        <v>2035</v>
      </c>
      <c r="N19">
        <v>2036</v>
      </c>
      <c r="O19">
        <v>2037</v>
      </c>
      <c r="P19">
        <v>2038</v>
      </c>
      <c r="Q19">
        <v>2039</v>
      </c>
      <c r="R19">
        <v>2040</v>
      </c>
      <c r="S19">
        <v>2041</v>
      </c>
      <c r="T19">
        <v>2042</v>
      </c>
      <c r="U19">
        <v>2043</v>
      </c>
      <c r="V19">
        <v>2044</v>
      </c>
      <c r="W19">
        <v>2045</v>
      </c>
      <c r="X19">
        <v>2046</v>
      </c>
      <c r="Y19">
        <v>2047</v>
      </c>
      <c r="Z19">
        <v>2048</v>
      </c>
      <c r="AA19">
        <v>2049</v>
      </c>
      <c r="AB19">
        <v>2050</v>
      </c>
    </row>
    <row r="20" spans="1:28" x14ac:dyDescent="0.25">
      <c r="A20" t="s">
        <v>269</v>
      </c>
      <c r="B20">
        <v>1</v>
      </c>
      <c r="C20">
        <v>1</v>
      </c>
      <c r="D20">
        <v>1</v>
      </c>
      <c r="E20">
        <v>1</v>
      </c>
      <c r="F20">
        <v>1</v>
      </c>
      <c r="G20">
        <v>1</v>
      </c>
      <c r="H20">
        <v>1</v>
      </c>
      <c r="I20">
        <v>1</v>
      </c>
      <c r="J20">
        <v>1</v>
      </c>
      <c r="K20">
        <v>1</v>
      </c>
      <c r="L20">
        <v>1</v>
      </c>
      <c r="M20">
        <v>1</v>
      </c>
      <c r="N20">
        <v>1</v>
      </c>
      <c r="O20">
        <v>1</v>
      </c>
      <c r="P20">
        <v>1</v>
      </c>
      <c r="Q20">
        <v>1</v>
      </c>
      <c r="R20">
        <v>1</v>
      </c>
      <c r="S20">
        <v>1</v>
      </c>
      <c r="T20">
        <v>1</v>
      </c>
      <c r="U20">
        <v>1</v>
      </c>
      <c r="V20">
        <v>1</v>
      </c>
      <c r="W20">
        <v>1</v>
      </c>
      <c r="X20">
        <v>1</v>
      </c>
      <c r="Y20">
        <v>1</v>
      </c>
      <c r="Z20">
        <v>1</v>
      </c>
      <c r="AA20">
        <v>1</v>
      </c>
      <c r="AB20">
        <v>1</v>
      </c>
    </row>
    <row r="21" spans="1:28" x14ac:dyDescent="0.25">
      <c r="A21" t="s">
        <v>270</v>
      </c>
      <c r="B21">
        <v>1</v>
      </c>
      <c r="C21">
        <v>1</v>
      </c>
      <c r="D21">
        <v>1</v>
      </c>
      <c r="E21">
        <v>1</v>
      </c>
      <c r="F21">
        <v>1</v>
      </c>
      <c r="G21">
        <v>1</v>
      </c>
      <c r="H21">
        <v>1</v>
      </c>
      <c r="I21">
        <v>1</v>
      </c>
      <c r="J21">
        <v>1</v>
      </c>
      <c r="K21">
        <v>1</v>
      </c>
      <c r="L21">
        <v>1</v>
      </c>
      <c r="M21">
        <v>1</v>
      </c>
      <c r="N21">
        <v>1</v>
      </c>
      <c r="O21">
        <v>1</v>
      </c>
      <c r="P21">
        <v>1</v>
      </c>
      <c r="Q21">
        <v>1</v>
      </c>
      <c r="R21">
        <v>1</v>
      </c>
      <c r="S21">
        <v>1</v>
      </c>
      <c r="T21">
        <v>1</v>
      </c>
      <c r="U21">
        <v>1</v>
      </c>
      <c r="V21">
        <v>1</v>
      </c>
      <c r="W21">
        <v>1</v>
      </c>
      <c r="X21">
        <v>1</v>
      </c>
      <c r="Y21">
        <v>1</v>
      </c>
      <c r="Z21">
        <v>1</v>
      </c>
      <c r="AA21">
        <v>1</v>
      </c>
      <c r="AB21">
        <v>1</v>
      </c>
    </row>
    <row r="22" spans="1:28" x14ac:dyDescent="0.25">
      <c r="A22" t="s">
        <v>271</v>
      </c>
      <c r="B22">
        <v>1</v>
      </c>
      <c r="C22">
        <v>1</v>
      </c>
      <c r="D22">
        <v>1</v>
      </c>
      <c r="E22">
        <v>1</v>
      </c>
      <c r="F22">
        <v>1</v>
      </c>
      <c r="G22">
        <v>1</v>
      </c>
      <c r="H22">
        <v>1</v>
      </c>
      <c r="I22">
        <v>1</v>
      </c>
      <c r="J22">
        <v>1</v>
      </c>
      <c r="K22">
        <v>1</v>
      </c>
      <c r="L22">
        <v>1</v>
      </c>
      <c r="M22">
        <v>1</v>
      </c>
      <c r="N22">
        <v>1</v>
      </c>
      <c r="O22">
        <v>1</v>
      </c>
      <c r="P22">
        <v>1</v>
      </c>
      <c r="Q22">
        <v>1</v>
      </c>
      <c r="R22">
        <v>1</v>
      </c>
      <c r="S22">
        <v>1</v>
      </c>
      <c r="T22">
        <v>1</v>
      </c>
      <c r="U22">
        <v>1</v>
      </c>
      <c r="V22">
        <v>1</v>
      </c>
      <c r="W22">
        <v>1</v>
      </c>
      <c r="X22">
        <v>1</v>
      </c>
      <c r="Y22">
        <v>1</v>
      </c>
      <c r="Z22">
        <v>1</v>
      </c>
      <c r="AA22">
        <v>1</v>
      </c>
      <c r="AB22">
        <v>1</v>
      </c>
    </row>
    <row r="23" spans="1:28" x14ac:dyDescent="0.25">
      <c r="A23" t="s">
        <v>272</v>
      </c>
      <c r="B23">
        <v>1</v>
      </c>
      <c r="C23">
        <v>1</v>
      </c>
      <c r="D23">
        <v>1</v>
      </c>
      <c r="E23">
        <v>1</v>
      </c>
      <c r="F23">
        <v>1</v>
      </c>
      <c r="G23">
        <v>1</v>
      </c>
      <c r="H23">
        <v>1</v>
      </c>
      <c r="I23">
        <v>1</v>
      </c>
      <c r="J23">
        <v>1</v>
      </c>
      <c r="K23">
        <v>1</v>
      </c>
      <c r="L23">
        <v>1</v>
      </c>
      <c r="M23">
        <v>1</v>
      </c>
      <c r="N23">
        <v>1</v>
      </c>
      <c r="O23">
        <v>1</v>
      </c>
      <c r="P23">
        <v>1</v>
      </c>
      <c r="Q23">
        <v>1</v>
      </c>
      <c r="R23">
        <v>1</v>
      </c>
      <c r="S23">
        <v>1</v>
      </c>
      <c r="T23">
        <v>1</v>
      </c>
      <c r="U23">
        <v>1</v>
      </c>
      <c r="V23">
        <v>1</v>
      </c>
      <c r="W23">
        <v>1</v>
      </c>
      <c r="X23">
        <v>1</v>
      </c>
      <c r="Y23">
        <v>1</v>
      </c>
      <c r="Z23">
        <v>1</v>
      </c>
      <c r="AA23">
        <v>1</v>
      </c>
      <c r="AB23">
        <v>1</v>
      </c>
    </row>
    <row r="24" spans="1:28" x14ac:dyDescent="0.25">
      <c r="A24" t="s">
        <v>273</v>
      </c>
      <c r="B24">
        <v>1</v>
      </c>
      <c r="C24">
        <v>1</v>
      </c>
      <c r="D24">
        <v>1</v>
      </c>
      <c r="E24">
        <v>1</v>
      </c>
      <c r="F24">
        <v>1</v>
      </c>
      <c r="G24">
        <v>1</v>
      </c>
      <c r="H24">
        <v>1</v>
      </c>
      <c r="I24">
        <v>1</v>
      </c>
      <c r="J24">
        <v>1</v>
      </c>
      <c r="K24">
        <v>1</v>
      </c>
      <c r="L24">
        <v>1</v>
      </c>
      <c r="M24">
        <v>1</v>
      </c>
      <c r="N24">
        <v>1</v>
      </c>
      <c r="O24">
        <v>1</v>
      </c>
      <c r="P24">
        <v>1</v>
      </c>
      <c r="Q24">
        <v>1</v>
      </c>
      <c r="R24">
        <v>1</v>
      </c>
      <c r="S24">
        <v>1</v>
      </c>
      <c r="T24">
        <v>1</v>
      </c>
      <c r="U24">
        <v>1</v>
      </c>
      <c r="V24">
        <v>1</v>
      </c>
      <c r="W24">
        <v>1</v>
      </c>
      <c r="X24">
        <v>1</v>
      </c>
      <c r="Y24">
        <v>1</v>
      </c>
      <c r="Z24">
        <v>1</v>
      </c>
      <c r="AA24">
        <v>1</v>
      </c>
      <c r="AB24">
        <v>1</v>
      </c>
    </row>
    <row r="25" spans="1:28" x14ac:dyDescent="0.25">
      <c r="A25" t="s">
        <v>274</v>
      </c>
      <c r="B25">
        <v>0.8</v>
      </c>
      <c r="C25">
        <v>0.1</v>
      </c>
      <c r="D25">
        <v>0.1</v>
      </c>
      <c r="E25">
        <v>0.1</v>
      </c>
      <c r="F25">
        <v>0.1</v>
      </c>
      <c r="G25">
        <v>0.1</v>
      </c>
      <c r="H25">
        <v>0.33333333300000001</v>
      </c>
      <c r="I25">
        <v>0.56666666700000001</v>
      </c>
      <c r="J25">
        <v>0.8</v>
      </c>
      <c r="K25">
        <v>0.8</v>
      </c>
      <c r="L25">
        <v>0.8</v>
      </c>
      <c r="M25">
        <v>0.8</v>
      </c>
      <c r="N25">
        <v>0.8</v>
      </c>
      <c r="O25">
        <v>0.8</v>
      </c>
      <c r="P25">
        <v>0.8</v>
      </c>
      <c r="Q25">
        <v>0.8</v>
      </c>
      <c r="R25">
        <v>0.8</v>
      </c>
      <c r="S25">
        <v>0.8</v>
      </c>
      <c r="T25">
        <v>0.8</v>
      </c>
      <c r="U25">
        <v>0.8</v>
      </c>
      <c r="V25">
        <v>0.8</v>
      </c>
      <c r="W25">
        <v>0.8</v>
      </c>
      <c r="X25">
        <v>0.8</v>
      </c>
      <c r="Y25">
        <v>0.8</v>
      </c>
      <c r="Z25">
        <v>0.8</v>
      </c>
      <c r="AA25">
        <v>0.8</v>
      </c>
      <c r="AB25">
        <v>0.8</v>
      </c>
    </row>
    <row r="26" spans="1:28" x14ac:dyDescent="0.25">
      <c r="A26" t="s">
        <v>275</v>
      </c>
      <c r="B26">
        <v>1</v>
      </c>
      <c r="C26">
        <v>1</v>
      </c>
      <c r="D26">
        <v>1</v>
      </c>
      <c r="E26">
        <v>1</v>
      </c>
      <c r="F26">
        <v>1</v>
      </c>
      <c r="G26">
        <v>1</v>
      </c>
      <c r="H26">
        <v>1</v>
      </c>
      <c r="I26">
        <v>1</v>
      </c>
      <c r="J26">
        <v>1</v>
      </c>
      <c r="K26">
        <v>1</v>
      </c>
      <c r="L26">
        <v>1</v>
      </c>
      <c r="M26">
        <v>1</v>
      </c>
      <c r="N26">
        <v>1</v>
      </c>
      <c r="O26">
        <v>1</v>
      </c>
      <c r="P26">
        <v>1</v>
      </c>
      <c r="Q26">
        <v>1</v>
      </c>
      <c r="R26">
        <v>1</v>
      </c>
      <c r="S26">
        <v>1</v>
      </c>
      <c r="T26">
        <v>1</v>
      </c>
      <c r="U26">
        <v>1</v>
      </c>
      <c r="V26">
        <v>1</v>
      </c>
      <c r="W26">
        <v>1</v>
      </c>
      <c r="X26">
        <v>1</v>
      </c>
      <c r="Y26">
        <v>1</v>
      </c>
      <c r="Z26">
        <v>1</v>
      </c>
      <c r="AA26">
        <v>1</v>
      </c>
      <c r="AB26">
        <v>1</v>
      </c>
    </row>
    <row r="27" spans="1:28" x14ac:dyDescent="0.25">
      <c r="A27" t="s">
        <v>276</v>
      </c>
      <c r="B27">
        <v>1</v>
      </c>
      <c r="C27">
        <v>1</v>
      </c>
      <c r="D27">
        <v>1</v>
      </c>
      <c r="E27">
        <v>1</v>
      </c>
      <c r="F27">
        <v>1</v>
      </c>
      <c r="G27">
        <v>1</v>
      </c>
      <c r="H27">
        <v>1</v>
      </c>
      <c r="I27">
        <v>1</v>
      </c>
      <c r="J27">
        <v>1</v>
      </c>
      <c r="K27">
        <v>1</v>
      </c>
      <c r="L27">
        <v>1</v>
      </c>
      <c r="M27">
        <v>1</v>
      </c>
      <c r="N27">
        <v>1</v>
      </c>
      <c r="O27">
        <v>1</v>
      </c>
      <c r="P27">
        <v>1</v>
      </c>
      <c r="Q27">
        <v>1</v>
      </c>
      <c r="R27">
        <v>1</v>
      </c>
      <c r="S27">
        <v>1</v>
      </c>
      <c r="T27">
        <v>1</v>
      </c>
      <c r="U27">
        <v>1</v>
      </c>
      <c r="V27">
        <v>1</v>
      </c>
      <c r="W27">
        <v>1</v>
      </c>
      <c r="X27">
        <v>1</v>
      </c>
      <c r="Y27">
        <v>1</v>
      </c>
      <c r="Z27">
        <v>1</v>
      </c>
      <c r="AA27">
        <v>1</v>
      </c>
      <c r="AB27">
        <v>1</v>
      </c>
    </row>
    <row r="28" spans="1:28" x14ac:dyDescent="0.25">
      <c r="A28" t="s">
        <v>277</v>
      </c>
      <c r="B28">
        <v>1</v>
      </c>
      <c r="C28">
        <v>1</v>
      </c>
      <c r="D28">
        <v>1</v>
      </c>
      <c r="E28">
        <v>1</v>
      </c>
      <c r="F28">
        <v>1</v>
      </c>
      <c r="G28">
        <v>1</v>
      </c>
      <c r="H28">
        <v>1</v>
      </c>
      <c r="I28">
        <v>1</v>
      </c>
      <c r="J28">
        <v>1</v>
      </c>
      <c r="K28">
        <v>1</v>
      </c>
      <c r="L28">
        <v>1</v>
      </c>
      <c r="M28">
        <v>1</v>
      </c>
      <c r="N28">
        <v>1</v>
      </c>
      <c r="O28">
        <v>1</v>
      </c>
      <c r="P28">
        <v>1</v>
      </c>
      <c r="Q28">
        <v>1</v>
      </c>
      <c r="R28">
        <v>1</v>
      </c>
      <c r="S28">
        <v>1</v>
      </c>
      <c r="T28">
        <v>1</v>
      </c>
      <c r="U28">
        <v>1</v>
      </c>
      <c r="V28">
        <v>1</v>
      </c>
      <c r="W28">
        <v>1</v>
      </c>
      <c r="X28">
        <v>1</v>
      </c>
      <c r="Y28">
        <v>1</v>
      </c>
      <c r="Z28">
        <v>1</v>
      </c>
      <c r="AA28">
        <v>1</v>
      </c>
      <c r="AB28">
        <v>1</v>
      </c>
    </row>
    <row r="29" spans="1:28" x14ac:dyDescent="0.25">
      <c r="A29" t="s">
        <v>278</v>
      </c>
      <c r="B29">
        <v>1</v>
      </c>
      <c r="C29">
        <v>1</v>
      </c>
      <c r="D29">
        <v>1</v>
      </c>
      <c r="E29">
        <v>1</v>
      </c>
      <c r="F29">
        <v>1</v>
      </c>
      <c r="G29">
        <v>1</v>
      </c>
      <c r="H29">
        <v>1</v>
      </c>
      <c r="I29">
        <v>1</v>
      </c>
      <c r="J29">
        <v>1</v>
      </c>
      <c r="K29">
        <v>1</v>
      </c>
      <c r="L29">
        <v>1</v>
      </c>
      <c r="M29">
        <v>1</v>
      </c>
      <c r="N29">
        <v>1</v>
      </c>
      <c r="O29">
        <v>1</v>
      </c>
      <c r="P29">
        <v>1</v>
      </c>
      <c r="Q29">
        <v>1</v>
      </c>
      <c r="R29">
        <v>1</v>
      </c>
      <c r="S29">
        <v>1</v>
      </c>
      <c r="T29">
        <v>1</v>
      </c>
      <c r="U29">
        <v>1</v>
      </c>
      <c r="V29">
        <v>1</v>
      </c>
      <c r="W29">
        <v>1</v>
      </c>
      <c r="X29">
        <v>1</v>
      </c>
      <c r="Y29">
        <v>1</v>
      </c>
      <c r="Z29">
        <v>1</v>
      </c>
      <c r="AA29">
        <v>1</v>
      </c>
      <c r="AB29">
        <v>1</v>
      </c>
    </row>
    <row r="30" spans="1:28" x14ac:dyDescent="0.25">
      <c r="A30" t="s">
        <v>279</v>
      </c>
      <c r="B30">
        <v>1</v>
      </c>
      <c r="C30">
        <v>1</v>
      </c>
      <c r="D30">
        <v>1</v>
      </c>
      <c r="E30">
        <v>1</v>
      </c>
      <c r="F30">
        <v>1</v>
      </c>
      <c r="G30">
        <v>1</v>
      </c>
      <c r="H30">
        <v>1</v>
      </c>
      <c r="I30">
        <v>1</v>
      </c>
      <c r="J30">
        <v>1</v>
      </c>
      <c r="K30">
        <v>1</v>
      </c>
      <c r="L30">
        <v>1</v>
      </c>
      <c r="M30">
        <v>1</v>
      </c>
      <c r="N30">
        <v>1</v>
      </c>
      <c r="O30">
        <v>1</v>
      </c>
      <c r="P30">
        <v>1</v>
      </c>
      <c r="Q30">
        <v>1</v>
      </c>
      <c r="R30">
        <v>1</v>
      </c>
      <c r="S30">
        <v>1</v>
      </c>
      <c r="T30">
        <v>1</v>
      </c>
      <c r="U30">
        <v>1</v>
      </c>
      <c r="V30">
        <v>1</v>
      </c>
      <c r="W30">
        <v>1</v>
      </c>
      <c r="X30">
        <v>1</v>
      </c>
      <c r="Y30">
        <v>1</v>
      </c>
      <c r="Z30">
        <v>1</v>
      </c>
      <c r="AA30">
        <v>1</v>
      </c>
      <c r="AB30">
        <v>1</v>
      </c>
    </row>
    <row r="31" spans="1:28" x14ac:dyDescent="0.25">
      <c r="A31" t="s">
        <v>280</v>
      </c>
      <c r="B31">
        <v>1</v>
      </c>
      <c r="C31">
        <v>1</v>
      </c>
      <c r="D31">
        <v>1</v>
      </c>
      <c r="E31">
        <v>1</v>
      </c>
      <c r="F31">
        <v>1</v>
      </c>
      <c r="G31">
        <v>1</v>
      </c>
      <c r="H31">
        <v>1</v>
      </c>
      <c r="I31">
        <v>1</v>
      </c>
      <c r="J31">
        <v>1</v>
      </c>
      <c r="K31">
        <v>1</v>
      </c>
      <c r="L31">
        <v>1</v>
      </c>
      <c r="M31">
        <v>1</v>
      </c>
      <c r="N31">
        <v>1</v>
      </c>
      <c r="O31">
        <v>1</v>
      </c>
      <c r="P31">
        <v>1</v>
      </c>
      <c r="Q31">
        <v>1</v>
      </c>
      <c r="R31">
        <v>1</v>
      </c>
      <c r="S31">
        <v>1</v>
      </c>
      <c r="T31">
        <v>1</v>
      </c>
      <c r="U31">
        <v>1</v>
      </c>
      <c r="V31">
        <v>1</v>
      </c>
      <c r="W31">
        <v>1</v>
      </c>
      <c r="X31">
        <v>1</v>
      </c>
      <c r="Y31">
        <v>1</v>
      </c>
      <c r="Z31">
        <v>1</v>
      </c>
      <c r="AA31">
        <v>1</v>
      </c>
      <c r="AB31">
        <v>1</v>
      </c>
    </row>
    <row r="32" spans="1:28" x14ac:dyDescent="0.25">
      <c r="A32" t="s">
        <v>281</v>
      </c>
      <c r="B32">
        <v>1</v>
      </c>
      <c r="C32">
        <v>1</v>
      </c>
      <c r="D32">
        <v>1</v>
      </c>
      <c r="E32">
        <v>1</v>
      </c>
      <c r="F32">
        <v>1</v>
      </c>
      <c r="G32">
        <v>1</v>
      </c>
      <c r="H32">
        <v>1</v>
      </c>
      <c r="I32">
        <v>1</v>
      </c>
      <c r="J32">
        <v>1</v>
      </c>
      <c r="K32">
        <v>1</v>
      </c>
      <c r="L32">
        <v>1</v>
      </c>
      <c r="M32">
        <v>1</v>
      </c>
      <c r="N32">
        <v>1</v>
      </c>
      <c r="O32">
        <v>1</v>
      </c>
      <c r="P32">
        <v>1</v>
      </c>
      <c r="Q32">
        <v>1</v>
      </c>
      <c r="R32">
        <v>1</v>
      </c>
      <c r="S32">
        <v>1</v>
      </c>
      <c r="T32">
        <v>1</v>
      </c>
      <c r="U32">
        <v>1</v>
      </c>
      <c r="V32">
        <v>1</v>
      </c>
      <c r="W32">
        <v>1</v>
      </c>
      <c r="X32">
        <v>1</v>
      </c>
      <c r="Y32">
        <v>1</v>
      </c>
      <c r="Z32">
        <v>1</v>
      </c>
      <c r="AA32">
        <v>1</v>
      </c>
      <c r="AB32">
        <v>1</v>
      </c>
    </row>
    <row r="33" spans="1:28" x14ac:dyDescent="0.25">
      <c r="A33" t="s">
        <v>282</v>
      </c>
      <c r="B33">
        <v>1</v>
      </c>
      <c r="C33">
        <v>1</v>
      </c>
      <c r="D33">
        <v>1</v>
      </c>
      <c r="E33">
        <v>1</v>
      </c>
      <c r="F33">
        <v>1</v>
      </c>
      <c r="G33">
        <v>1</v>
      </c>
      <c r="H33">
        <v>1</v>
      </c>
      <c r="I33">
        <v>1</v>
      </c>
      <c r="J33">
        <v>1</v>
      </c>
      <c r="K33">
        <v>1</v>
      </c>
      <c r="L33">
        <v>1</v>
      </c>
      <c r="M33">
        <v>1</v>
      </c>
      <c r="N33">
        <v>1</v>
      </c>
      <c r="O33">
        <v>1</v>
      </c>
      <c r="P33">
        <v>1</v>
      </c>
      <c r="Q33">
        <v>1</v>
      </c>
      <c r="R33">
        <v>1</v>
      </c>
      <c r="S33">
        <v>1</v>
      </c>
      <c r="T33">
        <v>1</v>
      </c>
      <c r="U33">
        <v>1</v>
      </c>
      <c r="V33">
        <v>1</v>
      </c>
      <c r="W33">
        <v>1</v>
      </c>
      <c r="X33">
        <v>1</v>
      </c>
      <c r="Y33">
        <v>1</v>
      </c>
      <c r="Z33">
        <v>1</v>
      </c>
      <c r="AA33">
        <v>1</v>
      </c>
      <c r="AB33">
        <v>1</v>
      </c>
    </row>
    <row r="34" spans="1:28" x14ac:dyDescent="0.25">
      <c r="A34" t="s">
        <v>283</v>
      </c>
      <c r="B34">
        <v>1</v>
      </c>
      <c r="C34">
        <v>1</v>
      </c>
      <c r="D34">
        <v>1</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1</v>
      </c>
      <c r="AA34">
        <v>1</v>
      </c>
      <c r="AB34">
        <v>1</v>
      </c>
    </row>
    <row r="35" spans="1:28" x14ac:dyDescent="0.25">
      <c r="A35" t="s">
        <v>284</v>
      </c>
      <c r="B35">
        <v>1</v>
      </c>
      <c r="C35">
        <v>1</v>
      </c>
      <c r="D35">
        <v>1</v>
      </c>
      <c r="E35">
        <v>1</v>
      </c>
      <c r="F35">
        <v>1</v>
      </c>
      <c r="G35">
        <v>1</v>
      </c>
      <c r="H35">
        <v>1</v>
      </c>
      <c r="I35">
        <v>1</v>
      </c>
      <c r="J35">
        <v>1</v>
      </c>
      <c r="K35">
        <v>1</v>
      </c>
      <c r="L35">
        <v>1</v>
      </c>
      <c r="M35">
        <v>1</v>
      </c>
      <c r="N35">
        <v>1</v>
      </c>
      <c r="O35">
        <v>1</v>
      </c>
      <c r="P35">
        <v>1</v>
      </c>
      <c r="Q35">
        <v>1</v>
      </c>
      <c r="R35">
        <v>1</v>
      </c>
      <c r="S35">
        <v>1</v>
      </c>
      <c r="T35">
        <v>1</v>
      </c>
      <c r="U35">
        <v>1</v>
      </c>
      <c r="V35">
        <v>1</v>
      </c>
      <c r="W35">
        <v>1</v>
      </c>
      <c r="X35">
        <v>1</v>
      </c>
      <c r="Y35">
        <v>1</v>
      </c>
      <c r="Z35">
        <v>1</v>
      </c>
      <c r="AA35">
        <v>1</v>
      </c>
      <c r="AB35">
        <v>1</v>
      </c>
    </row>
    <row r="36" spans="1:28" x14ac:dyDescent="0.25">
      <c r="A36" t="s">
        <v>285</v>
      </c>
      <c r="B36">
        <v>1</v>
      </c>
      <c r="C36">
        <v>1</v>
      </c>
      <c r="D36">
        <v>1</v>
      </c>
      <c r="E36">
        <v>1</v>
      </c>
      <c r="F36">
        <v>1</v>
      </c>
      <c r="G36">
        <v>1</v>
      </c>
      <c r="H36">
        <v>1</v>
      </c>
      <c r="I36">
        <v>1</v>
      </c>
      <c r="J36">
        <v>1</v>
      </c>
      <c r="K36">
        <v>1</v>
      </c>
      <c r="L36">
        <v>1</v>
      </c>
      <c r="M36">
        <v>1</v>
      </c>
      <c r="N36">
        <v>1</v>
      </c>
      <c r="O36">
        <v>1</v>
      </c>
      <c r="P36">
        <v>1</v>
      </c>
      <c r="Q36">
        <v>1</v>
      </c>
      <c r="R36">
        <v>1</v>
      </c>
      <c r="S36">
        <v>1</v>
      </c>
      <c r="T36">
        <v>1</v>
      </c>
      <c r="U36">
        <v>1</v>
      </c>
      <c r="V36">
        <v>1</v>
      </c>
      <c r="W36">
        <v>1</v>
      </c>
      <c r="X36">
        <v>1</v>
      </c>
      <c r="Y36">
        <v>1</v>
      </c>
      <c r="Z36">
        <v>1</v>
      </c>
      <c r="AA36">
        <v>1</v>
      </c>
      <c r="AB36">
        <v>1</v>
      </c>
    </row>
    <row r="37" spans="1:28" x14ac:dyDescent="0.25">
      <c r="A37" t="s">
        <v>286</v>
      </c>
      <c r="B37">
        <v>1</v>
      </c>
      <c r="C37">
        <v>1</v>
      </c>
      <c r="D37">
        <v>1</v>
      </c>
      <c r="E37">
        <v>1</v>
      </c>
      <c r="F37">
        <v>1</v>
      </c>
      <c r="G37">
        <v>1</v>
      </c>
      <c r="H37">
        <v>1</v>
      </c>
      <c r="I37">
        <v>1</v>
      </c>
      <c r="J37">
        <v>1</v>
      </c>
      <c r="K37">
        <v>1</v>
      </c>
      <c r="L37">
        <v>1</v>
      </c>
      <c r="M37">
        <v>1</v>
      </c>
      <c r="N37">
        <v>1</v>
      </c>
      <c r="O37">
        <v>1</v>
      </c>
      <c r="P37">
        <v>1</v>
      </c>
      <c r="Q37">
        <v>1</v>
      </c>
      <c r="R37">
        <v>1</v>
      </c>
      <c r="S37">
        <v>1</v>
      </c>
      <c r="T37">
        <v>1</v>
      </c>
      <c r="U37">
        <v>1</v>
      </c>
      <c r="V37">
        <v>1</v>
      </c>
      <c r="W37">
        <v>1</v>
      </c>
      <c r="X37">
        <v>1</v>
      </c>
      <c r="Y37">
        <v>1</v>
      </c>
      <c r="Z37">
        <v>1</v>
      </c>
      <c r="AA37">
        <v>1</v>
      </c>
      <c r="AB37">
        <v>1</v>
      </c>
    </row>
    <row r="38" spans="1:28" x14ac:dyDescent="0.25">
      <c r="A38" t="s">
        <v>287</v>
      </c>
      <c r="B38">
        <v>1</v>
      </c>
      <c r="C38">
        <v>1</v>
      </c>
      <c r="D38">
        <v>1</v>
      </c>
      <c r="E38">
        <v>1</v>
      </c>
      <c r="F38">
        <v>1</v>
      </c>
      <c r="G38">
        <v>1</v>
      </c>
      <c r="H38">
        <v>1</v>
      </c>
      <c r="I38">
        <v>1</v>
      </c>
      <c r="J38">
        <v>1</v>
      </c>
      <c r="K38">
        <v>1</v>
      </c>
      <c r="L38">
        <v>1</v>
      </c>
      <c r="M38">
        <v>1</v>
      </c>
      <c r="N38">
        <v>1</v>
      </c>
      <c r="O38">
        <v>1</v>
      </c>
      <c r="P38">
        <v>1</v>
      </c>
      <c r="Q38">
        <v>1</v>
      </c>
      <c r="R38">
        <v>1</v>
      </c>
      <c r="S38">
        <v>1</v>
      </c>
      <c r="T38">
        <v>1</v>
      </c>
      <c r="U38">
        <v>1</v>
      </c>
      <c r="V38">
        <v>1</v>
      </c>
      <c r="W38">
        <v>1</v>
      </c>
      <c r="X38">
        <v>1</v>
      </c>
      <c r="Y38">
        <v>1</v>
      </c>
      <c r="Z38">
        <v>1</v>
      </c>
      <c r="AA38">
        <v>1</v>
      </c>
      <c r="AB38">
        <v>1</v>
      </c>
    </row>
    <row r="39" spans="1:28" x14ac:dyDescent="0.25">
      <c r="A39" t="s">
        <v>288</v>
      </c>
      <c r="B39">
        <v>1</v>
      </c>
      <c r="C39">
        <v>1</v>
      </c>
      <c r="D39">
        <v>1</v>
      </c>
      <c r="E39">
        <v>1</v>
      </c>
      <c r="F39">
        <v>1</v>
      </c>
      <c r="G39">
        <v>1</v>
      </c>
      <c r="H39">
        <v>1</v>
      </c>
      <c r="I39">
        <v>1</v>
      </c>
      <c r="J39">
        <v>1</v>
      </c>
      <c r="K39">
        <v>1</v>
      </c>
      <c r="L39">
        <v>1</v>
      </c>
      <c r="M39">
        <v>1</v>
      </c>
      <c r="N39">
        <v>1</v>
      </c>
      <c r="O39">
        <v>1</v>
      </c>
      <c r="P39">
        <v>1</v>
      </c>
      <c r="Q39">
        <v>1</v>
      </c>
      <c r="R39">
        <v>1</v>
      </c>
      <c r="S39">
        <v>1</v>
      </c>
      <c r="T39">
        <v>1</v>
      </c>
      <c r="U39">
        <v>1</v>
      </c>
      <c r="V39">
        <v>1</v>
      </c>
      <c r="W39">
        <v>1</v>
      </c>
      <c r="X39">
        <v>1</v>
      </c>
      <c r="Y39">
        <v>1</v>
      </c>
      <c r="Z39">
        <v>1</v>
      </c>
      <c r="AA39">
        <v>1</v>
      </c>
      <c r="AB39">
        <v>1</v>
      </c>
    </row>
    <row r="40" spans="1:28" x14ac:dyDescent="0.25">
      <c r="A40" t="s">
        <v>289</v>
      </c>
      <c r="B40">
        <v>1</v>
      </c>
      <c r="C40">
        <v>1</v>
      </c>
      <c r="D40">
        <v>1</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1</v>
      </c>
      <c r="AA40">
        <v>1</v>
      </c>
      <c r="AB40">
        <v>1</v>
      </c>
    </row>
    <row r="41" spans="1:28" x14ac:dyDescent="0.25">
      <c r="A41" t="s">
        <v>290</v>
      </c>
      <c r="B41">
        <v>1</v>
      </c>
      <c r="C41">
        <v>1</v>
      </c>
      <c r="D41">
        <v>1</v>
      </c>
      <c r="E41">
        <v>1</v>
      </c>
      <c r="F41">
        <v>1</v>
      </c>
      <c r="G41">
        <v>1</v>
      </c>
      <c r="H41">
        <v>1</v>
      </c>
      <c r="I41">
        <v>1</v>
      </c>
      <c r="J41">
        <v>1</v>
      </c>
      <c r="K41">
        <v>1</v>
      </c>
      <c r="L41">
        <v>1</v>
      </c>
      <c r="M41">
        <v>1</v>
      </c>
      <c r="N41">
        <v>1</v>
      </c>
      <c r="O41">
        <v>1</v>
      </c>
      <c r="P41">
        <v>1</v>
      </c>
      <c r="Q41">
        <v>1</v>
      </c>
      <c r="R41">
        <v>1</v>
      </c>
      <c r="S41">
        <v>1</v>
      </c>
      <c r="T41">
        <v>1</v>
      </c>
      <c r="U41">
        <v>1</v>
      </c>
      <c r="V41">
        <v>1</v>
      </c>
      <c r="W41">
        <v>1</v>
      </c>
      <c r="X41">
        <v>1</v>
      </c>
      <c r="Y41">
        <v>1</v>
      </c>
      <c r="Z41">
        <v>1</v>
      </c>
      <c r="AA41">
        <v>1</v>
      </c>
      <c r="AB41">
        <v>1</v>
      </c>
    </row>
    <row r="42" spans="1:28" x14ac:dyDescent="0.25">
      <c r="A42" t="s">
        <v>291</v>
      </c>
      <c r="B42">
        <v>1</v>
      </c>
      <c r="C42">
        <v>1</v>
      </c>
      <c r="D42">
        <v>1</v>
      </c>
      <c r="E42">
        <v>1</v>
      </c>
      <c r="F42">
        <v>1</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row>
    <row r="43" spans="1:28" x14ac:dyDescent="0.25">
      <c r="A43" t="s">
        <v>292</v>
      </c>
      <c r="B43">
        <v>1</v>
      </c>
      <c r="C43">
        <v>1</v>
      </c>
      <c r="D43">
        <v>1</v>
      </c>
      <c r="E43">
        <v>1</v>
      </c>
      <c r="F43">
        <v>1</v>
      </c>
      <c r="G43">
        <v>1</v>
      </c>
      <c r="H43">
        <v>1</v>
      </c>
      <c r="I43">
        <v>1</v>
      </c>
      <c r="J43">
        <v>1</v>
      </c>
      <c r="K43">
        <v>1</v>
      </c>
      <c r="L43">
        <v>1</v>
      </c>
      <c r="M43">
        <v>1</v>
      </c>
      <c r="N43">
        <v>1</v>
      </c>
      <c r="O43">
        <v>1</v>
      </c>
      <c r="P43">
        <v>1</v>
      </c>
      <c r="Q43">
        <v>1</v>
      </c>
      <c r="R43">
        <v>1</v>
      </c>
      <c r="S43">
        <v>1</v>
      </c>
      <c r="T43">
        <v>1</v>
      </c>
      <c r="U43">
        <v>1</v>
      </c>
      <c r="V43">
        <v>1</v>
      </c>
      <c r="W43">
        <v>1</v>
      </c>
      <c r="X43">
        <v>1</v>
      </c>
      <c r="Y43">
        <v>1</v>
      </c>
      <c r="Z43">
        <v>1</v>
      </c>
      <c r="AA43">
        <v>1</v>
      </c>
      <c r="AB43">
        <v>1</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111"/>
  <sheetViews>
    <sheetView workbookViewId="0">
      <pane xSplit="1" topLeftCell="B1" activePane="topRight" state="frozen"/>
      <selection pane="topRight"/>
    </sheetView>
  </sheetViews>
  <sheetFormatPr defaultRowHeight="15" x14ac:dyDescent="0.25"/>
  <cols>
    <col min="1" max="1" width="30" customWidth="1"/>
  </cols>
  <sheetData>
    <row r="1" spans="1:25" x14ac:dyDescent="0.25">
      <c r="A1" s="1" t="s">
        <v>293</v>
      </c>
    </row>
    <row r="2" spans="1:25" ht="163.5" x14ac:dyDescent="0.25">
      <c r="A2" s="7" t="s">
        <v>109</v>
      </c>
      <c r="B2" s="9" t="s">
        <v>81</v>
      </c>
      <c r="C2" s="9" t="s">
        <v>83</v>
      </c>
      <c r="D2" s="9" t="s">
        <v>84</v>
      </c>
      <c r="E2" s="9" t="s">
        <v>85</v>
      </c>
      <c r="F2" s="9" t="s">
        <v>86</v>
      </c>
      <c r="G2" s="9" t="s">
        <v>87</v>
      </c>
      <c r="H2" s="9" t="s">
        <v>88</v>
      </c>
      <c r="I2" s="9" t="s">
        <v>89</v>
      </c>
      <c r="J2" s="9" t="s">
        <v>90</v>
      </c>
      <c r="K2" s="9" t="s">
        <v>91</v>
      </c>
      <c r="L2" s="9" t="s">
        <v>92</v>
      </c>
      <c r="M2" s="9" t="s">
        <v>93</v>
      </c>
      <c r="N2" s="9" t="s">
        <v>94</v>
      </c>
      <c r="O2" s="9" t="s">
        <v>95</v>
      </c>
      <c r="P2" s="9" t="s">
        <v>96</v>
      </c>
      <c r="Q2" s="9" t="s">
        <v>97</v>
      </c>
      <c r="R2" s="9" t="s">
        <v>98</v>
      </c>
      <c r="S2" s="9" t="s">
        <v>99</v>
      </c>
      <c r="T2" s="9" t="s">
        <v>100</v>
      </c>
      <c r="U2" s="9" t="s">
        <v>101</v>
      </c>
      <c r="V2" s="9" t="s">
        <v>102</v>
      </c>
      <c r="W2" s="9" t="s">
        <v>103</v>
      </c>
      <c r="X2" s="9" t="s">
        <v>104</v>
      </c>
      <c r="Y2" s="9" t="s">
        <v>105</v>
      </c>
    </row>
    <row r="3" spans="1:25" x14ac:dyDescent="0.25">
      <c r="A3" s="11" t="s">
        <v>294</v>
      </c>
      <c r="B3" s="11" t="str">
        <f t="shared" ref="B3:Y3" si="0">LOWER(B$2)</f>
        <v>hard coal</v>
      </c>
      <c r="C3" s="11" t="str">
        <f t="shared" si="0"/>
        <v>natural gas steam turbine</v>
      </c>
      <c r="D3" s="11" t="str">
        <f t="shared" si="0"/>
        <v>natural gas combined cycle</v>
      </c>
      <c r="E3" s="11" t="str">
        <f t="shared" si="0"/>
        <v>nuclear</v>
      </c>
      <c r="F3" s="11" t="str">
        <f t="shared" si="0"/>
        <v>hydro</v>
      </c>
      <c r="G3" s="11" t="str">
        <f t="shared" si="0"/>
        <v>onshore wind</v>
      </c>
      <c r="H3" s="11" t="str">
        <f t="shared" si="0"/>
        <v>solar pv</v>
      </c>
      <c r="I3" s="11" t="str">
        <f t="shared" si="0"/>
        <v>solar thermal</v>
      </c>
      <c r="J3" s="11" t="str">
        <f t="shared" si="0"/>
        <v>biomass</v>
      </c>
      <c r="K3" s="11" t="str">
        <f t="shared" si="0"/>
        <v>geothermal</v>
      </c>
      <c r="L3" s="11" t="str">
        <f t="shared" si="0"/>
        <v>petroleum</v>
      </c>
      <c r="M3" s="11" t="str">
        <f t="shared" si="0"/>
        <v>natural gas peaker</v>
      </c>
      <c r="N3" s="11" t="str">
        <f t="shared" si="0"/>
        <v>lignite</v>
      </c>
      <c r="O3" s="11" t="str">
        <f t="shared" si="0"/>
        <v>offshore wind</v>
      </c>
      <c r="P3" s="11" t="str">
        <f t="shared" si="0"/>
        <v>crude oil</v>
      </c>
      <c r="Q3" s="11" t="str">
        <f t="shared" si="0"/>
        <v>heavy or residual fuel oil</v>
      </c>
      <c r="R3" s="11" t="str">
        <f t="shared" si="0"/>
        <v>municipal solid waste</v>
      </c>
      <c r="S3" s="11" t="str">
        <f t="shared" si="0"/>
        <v>hard coal w ccs</v>
      </c>
      <c r="T3" s="11" t="str">
        <f t="shared" si="0"/>
        <v>natural gas combined cycle w ccs</v>
      </c>
      <c r="U3" s="11" t="str">
        <f t="shared" si="0"/>
        <v>biomass w ccs</v>
      </c>
      <c r="V3" s="11" t="str">
        <f t="shared" si="0"/>
        <v>lignite w ccs</v>
      </c>
      <c r="W3" s="11" t="str">
        <f t="shared" si="0"/>
        <v>small modular reactor</v>
      </c>
      <c r="X3" s="11" t="str">
        <f t="shared" si="0"/>
        <v>hydrogen combustion turbine</v>
      </c>
      <c r="Y3" s="11" t="str">
        <f t="shared" si="0"/>
        <v>hydrogen combined cycle</v>
      </c>
    </row>
    <row r="4" spans="1:25" x14ac:dyDescent="0.25">
      <c r="A4" s="1" t="s">
        <v>110</v>
      </c>
      <c r="D4">
        <f>_xlfn.MAXIFS(EIA860_additions!$D$2:$D$3563,EIA860_additions!$A$2:$A$3563,$A4,EIA860_additions!$F$2:$F$3563,D$3)</f>
        <v>3221.6</v>
      </c>
      <c r="G4">
        <f>_xlfn.MAXIFS(EIA860_additions!$D$2:$D$3563,EIA860_additions!$A$2:$A$3563,$A4,EIA860_additions!$F$2:$F$3563,G$3)</f>
        <v>0</v>
      </c>
      <c r="H4">
        <f>_xlfn.MAXIFS(EIA860_additions!$D$2:$D$3563,EIA860_additions!$A$2:$A$3563,$A4,EIA860_additions!$F$2:$F$3563,H$3)</f>
        <v>227</v>
      </c>
      <c r="M4">
        <f>_xlfn.MAXIFS(EIA860_additions!$D$2:$D$3563,EIA860_additions!$A$2:$A$3563,$A4,EIA860_additions!$F$2:$F$3563,M$3)</f>
        <v>704</v>
      </c>
    </row>
    <row r="5" spans="1:25" x14ac:dyDescent="0.25">
      <c r="A5" s="1" t="s">
        <v>112</v>
      </c>
      <c r="D5">
        <f>_xlfn.MAXIFS(EIA860_additions!$D$2:$D$3563,EIA860_additions!$A$2:$A$3563,$A5,EIA860_additions!$F$2:$F$3563,D$3)</f>
        <v>3456.6</v>
      </c>
      <c r="G5">
        <f>_xlfn.MAXIFS(EIA860_additions!$D$2:$D$3563,EIA860_additions!$A$2:$A$3563,$A5,EIA860_additions!$F$2:$F$3563,G$3)</f>
        <v>135</v>
      </c>
      <c r="H5">
        <f>_xlfn.MAXIFS(EIA860_additions!$D$2:$D$3563,EIA860_additions!$A$2:$A$3563,$A5,EIA860_additions!$F$2:$F$3563,H$3)</f>
        <v>945.66</v>
      </c>
      <c r="M5">
        <f>_xlfn.MAXIFS(EIA860_additions!$D$2:$D$3563,EIA860_additions!$A$2:$A$3563,$A5,EIA860_additions!$F$2:$F$3563,M$3)</f>
        <v>340</v>
      </c>
    </row>
    <row r="6" spans="1:25" x14ac:dyDescent="0.25">
      <c r="A6" s="1" t="s">
        <v>114</v>
      </c>
      <c r="D6">
        <f>_xlfn.MAXIFS(EIA860_additions!$D$2:$D$3563,EIA860_additions!$A$2:$A$3563,$A6,EIA860_additions!$F$2:$F$3563,D$3)</f>
        <v>3996</v>
      </c>
      <c r="G6">
        <f>_xlfn.MAXIFS(EIA860_additions!$D$2:$D$3563,EIA860_additions!$A$2:$A$3563,$A6,EIA860_additions!$F$2:$F$3563,G$3)</f>
        <v>379</v>
      </c>
      <c r="H6">
        <f>_xlfn.MAXIFS(EIA860_additions!$D$2:$D$3563,EIA860_additions!$A$2:$A$3563,$A6,EIA860_additions!$F$2:$F$3563,H$3)</f>
        <v>1532.3</v>
      </c>
      <c r="M6">
        <f>_xlfn.MAXIFS(EIA860_additions!$D$2:$D$3563,EIA860_additions!$A$2:$A$3563,$A6,EIA860_additions!$F$2:$F$3563,M$3)</f>
        <v>613.9</v>
      </c>
    </row>
    <row r="7" spans="1:25" x14ac:dyDescent="0.25">
      <c r="A7" s="1" t="s">
        <v>116</v>
      </c>
      <c r="D7">
        <f>_xlfn.MAXIFS(EIA860_additions!$D$2:$D$3563,EIA860_additions!$A$2:$A$3563,$A7,EIA860_additions!$F$2:$F$3563,D$3)</f>
        <v>4152.2</v>
      </c>
      <c r="G7">
        <f>_xlfn.MAXIFS(EIA860_additions!$D$2:$D$3563,EIA860_additions!$A$2:$A$3563,$A7,EIA860_additions!$F$2:$F$3563,G$3)</f>
        <v>1954.5</v>
      </c>
      <c r="H7">
        <f>_xlfn.MAXIFS(EIA860_additions!$D$2:$D$3563,EIA860_additions!$A$2:$A$3563,$A7,EIA860_additions!$F$2:$F$3563,H$3)</f>
        <v>2765.5</v>
      </c>
      <c r="M7">
        <f>_xlfn.MAXIFS(EIA860_additions!$D$2:$D$3563,EIA860_additions!$A$2:$A$3563,$A7,EIA860_additions!$F$2:$F$3563,M$3)</f>
        <v>2737.4</v>
      </c>
    </row>
    <row r="8" spans="1:25" x14ac:dyDescent="0.25">
      <c r="A8" s="1" t="s">
        <v>118</v>
      </c>
      <c r="D8">
        <f>_xlfn.MAXIFS(EIA860_additions!$D$2:$D$3563,EIA860_additions!$A$2:$A$3563,$A8,EIA860_additions!$F$2:$F$3563,D$3)</f>
        <v>682.4</v>
      </c>
      <c r="G8">
        <f>_xlfn.MAXIFS(EIA860_additions!$D$2:$D$3563,EIA860_additions!$A$2:$A$3563,$A8,EIA860_additions!$F$2:$F$3563,G$3)</f>
        <v>969.1</v>
      </c>
      <c r="H8">
        <f>_xlfn.MAXIFS(EIA860_additions!$D$2:$D$3563,EIA860_additions!$A$2:$A$3563,$A8,EIA860_additions!$F$2:$F$3563,H$3)</f>
        <v>888.12</v>
      </c>
      <c r="M8">
        <f>_xlfn.MAXIFS(EIA860_additions!$D$2:$D$3563,EIA860_additions!$A$2:$A$3563,$A8,EIA860_additions!$F$2:$F$3563,M$3)</f>
        <v>573.4</v>
      </c>
    </row>
    <row r="9" spans="1:25" x14ac:dyDescent="0.25">
      <c r="A9" s="1" t="s">
        <v>120</v>
      </c>
      <c r="D9">
        <f>_xlfn.MAXIFS(EIA860_additions!$D$2:$D$3563,EIA860_additions!$A$2:$A$3563,$A9,EIA860_additions!$F$2:$F$3563,D$3)</f>
        <v>828.8</v>
      </c>
      <c r="G9">
        <f>_xlfn.MAXIFS(EIA860_additions!$D$2:$D$3563,EIA860_additions!$A$2:$A$3563,$A9,EIA860_additions!$F$2:$F$3563,G$3)</f>
        <v>5</v>
      </c>
      <c r="H9">
        <f>_xlfn.MAXIFS(EIA860_additions!$D$2:$D$3563,EIA860_additions!$A$2:$A$3563,$A9,EIA860_additions!$F$2:$F$3563,H$3)</f>
        <v>167.9</v>
      </c>
      <c r="M9">
        <f>_xlfn.MAXIFS(EIA860_additions!$D$2:$D$3563,EIA860_additions!$A$2:$A$3563,$A9,EIA860_additions!$F$2:$F$3563,M$3)</f>
        <v>227.84</v>
      </c>
    </row>
    <row r="10" spans="1:25" x14ac:dyDescent="0.25">
      <c r="A10" s="1" t="s">
        <v>122</v>
      </c>
      <c r="D10">
        <f>_xlfn.MAXIFS(EIA860_additions!$D$2:$D$3563,EIA860_additions!$A$2:$A$3563,$A10,EIA860_additions!$F$2:$F$3563,D$3)</f>
        <v>416</v>
      </c>
      <c r="G10">
        <f>_xlfn.MAXIFS(EIA860_additions!$D$2:$D$3563,EIA860_additions!$A$2:$A$3563,$A10,EIA860_additions!$F$2:$F$3563,G$3)</f>
        <v>2</v>
      </c>
      <c r="H10">
        <f>_xlfn.MAXIFS(EIA860_additions!$D$2:$D$3563,EIA860_additions!$A$2:$A$3563,$A10,EIA860_additions!$F$2:$F$3563,H$3)</f>
        <v>51.5</v>
      </c>
      <c r="M10">
        <f>_xlfn.MAXIFS(EIA860_additions!$D$2:$D$3563,EIA860_additions!$A$2:$A$3563,$A10,EIA860_additions!$F$2:$F$3563,M$3)</f>
        <v>130</v>
      </c>
    </row>
    <row r="11" spans="1:25" x14ac:dyDescent="0.25">
      <c r="A11" s="1" t="s">
        <v>124</v>
      </c>
      <c r="D11">
        <f>_xlfn.MAXIFS(EIA860_additions!$D$2:$D$3563,EIA860_additions!$A$2:$A$3563,$A11,EIA860_additions!$F$2:$F$3563,D$3)</f>
        <v>3684</v>
      </c>
      <c r="G11">
        <f>_xlfn.MAXIFS(EIA860_additions!$D$2:$D$3563,EIA860_additions!$A$2:$A$3563,$A11,EIA860_additions!$F$2:$F$3563,G$3)</f>
        <v>0</v>
      </c>
      <c r="H11">
        <f>_xlfn.MAXIFS(EIA860_additions!$D$2:$D$3563,EIA860_additions!$A$2:$A$3563,$A11,EIA860_additions!$F$2:$F$3563,H$3)</f>
        <v>3154</v>
      </c>
      <c r="M11">
        <f>_xlfn.MAXIFS(EIA860_additions!$D$2:$D$3563,EIA860_additions!$A$2:$A$3563,$A11,EIA860_additions!$F$2:$F$3563,M$3)</f>
        <v>1934.65</v>
      </c>
    </row>
    <row r="12" spans="1:25" x14ac:dyDescent="0.25">
      <c r="A12" s="1" t="s">
        <v>126</v>
      </c>
      <c r="D12">
        <f>_xlfn.MAXIFS(EIA860_additions!$D$2:$D$3563,EIA860_additions!$A$2:$A$3563,$A12,EIA860_additions!$F$2:$F$3563,D$3)</f>
        <v>2537.8000000000002</v>
      </c>
      <c r="G12">
        <f>_xlfn.MAXIFS(EIA860_additions!$D$2:$D$3563,EIA860_additions!$A$2:$A$3563,$A12,EIA860_additions!$F$2:$F$3563,G$3)</f>
        <v>0</v>
      </c>
      <c r="H12">
        <f>_xlfn.MAXIFS(EIA860_additions!$D$2:$D$3563,EIA860_additions!$A$2:$A$3563,$A12,EIA860_additions!$F$2:$F$3563,H$3)</f>
        <v>870.1</v>
      </c>
      <c r="M12">
        <f>_xlfn.MAXIFS(EIA860_additions!$D$2:$D$3563,EIA860_additions!$A$2:$A$3563,$A12,EIA860_additions!$F$2:$F$3563,M$3)</f>
        <v>2284.6</v>
      </c>
    </row>
    <row r="13" spans="1:25" x14ac:dyDescent="0.25">
      <c r="A13" s="1" t="s">
        <v>128</v>
      </c>
      <c r="D13">
        <f>_xlfn.MAXIFS(EIA860_additions!$D$2:$D$3563,EIA860_additions!$A$2:$A$3563,$A13,EIA860_additions!$F$2:$F$3563,D$3)</f>
        <v>768.4</v>
      </c>
      <c r="G13">
        <f>_xlfn.MAXIFS(EIA860_additions!$D$2:$D$3563,EIA860_additions!$A$2:$A$3563,$A13,EIA860_additions!$F$2:$F$3563,G$3)</f>
        <v>1495.9</v>
      </c>
      <c r="H13">
        <f>_xlfn.MAXIFS(EIA860_additions!$D$2:$D$3563,EIA860_additions!$A$2:$A$3563,$A13,EIA860_additions!$F$2:$F$3563,H$3)</f>
        <v>416.7</v>
      </c>
      <c r="M13">
        <f>_xlfn.MAXIFS(EIA860_additions!$D$2:$D$3563,EIA860_additions!$A$2:$A$3563,$A13,EIA860_additions!$F$2:$F$3563,M$3)</f>
        <v>180.5</v>
      </c>
    </row>
    <row r="14" spans="1:25" x14ac:dyDescent="0.25">
      <c r="A14" s="1" t="s">
        <v>130</v>
      </c>
      <c r="D14">
        <f>_xlfn.MAXIFS(EIA860_additions!$D$2:$D$3563,EIA860_additions!$A$2:$A$3563,$A14,EIA860_additions!$F$2:$F$3563,D$3)</f>
        <v>303.32</v>
      </c>
      <c r="G14">
        <f>_xlfn.MAXIFS(EIA860_additions!$D$2:$D$3563,EIA860_additions!$A$2:$A$3563,$A14,EIA860_additions!$F$2:$F$3563,G$3)</f>
        <v>351.3</v>
      </c>
      <c r="H14">
        <f>_xlfn.MAXIFS(EIA860_additions!$D$2:$D$3563,EIA860_additions!$A$2:$A$3563,$A14,EIA860_additions!$F$2:$F$3563,H$3)</f>
        <v>200</v>
      </c>
      <c r="M14">
        <f>_xlfn.MAXIFS(EIA860_additions!$D$2:$D$3563,EIA860_additions!$A$2:$A$3563,$A14,EIA860_additions!$F$2:$F$3563,M$3)</f>
        <v>185.12</v>
      </c>
    </row>
    <row r="15" spans="1:25" x14ac:dyDescent="0.25">
      <c r="A15" s="1" t="s">
        <v>132</v>
      </c>
      <c r="D15">
        <f>_xlfn.MAXIFS(EIA860_additions!$D$2:$D$3563,EIA860_additions!$A$2:$A$3563,$A15,EIA860_additions!$F$2:$F$3563,D$3)</f>
        <v>1742.2</v>
      </c>
      <c r="G15">
        <f>_xlfn.MAXIFS(EIA860_additions!$D$2:$D$3563,EIA860_additions!$A$2:$A$3563,$A15,EIA860_additions!$F$2:$F$3563,G$3)</f>
        <v>1098</v>
      </c>
      <c r="H15">
        <f>_xlfn.MAXIFS(EIA860_additions!$D$2:$D$3563,EIA860_additions!$A$2:$A$3563,$A15,EIA860_additions!$F$2:$F$3563,H$3)</f>
        <v>1746</v>
      </c>
      <c r="M15">
        <f>_xlfn.MAXIFS(EIA860_additions!$D$2:$D$3563,EIA860_additions!$A$2:$A$3563,$A15,EIA860_additions!$F$2:$F$3563,M$3)</f>
        <v>3017.6</v>
      </c>
    </row>
    <row r="16" spans="1:25" x14ac:dyDescent="0.25">
      <c r="A16" s="1" t="s">
        <v>134</v>
      </c>
      <c r="D16">
        <f>_xlfn.MAXIFS(EIA860_additions!$D$2:$D$3563,EIA860_additions!$A$2:$A$3563,$A16,EIA860_additions!$F$2:$F$3563,D$3)</f>
        <v>1388</v>
      </c>
      <c r="G16">
        <f>_xlfn.MAXIFS(EIA860_additions!$D$2:$D$3563,EIA860_additions!$A$2:$A$3563,$A16,EIA860_additions!$F$2:$F$3563,G$3)</f>
        <v>806</v>
      </c>
      <c r="H16">
        <f>_xlfn.MAXIFS(EIA860_additions!$D$2:$D$3563,EIA860_additions!$A$2:$A$3563,$A16,EIA860_additions!$F$2:$F$3563,H$3)</f>
        <v>2102.1999999999998</v>
      </c>
      <c r="M16">
        <f>_xlfn.MAXIFS(EIA860_additions!$D$2:$D$3563,EIA860_additions!$A$2:$A$3563,$A16,EIA860_additions!$F$2:$F$3563,M$3)</f>
        <v>1424.7</v>
      </c>
    </row>
    <row r="17" spans="1:13" x14ac:dyDescent="0.25">
      <c r="A17" s="1" t="s">
        <v>136</v>
      </c>
      <c r="D17">
        <f>_xlfn.MAXIFS(EIA860_additions!$D$2:$D$3563,EIA860_additions!$A$2:$A$3563,$A17,EIA860_additions!$F$2:$F$3563,D$3)</f>
        <v>144.1</v>
      </c>
      <c r="G17">
        <f>_xlfn.MAXIFS(EIA860_additions!$D$2:$D$3563,EIA860_additions!$A$2:$A$3563,$A17,EIA860_additions!$F$2:$F$3563,G$3)</f>
        <v>1646.8</v>
      </c>
      <c r="H17">
        <f>_xlfn.MAXIFS(EIA860_additions!$D$2:$D$3563,EIA860_additions!$A$2:$A$3563,$A17,EIA860_additions!$F$2:$F$3563,H$3)</f>
        <v>212.1</v>
      </c>
      <c r="M17">
        <f>_xlfn.MAXIFS(EIA860_additions!$D$2:$D$3563,EIA860_additions!$A$2:$A$3563,$A17,EIA860_additions!$F$2:$F$3563,M$3)</f>
        <v>419.2</v>
      </c>
    </row>
    <row r="18" spans="1:13" x14ac:dyDescent="0.25">
      <c r="A18" s="1" t="s">
        <v>138</v>
      </c>
      <c r="D18">
        <f>_xlfn.MAXIFS(EIA860_additions!$D$2:$D$3563,EIA860_additions!$A$2:$A$3563,$A18,EIA860_additions!$F$2:$F$3563,D$3)</f>
        <v>1100</v>
      </c>
      <c r="G18">
        <f>_xlfn.MAXIFS(EIA860_additions!$D$2:$D$3563,EIA860_additions!$A$2:$A$3563,$A18,EIA860_additions!$F$2:$F$3563,G$3)</f>
        <v>0</v>
      </c>
      <c r="H18">
        <f>_xlfn.MAXIFS(EIA860_additions!$D$2:$D$3563,EIA860_additions!$A$2:$A$3563,$A18,EIA860_additions!$F$2:$F$3563,H$3)</f>
        <v>710</v>
      </c>
      <c r="M18">
        <f>_xlfn.MAXIFS(EIA860_additions!$D$2:$D$3563,EIA860_additions!$A$2:$A$3563,$A18,EIA860_additions!$F$2:$F$3563,M$3)</f>
        <v>1724.6</v>
      </c>
    </row>
    <row r="19" spans="1:13" x14ac:dyDescent="0.25">
      <c r="A19" s="1" t="s">
        <v>140</v>
      </c>
      <c r="D19">
        <f>_xlfn.MAXIFS(EIA860_additions!$D$2:$D$3563,EIA860_additions!$A$2:$A$3563,$A19,EIA860_additions!$F$2:$F$3563,D$3)</f>
        <v>4506.8</v>
      </c>
      <c r="G19">
        <f>_xlfn.MAXIFS(EIA860_additions!$D$2:$D$3563,EIA860_additions!$A$2:$A$3563,$A19,EIA860_additions!$F$2:$F$3563,G$3)</f>
        <v>0</v>
      </c>
      <c r="H19">
        <f>_xlfn.MAXIFS(EIA860_additions!$D$2:$D$3563,EIA860_additions!$A$2:$A$3563,$A19,EIA860_additions!$F$2:$F$3563,H$3)</f>
        <v>708.1</v>
      </c>
      <c r="M19">
        <f>_xlfn.MAXIFS(EIA860_additions!$D$2:$D$3563,EIA860_additions!$A$2:$A$3563,$A19,EIA860_additions!$F$2:$F$3563,M$3)</f>
        <v>511.1</v>
      </c>
    </row>
    <row r="20" spans="1:13" x14ac:dyDescent="0.25">
      <c r="A20" s="1" t="s">
        <v>142</v>
      </c>
      <c r="D20">
        <f>_xlfn.MAXIFS(EIA860_additions!$D$2:$D$3563,EIA860_additions!$A$2:$A$3563,$A20,EIA860_additions!$F$2:$F$3563,D$3)</f>
        <v>1156.4000000000001</v>
      </c>
      <c r="G20">
        <f>_xlfn.MAXIFS(EIA860_additions!$D$2:$D$3563,EIA860_additions!$A$2:$A$3563,$A20,EIA860_additions!$F$2:$F$3563,G$3)</f>
        <v>40.5</v>
      </c>
      <c r="H20">
        <f>_xlfn.MAXIFS(EIA860_additions!$D$2:$D$3563,EIA860_additions!$A$2:$A$3563,$A20,EIA860_additions!$F$2:$F$3563,H$3)</f>
        <v>219.1</v>
      </c>
      <c r="M20">
        <f>_xlfn.MAXIFS(EIA860_additions!$D$2:$D$3563,EIA860_additions!$A$2:$A$3563,$A20,EIA860_additions!$F$2:$F$3563,M$3)</f>
        <v>195.2</v>
      </c>
    </row>
    <row r="21" spans="1:13" x14ac:dyDescent="0.25">
      <c r="A21" s="1" t="s">
        <v>144</v>
      </c>
      <c r="D21">
        <f>_xlfn.MAXIFS(EIA860_additions!$D$2:$D$3563,EIA860_additions!$A$2:$A$3563,$A21,EIA860_additions!$F$2:$F$3563,D$3)</f>
        <v>2228.4</v>
      </c>
      <c r="G21">
        <f>_xlfn.MAXIFS(EIA860_additions!$D$2:$D$3563,EIA860_additions!$A$2:$A$3563,$A21,EIA860_additions!$F$2:$F$3563,G$3)</f>
        <v>70</v>
      </c>
      <c r="H21">
        <f>_xlfn.MAXIFS(EIA860_additions!$D$2:$D$3563,EIA860_additions!$A$2:$A$3563,$A21,EIA860_additions!$F$2:$F$3563,H$3)</f>
        <v>336.5</v>
      </c>
      <c r="M21">
        <f>_xlfn.MAXIFS(EIA860_additions!$D$2:$D$3563,EIA860_additions!$A$2:$A$3563,$A21,EIA860_additions!$F$2:$F$3563,M$3)</f>
        <v>695.4</v>
      </c>
    </row>
    <row r="22" spans="1:13" x14ac:dyDescent="0.25">
      <c r="A22" s="1" t="s">
        <v>146</v>
      </c>
      <c r="D22">
        <f>_xlfn.MAXIFS(EIA860_additions!$D$2:$D$3563,EIA860_additions!$A$2:$A$3563,$A22,EIA860_additions!$F$2:$F$3563,D$3)</f>
        <v>751.4</v>
      </c>
      <c r="G22">
        <f>_xlfn.MAXIFS(EIA860_additions!$D$2:$D$3563,EIA860_additions!$A$2:$A$3563,$A22,EIA860_additions!$F$2:$F$3563,G$3)</f>
        <v>286</v>
      </c>
      <c r="H22">
        <f>_xlfn.MAXIFS(EIA860_additions!$D$2:$D$3563,EIA860_additions!$A$2:$A$3563,$A22,EIA860_additions!$F$2:$F$3563,H$3)</f>
        <v>313.05</v>
      </c>
      <c r="M22">
        <f>_xlfn.MAXIFS(EIA860_additions!$D$2:$D$3563,EIA860_additions!$A$2:$A$3563,$A22,EIA860_additions!$F$2:$F$3563,M$3)</f>
        <v>178</v>
      </c>
    </row>
    <row r="23" spans="1:13" x14ac:dyDescent="0.25">
      <c r="A23" s="1" t="s">
        <v>148</v>
      </c>
      <c r="D23">
        <f>_xlfn.MAXIFS(EIA860_additions!$D$2:$D$3563,EIA860_additions!$A$2:$A$3563,$A23,EIA860_additions!$F$2:$F$3563,D$3)</f>
        <v>2420.6</v>
      </c>
      <c r="G23">
        <f>_xlfn.MAXIFS(EIA860_additions!$D$2:$D$3563,EIA860_additions!$A$2:$A$3563,$A23,EIA860_additions!$F$2:$F$3563,G$3)</f>
        <v>610.20000000000005</v>
      </c>
      <c r="H23">
        <f>_xlfn.MAXIFS(EIA860_additions!$D$2:$D$3563,EIA860_additions!$A$2:$A$3563,$A23,EIA860_additions!$F$2:$F$3563,H$3)</f>
        <v>807.8</v>
      </c>
      <c r="M23">
        <f>_xlfn.MAXIFS(EIA860_additions!$D$2:$D$3563,EIA860_additions!$A$2:$A$3563,$A23,EIA860_additions!$F$2:$F$3563,M$3)</f>
        <v>1313.8</v>
      </c>
    </row>
    <row r="24" spans="1:13" x14ac:dyDescent="0.25">
      <c r="A24" s="1" t="s">
        <v>149</v>
      </c>
      <c r="D24">
        <f>_xlfn.MAXIFS(EIA860_additions!$D$2:$D$3563,EIA860_additions!$A$2:$A$3563,$A24,EIA860_additions!$F$2:$F$3563,D$3)</f>
        <v>530</v>
      </c>
      <c r="G24">
        <f>_xlfn.MAXIFS(EIA860_additions!$D$2:$D$3563,EIA860_additions!$A$2:$A$3563,$A24,EIA860_additions!$F$2:$F$3563,G$3)</f>
        <v>566.1</v>
      </c>
      <c r="H24">
        <f>_xlfn.MAXIFS(EIA860_additions!$D$2:$D$3563,EIA860_additions!$A$2:$A$3563,$A24,EIA860_additions!$F$2:$F$3563,H$3)</f>
        <v>351.38</v>
      </c>
      <c r="M24">
        <f>_xlfn.MAXIFS(EIA860_additions!$D$2:$D$3563,EIA860_additions!$A$2:$A$3563,$A24,EIA860_additions!$F$2:$F$3563,M$3)</f>
        <v>863</v>
      </c>
    </row>
    <row r="25" spans="1:13" x14ac:dyDescent="0.25">
      <c r="A25" s="1" t="s">
        <v>151</v>
      </c>
      <c r="D25">
        <f>_xlfn.MAXIFS(EIA860_additions!$D$2:$D$3563,EIA860_additions!$A$2:$A$3563,$A25,EIA860_additions!$F$2:$F$3563,D$3)</f>
        <v>1001.7</v>
      </c>
      <c r="G25">
        <f>_xlfn.MAXIFS(EIA860_additions!$D$2:$D$3563,EIA860_additions!$A$2:$A$3563,$A25,EIA860_additions!$F$2:$F$3563,G$3)</f>
        <v>999.5</v>
      </c>
      <c r="H25">
        <f>_xlfn.MAXIFS(EIA860_additions!$D$2:$D$3563,EIA860_additions!$A$2:$A$3563,$A25,EIA860_additions!$F$2:$F$3563,H$3)</f>
        <v>866.9</v>
      </c>
      <c r="M25">
        <f>_xlfn.MAXIFS(EIA860_additions!$D$2:$D$3563,EIA860_additions!$A$2:$A$3563,$A25,EIA860_additions!$F$2:$F$3563,M$3)</f>
        <v>751.4</v>
      </c>
    </row>
    <row r="26" spans="1:13" x14ac:dyDescent="0.25">
      <c r="A26" s="1" t="s">
        <v>153</v>
      </c>
      <c r="D26">
        <f>_xlfn.MAXIFS(EIA860_additions!$D$2:$D$3563,EIA860_additions!$A$2:$A$3563,$A26,EIA860_additions!$F$2:$F$3563,D$3)</f>
        <v>3527.2</v>
      </c>
      <c r="G26">
        <f>_xlfn.MAXIFS(EIA860_additions!$D$2:$D$3563,EIA860_additions!$A$2:$A$3563,$A26,EIA860_additions!$F$2:$F$3563,G$3)</f>
        <v>184.5</v>
      </c>
      <c r="H26">
        <f>_xlfn.MAXIFS(EIA860_additions!$D$2:$D$3563,EIA860_additions!$A$2:$A$3563,$A26,EIA860_additions!$F$2:$F$3563,H$3)</f>
        <v>794.1</v>
      </c>
      <c r="M26">
        <f>_xlfn.MAXIFS(EIA860_additions!$D$2:$D$3563,EIA860_additions!$A$2:$A$3563,$A26,EIA860_additions!$F$2:$F$3563,M$3)</f>
        <v>601.20000000000005</v>
      </c>
    </row>
    <row r="27" spans="1:13" x14ac:dyDescent="0.25">
      <c r="A27" s="1" t="s">
        <v>155</v>
      </c>
      <c r="D27">
        <f>_xlfn.MAXIFS(EIA860_additions!$D$2:$D$3563,EIA860_additions!$A$2:$A$3563,$A27,EIA860_additions!$F$2:$F$3563,D$3)</f>
        <v>0</v>
      </c>
      <c r="G27">
        <f>_xlfn.MAXIFS(EIA860_additions!$D$2:$D$3563,EIA860_additions!$A$2:$A$3563,$A27,EIA860_additions!$F$2:$F$3563,G$3)</f>
        <v>365.5</v>
      </c>
      <c r="H27">
        <f>_xlfn.MAXIFS(EIA860_additions!$D$2:$D$3563,EIA860_additions!$A$2:$A$3563,$A27,EIA860_additions!$F$2:$F$3563,H$3)</f>
        <v>160</v>
      </c>
      <c r="M27">
        <f>_xlfn.MAXIFS(EIA860_additions!$D$2:$D$3563,EIA860_additions!$A$2:$A$3563,$A27,EIA860_additions!$F$2:$F$3563,M$3)</f>
        <v>165.6</v>
      </c>
    </row>
    <row r="28" spans="1:13" x14ac:dyDescent="0.25">
      <c r="A28" s="1" t="s">
        <v>157</v>
      </c>
      <c r="D28">
        <f>_xlfn.MAXIFS(EIA860_additions!$D$2:$D$3563,EIA860_additions!$A$2:$A$3563,$A28,EIA860_additions!$F$2:$F$3563,D$3)</f>
        <v>1554</v>
      </c>
      <c r="G28">
        <f>_xlfn.MAXIFS(EIA860_additions!$D$2:$D$3563,EIA860_additions!$A$2:$A$3563,$A28,EIA860_additions!$F$2:$F$3563,G$3)</f>
        <v>208</v>
      </c>
      <c r="H28">
        <f>_xlfn.MAXIFS(EIA860_additions!$D$2:$D$3563,EIA860_additions!$A$2:$A$3563,$A28,EIA860_additions!$F$2:$F$3563,H$3)</f>
        <v>994.1</v>
      </c>
      <c r="M28">
        <f>_xlfn.MAXIFS(EIA860_additions!$D$2:$D$3563,EIA860_additions!$A$2:$A$3563,$A28,EIA860_additions!$F$2:$F$3563,M$3)</f>
        <v>1654</v>
      </c>
    </row>
    <row r="29" spans="1:13" x14ac:dyDescent="0.25">
      <c r="A29" s="1" t="s">
        <v>159</v>
      </c>
      <c r="D29">
        <f>_xlfn.MAXIFS(EIA860_additions!$D$2:$D$3563,EIA860_additions!$A$2:$A$3563,$A29,EIA860_additions!$F$2:$F$3563,D$3)</f>
        <v>0</v>
      </c>
      <c r="G29">
        <f>_xlfn.MAXIFS(EIA860_additions!$D$2:$D$3563,EIA860_additions!$A$2:$A$3563,$A29,EIA860_additions!$F$2:$F$3563,G$3)</f>
        <v>604</v>
      </c>
      <c r="H29">
        <f>_xlfn.MAXIFS(EIA860_additions!$D$2:$D$3563,EIA860_additions!$A$2:$A$3563,$A29,EIA860_additions!$F$2:$F$3563,H$3)</f>
        <v>0</v>
      </c>
      <c r="M29">
        <f>_xlfn.MAXIFS(EIA860_additions!$D$2:$D$3563,EIA860_additions!$A$2:$A$3563,$A29,EIA860_additions!$F$2:$F$3563,M$3)</f>
        <v>530.20000000000005</v>
      </c>
    </row>
    <row r="30" spans="1:13" x14ac:dyDescent="0.25">
      <c r="A30" s="1" t="s">
        <v>161</v>
      </c>
      <c r="D30">
        <f>_xlfn.MAXIFS(EIA860_additions!$D$2:$D$3563,EIA860_additions!$A$2:$A$3563,$A30,EIA860_additions!$F$2:$F$3563,D$3)</f>
        <v>219.5</v>
      </c>
      <c r="G30">
        <f>_xlfn.MAXIFS(EIA860_additions!$D$2:$D$3563,EIA860_additions!$A$2:$A$3563,$A30,EIA860_additions!$F$2:$F$3563,G$3)</f>
        <v>603.6</v>
      </c>
      <c r="H30">
        <f>_xlfn.MAXIFS(EIA860_additions!$D$2:$D$3563,EIA860_additions!$A$2:$A$3563,$A30,EIA860_additions!$F$2:$F$3563,H$3)</f>
        <v>90.9</v>
      </c>
      <c r="M30">
        <f>_xlfn.MAXIFS(EIA860_additions!$D$2:$D$3563,EIA860_additions!$A$2:$A$3563,$A30,EIA860_additions!$F$2:$F$3563,M$3)</f>
        <v>593.4</v>
      </c>
    </row>
    <row r="31" spans="1:13" x14ac:dyDescent="0.25">
      <c r="A31" s="1" t="s">
        <v>163</v>
      </c>
      <c r="D31">
        <f>_xlfn.MAXIFS(EIA860_additions!$D$2:$D$3563,EIA860_additions!$A$2:$A$3563,$A31,EIA860_additions!$F$2:$F$3563,D$3)</f>
        <v>668</v>
      </c>
      <c r="G31">
        <f>_xlfn.MAXIFS(EIA860_additions!$D$2:$D$3563,EIA860_additions!$A$2:$A$3563,$A31,EIA860_additions!$F$2:$F$3563,G$3)</f>
        <v>147</v>
      </c>
      <c r="H31">
        <f>_xlfn.MAXIFS(EIA860_additions!$D$2:$D$3563,EIA860_additions!$A$2:$A$3563,$A31,EIA860_additions!$F$2:$F$3563,H$3)</f>
        <v>2.4</v>
      </c>
      <c r="M31">
        <f>_xlfn.MAXIFS(EIA860_additions!$D$2:$D$3563,EIA860_additions!$A$2:$A$3563,$A31,EIA860_additions!$F$2:$F$3563,M$3)</f>
        <v>3.8</v>
      </c>
    </row>
    <row r="32" spans="1:13" x14ac:dyDescent="0.25">
      <c r="A32" s="1" t="s">
        <v>165</v>
      </c>
      <c r="D32">
        <f>_xlfn.MAXIFS(EIA860_additions!$D$2:$D$3563,EIA860_additions!$A$2:$A$3563,$A32,EIA860_additions!$F$2:$F$3563,D$3)</f>
        <v>1534</v>
      </c>
      <c r="G32">
        <f>_xlfn.MAXIFS(EIA860_additions!$D$2:$D$3563,EIA860_additions!$A$2:$A$3563,$A32,EIA860_additions!$F$2:$F$3563,G$3)</f>
        <v>7.5</v>
      </c>
      <c r="H32">
        <f>_xlfn.MAXIFS(EIA860_additions!$D$2:$D$3563,EIA860_additions!$A$2:$A$3563,$A32,EIA860_additions!$F$2:$F$3563,H$3)</f>
        <v>171.44</v>
      </c>
      <c r="M32">
        <f>_xlfn.MAXIFS(EIA860_additions!$D$2:$D$3563,EIA860_additions!$A$2:$A$3563,$A32,EIA860_additions!$F$2:$F$3563,M$3)</f>
        <v>829.5</v>
      </c>
    </row>
    <row r="33" spans="1:13" x14ac:dyDescent="0.25">
      <c r="A33" s="1" t="s">
        <v>167</v>
      </c>
      <c r="D33">
        <f>_xlfn.MAXIFS(EIA860_additions!$D$2:$D$3563,EIA860_additions!$A$2:$A$3563,$A33,EIA860_additions!$F$2:$F$3563,D$3)</f>
        <v>573.79999999999995</v>
      </c>
      <c r="G33">
        <f>_xlfn.MAXIFS(EIA860_additions!$D$2:$D$3563,EIA860_additions!$A$2:$A$3563,$A33,EIA860_additions!$F$2:$F$3563,G$3)</f>
        <v>1708</v>
      </c>
      <c r="H33">
        <f>_xlfn.MAXIFS(EIA860_additions!$D$2:$D$3563,EIA860_additions!$A$2:$A$3563,$A33,EIA860_additions!$F$2:$F$3563,H$3)</f>
        <v>1190</v>
      </c>
      <c r="M33">
        <f>_xlfn.MAXIFS(EIA860_additions!$D$2:$D$3563,EIA860_additions!$A$2:$A$3563,$A33,EIA860_additions!$F$2:$F$3563,M$3)</f>
        <v>207</v>
      </c>
    </row>
    <row r="34" spans="1:13" x14ac:dyDescent="0.25">
      <c r="A34" s="1" t="s">
        <v>169</v>
      </c>
      <c r="D34">
        <f>_xlfn.MAXIFS(EIA860_additions!$D$2:$D$3563,EIA860_additions!$A$2:$A$3563,$A34,EIA860_additions!$F$2:$F$3563,D$3)</f>
        <v>1242</v>
      </c>
      <c r="G34">
        <f>_xlfn.MAXIFS(EIA860_additions!$D$2:$D$3563,EIA860_additions!$A$2:$A$3563,$A34,EIA860_additions!$F$2:$F$3563,G$3)</f>
        <v>150</v>
      </c>
      <c r="H34">
        <f>_xlfn.MAXIFS(EIA860_additions!$D$2:$D$3563,EIA860_additions!$A$2:$A$3563,$A34,EIA860_additions!$F$2:$F$3563,H$3)</f>
        <v>1174.0999999999999</v>
      </c>
      <c r="M34">
        <f>_xlfn.MAXIFS(EIA860_additions!$D$2:$D$3563,EIA860_additions!$A$2:$A$3563,$A34,EIA860_additions!$F$2:$F$3563,M$3)</f>
        <v>624</v>
      </c>
    </row>
    <row r="35" spans="1:13" x14ac:dyDescent="0.25">
      <c r="A35" s="1" t="s">
        <v>171</v>
      </c>
      <c r="D35">
        <f>_xlfn.MAXIFS(EIA860_additions!$D$2:$D$3563,EIA860_additions!$A$2:$A$3563,$A35,EIA860_additions!$F$2:$F$3563,D$3)</f>
        <v>2356.69</v>
      </c>
      <c r="G35">
        <f>_xlfn.MAXIFS(EIA860_additions!$D$2:$D$3563,EIA860_additions!$A$2:$A$3563,$A35,EIA860_additions!$F$2:$F$3563,G$3)</f>
        <v>567</v>
      </c>
      <c r="H35">
        <f>_xlfn.MAXIFS(EIA860_additions!$D$2:$D$3563,EIA860_additions!$A$2:$A$3563,$A35,EIA860_additions!$F$2:$F$3563,H$3)</f>
        <v>952.92</v>
      </c>
      <c r="M35">
        <f>_xlfn.MAXIFS(EIA860_additions!$D$2:$D$3563,EIA860_additions!$A$2:$A$3563,$A35,EIA860_additions!$F$2:$F$3563,M$3)</f>
        <v>496.5</v>
      </c>
    </row>
    <row r="36" spans="1:13" x14ac:dyDescent="0.25">
      <c r="A36" s="1" t="s">
        <v>173</v>
      </c>
      <c r="D36">
        <f>_xlfn.MAXIFS(EIA860_additions!$D$2:$D$3563,EIA860_additions!$A$2:$A$3563,$A36,EIA860_additions!$F$2:$F$3563,D$3)</f>
        <v>2239.6</v>
      </c>
      <c r="G36">
        <f>_xlfn.MAXIFS(EIA860_additions!$D$2:$D$3563,EIA860_additions!$A$2:$A$3563,$A36,EIA860_additions!$F$2:$F$3563,G$3)</f>
        <v>403.5</v>
      </c>
      <c r="H36">
        <f>_xlfn.MAXIFS(EIA860_additions!$D$2:$D$3563,EIA860_additions!$A$2:$A$3563,$A36,EIA860_additions!$F$2:$F$3563,H$3)</f>
        <v>1445.55</v>
      </c>
      <c r="M36">
        <f>_xlfn.MAXIFS(EIA860_additions!$D$2:$D$3563,EIA860_additions!$A$2:$A$3563,$A36,EIA860_additions!$F$2:$F$3563,M$3)</f>
        <v>1639.41</v>
      </c>
    </row>
    <row r="37" spans="1:13" x14ac:dyDescent="0.25">
      <c r="A37" s="1" t="s">
        <v>175</v>
      </c>
      <c r="D37">
        <f>_xlfn.MAXIFS(EIA860_additions!$D$2:$D$3563,EIA860_additions!$A$2:$A$3563,$A37,EIA860_additions!$F$2:$F$3563,D$3)</f>
        <v>2009.6</v>
      </c>
      <c r="G37">
        <f>_xlfn.MAXIFS(EIA860_additions!$D$2:$D$3563,EIA860_additions!$A$2:$A$3563,$A37,EIA860_additions!$F$2:$F$3563,G$3)</f>
        <v>1640.7</v>
      </c>
      <c r="H37">
        <f>_xlfn.MAXIFS(EIA860_additions!$D$2:$D$3563,EIA860_additions!$A$2:$A$3563,$A37,EIA860_additions!$F$2:$F$3563,H$3)</f>
        <v>350</v>
      </c>
      <c r="M37">
        <f>_xlfn.MAXIFS(EIA860_additions!$D$2:$D$3563,EIA860_additions!$A$2:$A$3563,$A37,EIA860_additions!$F$2:$F$3563,M$3)</f>
        <v>474.26</v>
      </c>
    </row>
    <row r="38" spans="1:13" x14ac:dyDescent="0.25">
      <c r="A38" s="1" t="s">
        <v>177</v>
      </c>
      <c r="D38">
        <f>_xlfn.MAXIFS(EIA860_additions!$D$2:$D$3563,EIA860_additions!$A$2:$A$3563,$A38,EIA860_additions!$F$2:$F$3563,D$3)</f>
        <v>629</v>
      </c>
      <c r="G38">
        <f>_xlfn.MAXIFS(EIA860_additions!$D$2:$D$3563,EIA860_additions!$A$2:$A$3563,$A38,EIA860_additions!$F$2:$F$3563,G$3)</f>
        <v>845</v>
      </c>
      <c r="H38">
        <f>_xlfn.MAXIFS(EIA860_additions!$D$2:$D$3563,EIA860_additions!$A$2:$A$3563,$A38,EIA860_additions!$F$2:$F$3563,H$3)</f>
        <v>238.2</v>
      </c>
      <c r="M38">
        <f>_xlfn.MAXIFS(EIA860_additions!$D$2:$D$3563,EIA860_additions!$A$2:$A$3563,$A38,EIA860_additions!$F$2:$F$3563,M$3)</f>
        <v>205.7</v>
      </c>
    </row>
    <row r="39" spans="1:13" x14ac:dyDescent="0.25">
      <c r="A39" s="1" t="s">
        <v>179</v>
      </c>
      <c r="D39">
        <f>_xlfn.MAXIFS(EIA860_additions!$D$2:$D$3563,EIA860_additions!$A$2:$A$3563,$A39,EIA860_additions!$F$2:$F$3563,D$3)</f>
        <v>4439.7</v>
      </c>
      <c r="G39">
        <f>_xlfn.MAXIFS(EIA860_additions!$D$2:$D$3563,EIA860_additions!$A$2:$A$3563,$A39,EIA860_additions!$F$2:$F$3563,G$3)</f>
        <v>552.79999999999995</v>
      </c>
      <c r="H39">
        <f>_xlfn.MAXIFS(EIA860_additions!$D$2:$D$3563,EIA860_additions!$A$2:$A$3563,$A39,EIA860_additions!$F$2:$F$3563,H$3)</f>
        <v>515.6</v>
      </c>
      <c r="M39">
        <f>_xlfn.MAXIFS(EIA860_additions!$D$2:$D$3563,EIA860_additions!$A$2:$A$3563,$A39,EIA860_additions!$F$2:$F$3563,M$3)</f>
        <v>757.4</v>
      </c>
    </row>
    <row r="40" spans="1:13" x14ac:dyDescent="0.25">
      <c r="A40" s="1" t="s">
        <v>181</v>
      </c>
      <c r="D40">
        <f>_xlfn.MAXIFS(EIA860_additions!$D$2:$D$3563,EIA860_additions!$A$2:$A$3563,$A40,EIA860_additions!$F$2:$F$3563,D$3)</f>
        <v>554</v>
      </c>
      <c r="G40">
        <f>_xlfn.MAXIFS(EIA860_additions!$D$2:$D$3563,EIA860_additions!$A$2:$A$3563,$A40,EIA860_additions!$F$2:$F$3563,G$3)</f>
        <v>21</v>
      </c>
      <c r="H40">
        <f>_xlfn.MAXIFS(EIA860_additions!$D$2:$D$3563,EIA860_additions!$A$2:$A$3563,$A40,EIA860_additions!$F$2:$F$3563,H$3)</f>
        <v>105.2</v>
      </c>
      <c r="M40">
        <f>_xlfn.MAXIFS(EIA860_additions!$D$2:$D$3563,EIA860_additions!$A$2:$A$3563,$A40,EIA860_additions!$F$2:$F$3563,M$3)</f>
        <v>12.5</v>
      </c>
    </row>
    <row r="41" spans="1:13" x14ac:dyDescent="0.25">
      <c r="A41" s="1" t="s">
        <v>183</v>
      </c>
      <c r="D41">
        <f>_xlfn.MAXIFS(EIA860_additions!$D$2:$D$3563,EIA860_additions!$A$2:$A$3563,$A41,EIA860_additions!$F$2:$F$3563,D$3)</f>
        <v>1507</v>
      </c>
      <c r="G41">
        <f>_xlfn.MAXIFS(EIA860_additions!$D$2:$D$3563,EIA860_additions!$A$2:$A$3563,$A41,EIA860_additions!$F$2:$F$3563,G$3)</f>
        <v>0</v>
      </c>
      <c r="H41">
        <f>_xlfn.MAXIFS(EIA860_additions!$D$2:$D$3563,EIA860_additions!$A$2:$A$3563,$A41,EIA860_additions!$F$2:$F$3563,H$3)</f>
        <v>455.3</v>
      </c>
      <c r="M41">
        <f>_xlfn.MAXIFS(EIA860_additions!$D$2:$D$3563,EIA860_additions!$A$2:$A$3563,$A41,EIA860_additions!$F$2:$F$3563,M$3)</f>
        <v>574</v>
      </c>
    </row>
    <row r="42" spans="1:13" x14ac:dyDescent="0.25">
      <c r="A42" s="1" t="s">
        <v>185</v>
      </c>
      <c r="D42">
        <f>_xlfn.MAXIFS(EIA860_additions!$D$2:$D$3563,EIA860_additions!$A$2:$A$3563,$A42,EIA860_additions!$F$2:$F$3563,D$3)</f>
        <v>295</v>
      </c>
      <c r="G42">
        <f>_xlfn.MAXIFS(EIA860_additions!$D$2:$D$3563,EIA860_additions!$A$2:$A$3563,$A42,EIA860_additions!$F$2:$F$3563,G$3)</f>
        <v>774.3</v>
      </c>
      <c r="H42">
        <f>_xlfn.MAXIFS(EIA860_additions!$D$2:$D$3563,EIA860_additions!$A$2:$A$3563,$A42,EIA860_additions!$F$2:$F$3563,H$3)</f>
        <v>136.30000000000001</v>
      </c>
      <c r="M42">
        <f>_xlfn.MAXIFS(EIA860_additions!$D$2:$D$3563,EIA860_additions!$A$2:$A$3563,$A42,EIA860_additions!$F$2:$F$3563,M$3)</f>
        <v>241.7</v>
      </c>
    </row>
    <row r="43" spans="1:13" x14ac:dyDescent="0.25">
      <c r="A43" s="1" t="s">
        <v>187</v>
      </c>
      <c r="D43">
        <f>_xlfn.MAXIFS(EIA860_additions!$D$2:$D$3563,EIA860_additions!$A$2:$A$3563,$A43,EIA860_additions!$F$2:$F$3563,D$3)</f>
        <v>1052.0999999999999</v>
      </c>
      <c r="G43">
        <f>_xlfn.MAXIFS(EIA860_additions!$D$2:$D$3563,EIA860_additions!$A$2:$A$3563,$A43,EIA860_additions!$F$2:$F$3563,G$3)</f>
        <v>27</v>
      </c>
      <c r="H43">
        <f>_xlfn.MAXIFS(EIA860_additions!$D$2:$D$3563,EIA860_additions!$A$2:$A$3563,$A43,EIA860_additions!$F$2:$F$3563,H$3)</f>
        <v>225.8</v>
      </c>
      <c r="M43">
        <f>_xlfn.MAXIFS(EIA860_additions!$D$2:$D$3563,EIA860_additions!$A$2:$A$3563,$A43,EIA860_additions!$F$2:$F$3563,M$3)</f>
        <v>944.8</v>
      </c>
    </row>
    <row r="44" spans="1:13" x14ac:dyDescent="0.25">
      <c r="A44" s="1" t="s">
        <v>189</v>
      </c>
      <c r="D44">
        <f>_xlfn.MAXIFS(EIA860_additions!$D$2:$D$3563,EIA860_additions!$A$2:$A$3563,$A44,EIA860_additions!$F$2:$F$3563,D$3)</f>
        <v>7263.5</v>
      </c>
      <c r="G44">
        <f>_xlfn.MAXIFS(EIA860_additions!$D$2:$D$3563,EIA860_additions!$A$2:$A$3563,$A44,EIA860_additions!$F$2:$F$3563,G$3)</f>
        <v>4877.3</v>
      </c>
      <c r="H44">
        <f>_xlfn.MAXIFS(EIA860_additions!$D$2:$D$3563,EIA860_additions!$A$2:$A$3563,$A44,EIA860_additions!$F$2:$F$3563,H$3)</f>
        <v>8203.4</v>
      </c>
      <c r="M44">
        <f>_xlfn.MAXIFS(EIA860_additions!$D$2:$D$3563,EIA860_additions!$A$2:$A$3563,$A44,EIA860_additions!$F$2:$F$3563,M$3)</f>
        <v>908.9</v>
      </c>
    </row>
    <row r="45" spans="1:13" x14ac:dyDescent="0.25">
      <c r="A45" s="1" t="s">
        <v>191</v>
      </c>
      <c r="D45">
        <f>_xlfn.MAXIFS(EIA860_additions!$D$2:$D$3563,EIA860_additions!$A$2:$A$3563,$A45,EIA860_additions!$F$2:$F$3563,D$3)</f>
        <v>940</v>
      </c>
      <c r="G45">
        <f>_xlfn.MAXIFS(EIA860_additions!$D$2:$D$3563,EIA860_additions!$A$2:$A$3563,$A45,EIA860_additions!$F$2:$F$3563,G$3)</f>
        <v>203.5</v>
      </c>
      <c r="H45">
        <f>_xlfn.MAXIFS(EIA860_additions!$D$2:$D$3563,EIA860_additions!$A$2:$A$3563,$A45,EIA860_additions!$F$2:$F$3563,H$3)</f>
        <v>851.2</v>
      </c>
      <c r="M45">
        <f>_xlfn.MAXIFS(EIA860_additions!$D$2:$D$3563,EIA860_additions!$A$2:$A$3563,$A45,EIA860_additions!$F$2:$F$3563,M$3)</f>
        <v>258.5</v>
      </c>
    </row>
    <row r="46" spans="1:13" x14ac:dyDescent="0.25">
      <c r="A46" s="1" t="s">
        <v>193</v>
      </c>
      <c r="D46">
        <f>_xlfn.MAXIFS(EIA860_additions!$D$2:$D$3563,EIA860_additions!$A$2:$A$3563,$A46,EIA860_additions!$F$2:$F$3563,D$3)</f>
        <v>1605.1</v>
      </c>
      <c r="G46">
        <f>_xlfn.MAXIFS(EIA860_additions!$D$2:$D$3563,EIA860_additions!$A$2:$A$3563,$A46,EIA860_additions!$F$2:$F$3563,G$3)</f>
        <v>0</v>
      </c>
      <c r="H46">
        <f>_xlfn.MAXIFS(EIA860_additions!$D$2:$D$3563,EIA860_additions!$A$2:$A$3563,$A46,EIA860_additions!$F$2:$F$3563,H$3)</f>
        <v>998.9</v>
      </c>
      <c r="M46">
        <f>_xlfn.MAXIFS(EIA860_additions!$D$2:$D$3563,EIA860_additions!$A$2:$A$3563,$A46,EIA860_additions!$F$2:$F$3563,M$3)</f>
        <v>728.4</v>
      </c>
    </row>
    <row r="47" spans="1:13" x14ac:dyDescent="0.25">
      <c r="A47" s="1" t="s">
        <v>195</v>
      </c>
      <c r="D47">
        <f>_xlfn.MAXIFS(EIA860_additions!$D$2:$D$3563,EIA860_additions!$A$2:$A$3563,$A47,EIA860_additions!$F$2:$F$3563,D$3)</f>
        <v>0</v>
      </c>
      <c r="G47">
        <f>_xlfn.MAXIFS(EIA860_additions!$D$2:$D$3563,EIA860_additions!$A$2:$A$3563,$A47,EIA860_additions!$F$2:$F$3563,G$3)</f>
        <v>75</v>
      </c>
      <c r="H47">
        <f>_xlfn.MAXIFS(EIA860_additions!$D$2:$D$3563,EIA860_additions!$A$2:$A$3563,$A47,EIA860_additions!$F$2:$F$3563,H$3)</f>
        <v>33.799999999999997</v>
      </c>
      <c r="M47">
        <f>_xlfn.MAXIFS(EIA860_additions!$D$2:$D$3563,EIA860_additions!$A$2:$A$3563,$A47,EIA860_additions!$F$2:$F$3563,M$3)</f>
        <v>0</v>
      </c>
    </row>
    <row r="48" spans="1:13" x14ac:dyDescent="0.25">
      <c r="A48" s="1" t="s">
        <v>197</v>
      </c>
      <c r="D48">
        <f>_xlfn.MAXIFS(EIA860_additions!$D$2:$D$3563,EIA860_additions!$A$2:$A$3563,$A48,EIA860_additions!$F$2:$F$3563,D$3)</f>
        <v>865</v>
      </c>
      <c r="G48">
        <f>_xlfn.MAXIFS(EIA860_additions!$D$2:$D$3563,EIA860_additions!$A$2:$A$3563,$A48,EIA860_additions!$F$2:$F$3563,G$3)</f>
        <v>541.4</v>
      </c>
      <c r="H48">
        <f>_xlfn.MAXIFS(EIA860_additions!$D$2:$D$3563,EIA860_additions!$A$2:$A$3563,$A48,EIA860_additions!$F$2:$F$3563,H$3)</f>
        <v>165</v>
      </c>
      <c r="M48">
        <f>_xlfn.MAXIFS(EIA860_additions!$D$2:$D$3563,EIA860_additions!$A$2:$A$3563,$A48,EIA860_additions!$F$2:$F$3563,M$3)</f>
        <v>94</v>
      </c>
    </row>
    <row r="49" spans="1:25" x14ac:dyDescent="0.25">
      <c r="A49" s="1" t="s">
        <v>199</v>
      </c>
      <c r="D49">
        <f>_xlfn.MAXIFS(EIA860_additions!$D$2:$D$3563,EIA860_additions!$A$2:$A$3563,$A49,EIA860_additions!$F$2:$F$3563,D$3)</f>
        <v>1152.9000000000001</v>
      </c>
      <c r="G49">
        <f>_xlfn.MAXIFS(EIA860_additions!$D$2:$D$3563,EIA860_additions!$A$2:$A$3563,$A49,EIA860_additions!$F$2:$F$3563,G$3)</f>
        <v>311.85000000000002</v>
      </c>
      <c r="H49">
        <f>_xlfn.MAXIFS(EIA860_additions!$D$2:$D$3563,EIA860_additions!$A$2:$A$3563,$A49,EIA860_additions!$F$2:$F$3563,H$3)</f>
        <v>861.4</v>
      </c>
      <c r="M49">
        <f>_xlfn.MAXIFS(EIA860_additions!$D$2:$D$3563,EIA860_additions!$A$2:$A$3563,$A49,EIA860_additions!$F$2:$F$3563,M$3)</f>
        <v>563.29999999999995</v>
      </c>
    </row>
    <row r="50" spans="1:25" x14ac:dyDescent="0.25">
      <c r="A50" s="1" t="s">
        <v>201</v>
      </c>
      <c r="D50">
        <f>_xlfn.MAXIFS(EIA860_additions!$D$2:$D$3563,EIA860_additions!$A$2:$A$3563,$A50,EIA860_additions!$F$2:$F$3563,D$3)</f>
        <v>0</v>
      </c>
      <c r="G50">
        <f>_xlfn.MAXIFS(EIA860_additions!$D$2:$D$3563,EIA860_additions!$A$2:$A$3563,$A50,EIA860_additions!$F$2:$F$3563,G$3)</f>
        <v>264</v>
      </c>
      <c r="H50">
        <f>_xlfn.MAXIFS(EIA860_additions!$D$2:$D$3563,EIA860_additions!$A$2:$A$3563,$A50,EIA860_additions!$F$2:$F$3563,H$3)</f>
        <v>124.4</v>
      </c>
      <c r="M50">
        <f>_xlfn.MAXIFS(EIA860_additions!$D$2:$D$3563,EIA860_additions!$A$2:$A$3563,$A50,EIA860_additions!$F$2:$F$3563,M$3)</f>
        <v>750</v>
      </c>
    </row>
    <row r="51" spans="1:25" x14ac:dyDescent="0.25">
      <c r="A51" s="1" t="s">
        <v>203</v>
      </c>
      <c r="D51">
        <f>_xlfn.MAXIFS(EIA860_additions!$D$2:$D$3563,EIA860_additions!$A$2:$A$3563,$A51,EIA860_additions!$F$2:$F$3563,D$3)</f>
        <v>94</v>
      </c>
      <c r="G51">
        <f>_xlfn.MAXIFS(EIA860_additions!$D$2:$D$3563,EIA860_additions!$A$2:$A$3563,$A51,EIA860_additions!$F$2:$F$3563,G$3)</f>
        <v>1061.2</v>
      </c>
      <c r="H51">
        <f>_xlfn.MAXIFS(EIA860_additions!$D$2:$D$3563,EIA860_additions!$A$2:$A$3563,$A51,EIA860_additions!$F$2:$F$3563,H$3)</f>
        <v>150</v>
      </c>
      <c r="M51">
        <f>_xlfn.MAXIFS(EIA860_additions!$D$2:$D$3563,EIA860_additions!$A$2:$A$3563,$A51,EIA860_additions!$F$2:$F$3563,M$3)</f>
        <v>100.5</v>
      </c>
    </row>
    <row r="54" spans="1:25" x14ac:dyDescent="0.25">
      <c r="A54" s="1" t="s">
        <v>295</v>
      </c>
    </row>
    <row r="55" spans="1:25" ht="163.5" x14ac:dyDescent="0.25">
      <c r="A55" s="7" t="s">
        <v>109</v>
      </c>
      <c r="B55" s="9" t="s">
        <v>81</v>
      </c>
      <c r="C55" s="9" t="s">
        <v>83</v>
      </c>
      <c r="D55" s="9" t="s">
        <v>84</v>
      </c>
      <c r="E55" s="9" t="s">
        <v>85</v>
      </c>
      <c r="F55" s="9" t="s">
        <v>86</v>
      </c>
      <c r="G55" s="9" t="s">
        <v>87</v>
      </c>
      <c r="H55" s="9" t="s">
        <v>88</v>
      </c>
      <c r="I55" s="9" t="s">
        <v>89</v>
      </c>
      <c r="J55" s="9" t="s">
        <v>90</v>
      </c>
      <c r="K55" s="9" t="s">
        <v>91</v>
      </c>
      <c r="L55" s="9" t="s">
        <v>92</v>
      </c>
      <c r="M55" s="9" t="s">
        <v>93</v>
      </c>
      <c r="N55" s="9" t="s">
        <v>94</v>
      </c>
      <c r="O55" s="9" t="s">
        <v>95</v>
      </c>
      <c r="P55" s="9" t="s">
        <v>96</v>
      </c>
      <c r="Q55" s="9" t="s">
        <v>97</v>
      </c>
      <c r="R55" s="9" t="s">
        <v>98</v>
      </c>
      <c r="S55" s="9" t="s">
        <v>99</v>
      </c>
      <c r="T55" s="9" t="s">
        <v>100</v>
      </c>
      <c r="U55" s="9" t="s">
        <v>101</v>
      </c>
      <c r="V55" s="9" t="s">
        <v>102</v>
      </c>
      <c r="W55" s="9" t="s">
        <v>103</v>
      </c>
      <c r="X55" s="9" t="s">
        <v>104</v>
      </c>
      <c r="Y55" s="9" t="s">
        <v>105</v>
      </c>
    </row>
    <row r="56" spans="1:25" x14ac:dyDescent="0.25">
      <c r="A56" s="11" t="s">
        <v>294</v>
      </c>
      <c r="B56" s="11" t="str">
        <f t="shared" ref="B56:Y56" si="1">LOWER(B$55)</f>
        <v>hard coal</v>
      </c>
      <c r="C56" s="11" t="str">
        <f t="shared" si="1"/>
        <v>natural gas steam turbine</v>
      </c>
      <c r="D56" s="11" t="str">
        <f t="shared" si="1"/>
        <v>natural gas combined cycle</v>
      </c>
      <c r="E56" s="11" t="str">
        <f t="shared" si="1"/>
        <v>nuclear</v>
      </c>
      <c r="F56" s="11" t="str">
        <f t="shared" si="1"/>
        <v>hydro</v>
      </c>
      <c r="G56" s="11" t="str">
        <f t="shared" si="1"/>
        <v>onshore wind</v>
      </c>
      <c r="H56" s="11" t="str">
        <f t="shared" si="1"/>
        <v>solar pv</v>
      </c>
      <c r="I56" s="11" t="str">
        <f t="shared" si="1"/>
        <v>solar thermal</v>
      </c>
      <c r="J56" s="11" t="str">
        <f t="shared" si="1"/>
        <v>biomass</v>
      </c>
      <c r="K56" s="11" t="str">
        <f t="shared" si="1"/>
        <v>geothermal</v>
      </c>
      <c r="L56" s="11" t="str">
        <f t="shared" si="1"/>
        <v>petroleum</v>
      </c>
      <c r="M56" s="11" t="str">
        <f t="shared" si="1"/>
        <v>natural gas peaker</v>
      </c>
      <c r="N56" s="11" t="str">
        <f t="shared" si="1"/>
        <v>lignite</v>
      </c>
      <c r="O56" s="11" t="str">
        <f t="shared" si="1"/>
        <v>offshore wind</v>
      </c>
      <c r="P56" s="11" t="str">
        <f t="shared" si="1"/>
        <v>crude oil</v>
      </c>
      <c r="Q56" s="11" t="str">
        <f t="shared" si="1"/>
        <v>heavy or residual fuel oil</v>
      </c>
      <c r="R56" s="11" t="str">
        <f t="shared" si="1"/>
        <v>municipal solid waste</v>
      </c>
      <c r="S56" s="11" t="str">
        <f t="shared" si="1"/>
        <v>hard coal w ccs</v>
      </c>
      <c r="T56" s="11" t="str">
        <f t="shared" si="1"/>
        <v>natural gas combined cycle w ccs</v>
      </c>
      <c r="U56" s="11" t="str">
        <f t="shared" si="1"/>
        <v>biomass w ccs</v>
      </c>
      <c r="V56" s="11" t="str">
        <f t="shared" si="1"/>
        <v>lignite w ccs</v>
      </c>
      <c r="W56" s="11" t="str">
        <f t="shared" si="1"/>
        <v>small modular reactor</v>
      </c>
      <c r="X56" s="11" t="str">
        <f t="shared" si="1"/>
        <v>hydrogen combustion turbine</v>
      </c>
      <c r="Y56" s="11" t="str">
        <f t="shared" si="1"/>
        <v>hydrogen combined cycle</v>
      </c>
    </row>
    <row r="57" spans="1:25" x14ac:dyDescent="0.25">
      <c r="A57" s="1" t="s">
        <v>296</v>
      </c>
      <c r="B57">
        <f>INDEX(Keys!$C$16:$C$39,MATCH(B$55,Keys!$B$16:$B$39,0))</f>
        <v>250</v>
      </c>
      <c r="C57">
        <f>INDEX(Keys!$C$16:$C$39,MATCH(C$55,Keys!$B$16:$B$39,0))</f>
        <v>250</v>
      </c>
      <c r="D57">
        <f>INDEX(Keys!$C$16:$C$39,MATCH(D$55,Keys!$B$16:$B$39,0))</f>
        <v>250</v>
      </c>
      <c r="E57">
        <f>INDEX(Keys!$C$16:$C$39,MATCH(E$55,Keys!$B$16:$B$39,0))</f>
        <v>250</v>
      </c>
      <c r="F57">
        <f>INDEX(Keys!$C$16:$C$39,MATCH(F$55,Keys!$B$16:$B$39,0))</f>
        <v>250</v>
      </c>
      <c r="G57">
        <f>INDEX(Keys!$C$16:$C$39,MATCH(G$55,Keys!$B$16:$B$39,0))</f>
        <v>250</v>
      </c>
      <c r="H57">
        <f>INDEX(Keys!$C$16:$C$39,MATCH(H$55,Keys!$B$16:$B$39,0))</f>
        <v>250</v>
      </c>
      <c r="I57">
        <f>INDEX(Keys!$C$16:$C$39,MATCH(I$55,Keys!$B$16:$B$39,0))</f>
        <v>250</v>
      </c>
      <c r="J57">
        <f>INDEX(Keys!$C$16:$C$39,MATCH(J$55,Keys!$B$16:$B$39,0))</f>
        <v>250</v>
      </c>
      <c r="K57">
        <f>INDEX(Keys!$C$16:$C$39,MATCH(K$55,Keys!$B$16:$B$39,0))</f>
        <v>250</v>
      </c>
      <c r="L57">
        <f>INDEX(Keys!$C$16:$C$39,MATCH(L$55,Keys!$B$16:$B$39,0))</f>
        <v>250</v>
      </c>
      <c r="M57">
        <f>INDEX(Keys!$C$16:$C$39,MATCH(M$55,Keys!$B$16:$B$39,0))</f>
        <v>250</v>
      </c>
      <c r="N57">
        <f>INDEX(Keys!$C$16:$C$39,MATCH(N$55,Keys!$B$16:$B$39,0))</f>
        <v>250</v>
      </c>
      <c r="O57">
        <f>INDEX(Keys!$C$16:$C$39,MATCH(O$55,Keys!$B$16:$B$39,0))</f>
        <v>250</v>
      </c>
      <c r="P57">
        <f>INDEX(Keys!$C$16:$C$39,MATCH(P$55,Keys!$B$16:$B$39,0))</f>
        <v>250</v>
      </c>
      <c r="Q57">
        <f>INDEX(Keys!$C$16:$C$39,MATCH(Q$55,Keys!$B$16:$B$39,0))</f>
        <v>250</v>
      </c>
      <c r="R57">
        <f>INDEX(Keys!$C$16:$C$39,MATCH(R$55,Keys!$B$16:$B$39,0))</f>
        <v>250</v>
      </c>
      <c r="S57">
        <f>INDEX(Keys!$C$16:$C$39,MATCH(S$55,Keys!$B$16:$B$39,0))</f>
        <v>250</v>
      </c>
      <c r="T57">
        <f>INDEX(Keys!$C$16:$C$39,MATCH(T$55,Keys!$B$16:$B$39,0))</f>
        <v>250</v>
      </c>
      <c r="U57">
        <f>INDEX(Keys!$C$16:$C$39,MATCH(U$55,Keys!$B$16:$B$39,0))</f>
        <v>250</v>
      </c>
      <c r="V57">
        <f>INDEX(Keys!$C$16:$C$39,MATCH(V$55,Keys!$B$16:$B$39,0))</f>
        <v>250</v>
      </c>
      <c r="W57">
        <f>INDEX(Keys!$C$16:$C$39,MATCH(W$55,Keys!$B$16:$B$39,0))</f>
        <v>250</v>
      </c>
      <c r="X57">
        <f>INDEX(Keys!$C$16:$C$39,MATCH(X$55,Keys!$B$16:$B$39,0))</f>
        <v>250</v>
      </c>
      <c r="Y57">
        <f>INDEX(Keys!$C$16:$C$39,MATCH(Y$55,Keys!$B$16:$B$39,0))</f>
        <v>250</v>
      </c>
    </row>
    <row r="58" spans="1:25" x14ac:dyDescent="0.25">
      <c r="A58" s="1" t="s">
        <v>297</v>
      </c>
      <c r="B58">
        <f>INDEX(MPPC_ref!$B$3:$Y$3,MATCH(B$55,MPPC_ref!$B$2:$Y$2,0))</f>
        <v>50</v>
      </c>
      <c r="C58">
        <f>INDEX(MPPC_ref!$B$3:$Y$3,MATCH(C$55,MPPC_ref!$B$2:$Y$2,0))</f>
        <v>50</v>
      </c>
      <c r="D58">
        <f>INDEX(MPPC_ref!$B$3:$Y$3,MATCH(D$55,MPPC_ref!$B$2:$Y$2,0))</f>
        <v>50</v>
      </c>
      <c r="E58">
        <f>INDEX(MPPC_ref!$B$3:$Y$3,MATCH(E$55,MPPC_ref!$B$2:$Y$2,0))</f>
        <v>500</v>
      </c>
      <c r="F58">
        <f>INDEX(MPPC_ref!$B$3:$Y$3,MATCH(F$55,MPPC_ref!$B$2:$Y$2,0))</f>
        <v>1</v>
      </c>
      <c r="G58">
        <f>INDEX(MPPC_ref!$B$3:$Y$3,MATCH(G$55,MPPC_ref!$B$2:$Y$2,0))</f>
        <v>1</v>
      </c>
      <c r="H58">
        <f>INDEX(MPPC_ref!$B$3:$Y$3,MATCH(H$55,MPPC_ref!$B$2:$Y$2,0))</f>
        <v>1</v>
      </c>
      <c r="I58">
        <f>INDEX(MPPC_ref!$B$3:$Y$3,MATCH(I$55,MPPC_ref!$B$2:$Y$2,0))</f>
        <v>50</v>
      </c>
      <c r="J58">
        <f>INDEX(MPPC_ref!$B$3:$Y$3,MATCH(J$55,MPPC_ref!$B$2:$Y$2,0))</f>
        <v>1</v>
      </c>
      <c r="K58">
        <f>INDEX(MPPC_ref!$B$3:$Y$3,MATCH(K$55,MPPC_ref!$B$2:$Y$2,0))</f>
        <v>50</v>
      </c>
      <c r="L58">
        <f>INDEX(MPPC_ref!$B$3:$Y$3,MATCH(L$55,MPPC_ref!$B$2:$Y$2,0))</f>
        <v>50</v>
      </c>
      <c r="M58">
        <f>INDEX(MPPC_ref!$B$3:$Y$3,MATCH(M$55,MPPC_ref!$B$2:$Y$2,0))</f>
        <v>50</v>
      </c>
      <c r="N58">
        <f>INDEX(MPPC_ref!$B$3:$Y$3,MATCH(N$55,MPPC_ref!$B$2:$Y$2,0))</f>
        <v>50</v>
      </c>
      <c r="O58">
        <f>INDEX(MPPC_ref!$B$3:$Y$3,MATCH(O$55,MPPC_ref!$B$2:$Y$2,0))</f>
        <v>1</v>
      </c>
      <c r="P58">
        <f>INDEX(MPPC_ref!$B$3:$Y$3,MATCH(P$55,MPPC_ref!$B$2:$Y$2,0))</f>
        <v>50</v>
      </c>
      <c r="Q58">
        <f>INDEX(MPPC_ref!$B$3:$Y$3,MATCH(Q$55,MPPC_ref!$B$2:$Y$2,0))</f>
        <v>50</v>
      </c>
      <c r="R58">
        <f>INDEX(MPPC_ref!$B$3:$Y$3,MATCH(R$55,MPPC_ref!$B$2:$Y$2,0))</f>
        <v>10</v>
      </c>
      <c r="S58">
        <f>INDEX(MPPC_ref!$B$3:$Y$3,MATCH(S$55,MPPC_ref!$B$2:$Y$2,0))</f>
        <v>100</v>
      </c>
      <c r="T58">
        <f>INDEX(MPPC_ref!$B$3:$Y$3,MATCH(T$55,MPPC_ref!$B$2:$Y$2,0))</f>
        <v>100</v>
      </c>
      <c r="U58">
        <f>INDEX(MPPC_ref!$B$3:$Y$3,MATCH(U$55,MPPC_ref!$B$2:$Y$2,0))</f>
        <v>10</v>
      </c>
      <c r="V58">
        <f>INDEX(MPPC_ref!$B$3:$Y$3,MATCH(V$55,MPPC_ref!$B$2:$Y$2,0))</f>
        <v>100</v>
      </c>
      <c r="W58">
        <f>INDEX(MPPC_ref!$B$3:$Y$3,MATCH(W$55,MPPC_ref!$B$2:$Y$2,0))</f>
        <v>100</v>
      </c>
      <c r="X58">
        <f>INDEX(MPPC_ref!$B$3:$Y$3,MATCH(X$55,MPPC_ref!$B$2:$Y$2,0))</f>
        <v>100</v>
      </c>
      <c r="Y58">
        <f>INDEX(MPPC_ref!$B$3:$Y$3,MATCH(Y$55,MPPC_ref!$B$2:$Y$2,0))</f>
        <v>100</v>
      </c>
    </row>
    <row r="61" spans="1:25" x14ac:dyDescent="0.25">
      <c r="A61" s="1" t="s">
        <v>298</v>
      </c>
    </row>
    <row r="62" spans="1:25" ht="163.5" x14ac:dyDescent="0.25">
      <c r="A62" s="7" t="s">
        <v>109</v>
      </c>
      <c r="B62" s="9" t="s">
        <v>81</v>
      </c>
      <c r="C62" s="9" t="s">
        <v>83</v>
      </c>
      <c r="D62" s="9" t="s">
        <v>84</v>
      </c>
      <c r="E62" s="9" t="s">
        <v>85</v>
      </c>
      <c r="F62" s="9" t="s">
        <v>86</v>
      </c>
      <c r="G62" s="9" t="s">
        <v>87</v>
      </c>
      <c r="H62" s="9" t="s">
        <v>88</v>
      </c>
      <c r="I62" s="9" t="s">
        <v>89</v>
      </c>
      <c r="J62" s="9" t="s">
        <v>90</v>
      </c>
      <c r="K62" s="9" t="s">
        <v>91</v>
      </c>
      <c r="L62" s="9" t="s">
        <v>92</v>
      </c>
      <c r="M62" s="9" t="s">
        <v>93</v>
      </c>
      <c r="N62" s="9" t="s">
        <v>94</v>
      </c>
      <c r="O62" s="9" t="s">
        <v>95</v>
      </c>
      <c r="P62" s="9" t="s">
        <v>96</v>
      </c>
      <c r="Q62" s="9" t="s">
        <v>97</v>
      </c>
      <c r="R62" s="9" t="s">
        <v>98</v>
      </c>
      <c r="S62" s="9" t="s">
        <v>99</v>
      </c>
      <c r="T62" s="9" t="s">
        <v>100</v>
      </c>
      <c r="U62" s="9" t="s">
        <v>101</v>
      </c>
      <c r="V62" s="9" t="s">
        <v>102</v>
      </c>
      <c r="W62" s="9" t="s">
        <v>103</v>
      </c>
      <c r="X62" s="9" t="s">
        <v>104</v>
      </c>
      <c r="Y62" s="9" t="s">
        <v>105</v>
      </c>
    </row>
    <row r="63" spans="1:25" x14ac:dyDescent="0.25">
      <c r="A63" s="11" t="s">
        <v>294</v>
      </c>
      <c r="B63" s="11" t="str">
        <f t="shared" ref="B63:Y63" si="2">LOWER(B$62)</f>
        <v>hard coal</v>
      </c>
      <c r="C63" s="11" t="str">
        <f t="shared" si="2"/>
        <v>natural gas steam turbine</v>
      </c>
      <c r="D63" s="11" t="str">
        <f t="shared" si="2"/>
        <v>natural gas combined cycle</v>
      </c>
      <c r="E63" s="11" t="str">
        <f t="shared" si="2"/>
        <v>nuclear</v>
      </c>
      <c r="F63" s="11" t="str">
        <f t="shared" si="2"/>
        <v>hydro</v>
      </c>
      <c r="G63" s="11" t="str">
        <f t="shared" si="2"/>
        <v>onshore wind</v>
      </c>
      <c r="H63" s="11" t="str">
        <f t="shared" si="2"/>
        <v>solar pv</v>
      </c>
      <c r="I63" s="11" t="str">
        <f t="shared" si="2"/>
        <v>solar thermal</v>
      </c>
      <c r="J63" s="11" t="str">
        <f t="shared" si="2"/>
        <v>biomass</v>
      </c>
      <c r="K63" s="11" t="str">
        <f t="shared" si="2"/>
        <v>geothermal</v>
      </c>
      <c r="L63" s="11" t="str">
        <f t="shared" si="2"/>
        <v>petroleum</v>
      </c>
      <c r="M63" s="11" t="str">
        <f t="shared" si="2"/>
        <v>natural gas peaker</v>
      </c>
      <c r="N63" s="11" t="str">
        <f t="shared" si="2"/>
        <v>lignite</v>
      </c>
      <c r="O63" s="11" t="str">
        <f t="shared" si="2"/>
        <v>offshore wind</v>
      </c>
      <c r="P63" s="11" t="str">
        <f t="shared" si="2"/>
        <v>crude oil</v>
      </c>
      <c r="Q63" s="11" t="str">
        <f t="shared" si="2"/>
        <v>heavy or residual fuel oil</v>
      </c>
      <c r="R63" s="11" t="str">
        <f t="shared" si="2"/>
        <v>municipal solid waste</v>
      </c>
      <c r="S63" s="11" t="str">
        <f t="shared" si="2"/>
        <v>hard coal w ccs</v>
      </c>
      <c r="T63" s="11" t="str">
        <f t="shared" si="2"/>
        <v>natural gas combined cycle w ccs</v>
      </c>
      <c r="U63" s="11" t="str">
        <f t="shared" si="2"/>
        <v>biomass w ccs</v>
      </c>
      <c r="V63" s="11" t="str">
        <f t="shared" si="2"/>
        <v>lignite w ccs</v>
      </c>
      <c r="W63" s="11" t="str">
        <f t="shared" si="2"/>
        <v>small modular reactor</v>
      </c>
      <c r="X63" s="11" t="str">
        <f t="shared" si="2"/>
        <v>hydrogen combustion turbine</v>
      </c>
      <c r="Y63" s="11" t="str">
        <f t="shared" si="2"/>
        <v>hydrogen combined cycle</v>
      </c>
    </row>
    <row r="64" spans="1:25" x14ac:dyDescent="0.25">
      <c r="A64" s="1" t="s">
        <v>110</v>
      </c>
      <c r="B64">
        <f t="shared" ref="B64:C83" si="3">MAX(B$57,B$58)</f>
        <v>250</v>
      </c>
      <c r="C64">
        <f t="shared" si="3"/>
        <v>250</v>
      </c>
      <c r="D64">
        <f t="shared" ref="D64:D111" si="4">MAX(D4,D$57,D$58)</f>
        <v>3221.6</v>
      </c>
      <c r="E64">
        <f t="shared" ref="E64:F83" si="5">MAX(E$57,E$58)</f>
        <v>500</v>
      </c>
      <c r="F64">
        <f t="shared" si="5"/>
        <v>250</v>
      </c>
      <c r="G64">
        <f t="shared" ref="G64:H83" si="6">MAX(G4,G$57,G$58)</f>
        <v>250</v>
      </c>
      <c r="H64">
        <f t="shared" si="6"/>
        <v>250</v>
      </c>
      <c r="I64">
        <f t="shared" ref="I64:L83" si="7">MAX(I$57,I$58)</f>
        <v>250</v>
      </c>
      <c r="J64">
        <f t="shared" si="7"/>
        <v>250</v>
      </c>
      <c r="K64">
        <f t="shared" si="7"/>
        <v>250</v>
      </c>
      <c r="L64">
        <f t="shared" si="7"/>
        <v>250</v>
      </c>
      <c r="M64">
        <f t="shared" ref="M64:M111" si="8">MAX(M4,M$57,M$58)</f>
        <v>704</v>
      </c>
      <c r="N64">
        <f t="shared" ref="N64:Y73" si="9">MAX(N$57,N$58)</f>
        <v>250</v>
      </c>
      <c r="O64">
        <f t="shared" si="9"/>
        <v>250</v>
      </c>
      <c r="P64">
        <f t="shared" si="9"/>
        <v>250</v>
      </c>
      <c r="Q64">
        <f t="shared" si="9"/>
        <v>250</v>
      </c>
      <c r="R64">
        <f t="shared" si="9"/>
        <v>250</v>
      </c>
      <c r="S64">
        <f t="shared" si="9"/>
        <v>250</v>
      </c>
      <c r="T64">
        <f t="shared" si="9"/>
        <v>250</v>
      </c>
      <c r="U64">
        <f t="shared" si="9"/>
        <v>250</v>
      </c>
      <c r="V64">
        <f t="shared" si="9"/>
        <v>250</v>
      </c>
      <c r="W64">
        <f t="shared" si="9"/>
        <v>250</v>
      </c>
      <c r="X64">
        <f t="shared" si="9"/>
        <v>250</v>
      </c>
      <c r="Y64">
        <f t="shared" si="9"/>
        <v>250</v>
      </c>
    </row>
    <row r="65" spans="1:25" x14ac:dyDescent="0.25">
      <c r="A65" s="1" t="s">
        <v>112</v>
      </c>
      <c r="B65">
        <f t="shared" si="3"/>
        <v>250</v>
      </c>
      <c r="C65">
        <f t="shared" si="3"/>
        <v>250</v>
      </c>
      <c r="D65">
        <f t="shared" si="4"/>
        <v>3456.6</v>
      </c>
      <c r="E65">
        <f t="shared" si="5"/>
        <v>500</v>
      </c>
      <c r="F65">
        <f t="shared" si="5"/>
        <v>250</v>
      </c>
      <c r="G65">
        <f t="shared" si="6"/>
        <v>250</v>
      </c>
      <c r="H65">
        <f t="shared" si="6"/>
        <v>945.66</v>
      </c>
      <c r="I65">
        <f t="shared" si="7"/>
        <v>250</v>
      </c>
      <c r="J65">
        <f t="shared" si="7"/>
        <v>250</v>
      </c>
      <c r="K65">
        <f t="shared" si="7"/>
        <v>250</v>
      </c>
      <c r="L65">
        <f t="shared" si="7"/>
        <v>250</v>
      </c>
      <c r="M65">
        <f t="shared" si="8"/>
        <v>340</v>
      </c>
      <c r="N65">
        <f t="shared" si="9"/>
        <v>250</v>
      </c>
      <c r="O65">
        <f t="shared" si="9"/>
        <v>250</v>
      </c>
      <c r="P65">
        <f t="shared" si="9"/>
        <v>250</v>
      </c>
      <c r="Q65">
        <f t="shared" si="9"/>
        <v>250</v>
      </c>
      <c r="R65">
        <f t="shared" si="9"/>
        <v>250</v>
      </c>
      <c r="S65">
        <f t="shared" si="9"/>
        <v>250</v>
      </c>
      <c r="T65">
        <f t="shared" si="9"/>
        <v>250</v>
      </c>
      <c r="U65">
        <f t="shared" si="9"/>
        <v>250</v>
      </c>
      <c r="V65">
        <f t="shared" si="9"/>
        <v>250</v>
      </c>
      <c r="W65">
        <f t="shared" si="9"/>
        <v>250</v>
      </c>
      <c r="X65">
        <f t="shared" si="9"/>
        <v>250</v>
      </c>
      <c r="Y65">
        <f t="shared" si="9"/>
        <v>250</v>
      </c>
    </row>
    <row r="66" spans="1:25" x14ac:dyDescent="0.25">
      <c r="A66" s="1" t="s">
        <v>114</v>
      </c>
      <c r="B66">
        <f t="shared" si="3"/>
        <v>250</v>
      </c>
      <c r="C66">
        <f t="shared" si="3"/>
        <v>250</v>
      </c>
      <c r="D66">
        <f t="shared" si="4"/>
        <v>3996</v>
      </c>
      <c r="E66">
        <f t="shared" si="5"/>
        <v>500</v>
      </c>
      <c r="F66">
        <f t="shared" si="5"/>
        <v>250</v>
      </c>
      <c r="G66">
        <f t="shared" si="6"/>
        <v>379</v>
      </c>
      <c r="H66">
        <f t="shared" si="6"/>
        <v>1532.3</v>
      </c>
      <c r="I66">
        <f t="shared" si="7"/>
        <v>250</v>
      </c>
      <c r="J66">
        <f t="shared" si="7"/>
        <v>250</v>
      </c>
      <c r="K66">
        <f t="shared" si="7"/>
        <v>250</v>
      </c>
      <c r="L66">
        <f t="shared" si="7"/>
        <v>250</v>
      </c>
      <c r="M66">
        <f t="shared" si="8"/>
        <v>613.9</v>
      </c>
      <c r="N66">
        <f t="shared" si="9"/>
        <v>250</v>
      </c>
      <c r="O66">
        <f t="shared" si="9"/>
        <v>250</v>
      </c>
      <c r="P66">
        <f t="shared" si="9"/>
        <v>250</v>
      </c>
      <c r="Q66">
        <f t="shared" si="9"/>
        <v>250</v>
      </c>
      <c r="R66">
        <f t="shared" si="9"/>
        <v>250</v>
      </c>
      <c r="S66">
        <f t="shared" si="9"/>
        <v>250</v>
      </c>
      <c r="T66">
        <f t="shared" si="9"/>
        <v>250</v>
      </c>
      <c r="U66">
        <f t="shared" si="9"/>
        <v>250</v>
      </c>
      <c r="V66">
        <f t="shared" si="9"/>
        <v>250</v>
      </c>
      <c r="W66">
        <f t="shared" si="9"/>
        <v>250</v>
      </c>
      <c r="X66">
        <f t="shared" si="9"/>
        <v>250</v>
      </c>
      <c r="Y66">
        <f t="shared" si="9"/>
        <v>250</v>
      </c>
    </row>
    <row r="67" spans="1:25" x14ac:dyDescent="0.25">
      <c r="A67" s="1" t="s">
        <v>116</v>
      </c>
      <c r="B67">
        <f t="shared" si="3"/>
        <v>250</v>
      </c>
      <c r="C67">
        <f t="shared" si="3"/>
        <v>250</v>
      </c>
      <c r="D67">
        <f t="shared" si="4"/>
        <v>4152.2</v>
      </c>
      <c r="E67">
        <f t="shared" si="5"/>
        <v>500</v>
      </c>
      <c r="F67">
        <f t="shared" si="5"/>
        <v>250</v>
      </c>
      <c r="G67">
        <f t="shared" si="6"/>
        <v>1954.5</v>
      </c>
      <c r="H67">
        <f t="shared" si="6"/>
        <v>2765.5</v>
      </c>
      <c r="I67">
        <f t="shared" si="7"/>
        <v>250</v>
      </c>
      <c r="J67">
        <f t="shared" si="7"/>
        <v>250</v>
      </c>
      <c r="K67">
        <f t="shared" si="7"/>
        <v>250</v>
      </c>
      <c r="L67">
        <f t="shared" si="7"/>
        <v>250</v>
      </c>
      <c r="M67">
        <f t="shared" si="8"/>
        <v>2737.4</v>
      </c>
      <c r="N67">
        <f t="shared" si="9"/>
        <v>250</v>
      </c>
      <c r="O67">
        <f t="shared" si="9"/>
        <v>250</v>
      </c>
      <c r="P67">
        <f t="shared" si="9"/>
        <v>250</v>
      </c>
      <c r="Q67">
        <f t="shared" si="9"/>
        <v>250</v>
      </c>
      <c r="R67">
        <f t="shared" si="9"/>
        <v>250</v>
      </c>
      <c r="S67">
        <f t="shared" si="9"/>
        <v>250</v>
      </c>
      <c r="T67">
        <f t="shared" si="9"/>
        <v>250</v>
      </c>
      <c r="U67">
        <f t="shared" si="9"/>
        <v>250</v>
      </c>
      <c r="V67">
        <f t="shared" si="9"/>
        <v>250</v>
      </c>
      <c r="W67">
        <f t="shared" si="9"/>
        <v>250</v>
      </c>
      <c r="X67">
        <f t="shared" si="9"/>
        <v>250</v>
      </c>
      <c r="Y67">
        <f t="shared" si="9"/>
        <v>250</v>
      </c>
    </row>
    <row r="68" spans="1:25" x14ac:dyDescent="0.25">
      <c r="A68" s="1" t="s">
        <v>118</v>
      </c>
      <c r="B68">
        <f t="shared" si="3"/>
        <v>250</v>
      </c>
      <c r="C68">
        <f t="shared" si="3"/>
        <v>250</v>
      </c>
      <c r="D68">
        <f t="shared" si="4"/>
        <v>682.4</v>
      </c>
      <c r="E68">
        <f t="shared" si="5"/>
        <v>500</v>
      </c>
      <c r="F68">
        <f t="shared" si="5"/>
        <v>250</v>
      </c>
      <c r="G68">
        <f t="shared" si="6"/>
        <v>969.1</v>
      </c>
      <c r="H68">
        <f t="shared" si="6"/>
        <v>888.12</v>
      </c>
      <c r="I68">
        <f t="shared" si="7"/>
        <v>250</v>
      </c>
      <c r="J68">
        <f t="shared" si="7"/>
        <v>250</v>
      </c>
      <c r="K68">
        <f t="shared" si="7"/>
        <v>250</v>
      </c>
      <c r="L68">
        <f t="shared" si="7"/>
        <v>250</v>
      </c>
      <c r="M68">
        <f t="shared" si="8"/>
        <v>573.4</v>
      </c>
      <c r="N68">
        <f t="shared" si="9"/>
        <v>250</v>
      </c>
      <c r="O68">
        <f t="shared" si="9"/>
        <v>250</v>
      </c>
      <c r="P68">
        <f t="shared" si="9"/>
        <v>250</v>
      </c>
      <c r="Q68">
        <f t="shared" si="9"/>
        <v>250</v>
      </c>
      <c r="R68">
        <f t="shared" si="9"/>
        <v>250</v>
      </c>
      <c r="S68">
        <f t="shared" si="9"/>
        <v>250</v>
      </c>
      <c r="T68">
        <f t="shared" si="9"/>
        <v>250</v>
      </c>
      <c r="U68">
        <f t="shared" si="9"/>
        <v>250</v>
      </c>
      <c r="V68">
        <f t="shared" si="9"/>
        <v>250</v>
      </c>
      <c r="W68">
        <f t="shared" si="9"/>
        <v>250</v>
      </c>
      <c r="X68">
        <f t="shared" si="9"/>
        <v>250</v>
      </c>
      <c r="Y68">
        <f t="shared" si="9"/>
        <v>250</v>
      </c>
    </row>
    <row r="69" spans="1:25" x14ac:dyDescent="0.25">
      <c r="A69" s="1" t="s">
        <v>120</v>
      </c>
      <c r="B69">
        <f t="shared" si="3"/>
        <v>250</v>
      </c>
      <c r="C69">
        <f t="shared" si="3"/>
        <v>250</v>
      </c>
      <c r="D69">
        <f t="shared" si="4"/>
        <v>828.8</v>
      </c>
      <c r="E69">
        <f t="shared" si="5"/>
        <v>500</v>
      </c>
      <c r="F69">
        <f t="shared" si="5"/>
        <v>250</v>
      </c>
      <c r="G69">
        <f t="shared" si="6"/>
        <v>250</v>
      </c>
      <c r="H69">
        <f t="shared" si="6"/>
        <v>250</v>
      </c>
      <c r="I69">
        <f t="shared" si="7"/>
        <v>250</v>
      </c>
      <c r="J69">
        <f t="shared" si="7"/>
        <v>250</v>
      </c>
      <c r="K69">
        <f t="shared" si="7"/>
        <v>250</v>
      </c>
      <c r="L69">
        <f t="shared" si="7"/>
        <v>250</v>
      </c>
      <c r="M69">
        <f t="shared" si="8"/>
        <v>250</v>
      </c>
      <c r="N69">
        <f t="shared" si="9"/>
        <v>250</v>
      </c>
      <c r="O69">
        <f t="shared" si="9"/>
        <v>250</v>
      </c>
      <c r="P69">
        <f t="shared" si="9"/>
        <v>250</v>
      </c>
      <c r="Q69">
        <f t="shared" si="9"/>
        <v>250</v>
      </c>
      <c r="R69">
        <f t="shared" si="9"/>
        <v>250</v>
      </c>
      <c r="S69">
        <f t="shared" si="9"/>
        <v>250</v>
      </c>
      <c r="T69">
        <f t="shared" si="9"/>
        <v>250</v>
      </c>
      <c r="U69">
        <f t="shared" si="9"/>
        <v>250</v>
      </c>
      <c r="V69">
        <f t="shared" si="9"/>
        <v>250</v>
      </c>
      <c r="W69">
        <f t="shared" si="9"/>
        <v>250</v>
      </c>
      <c r="X69">
        <f t="shared" si="9"/>
        <v>250</v>
      </c>
      <c r="Y69">
        <f t="shared" si="9"/>
        <v>250</v>
      </c>
    </row>
    <row r="70" spans="1:25" x14ac:dyDescent="0.25">
      <c r="A70" s="1" t="s">
        <v>122</v>
      </c>
      <c r="B70">
        <f t="shared" si="3"/>
        <v>250</v>
      </c>
      <c r="C70">
        <f t="shared" si="3"/>
        <v>250</v>
      </c>
      <c r="D70">
        <f t="shared" si="4"/>
        <v>416</v>
      </c>
      <c r="E70">
        <f t="shared" si="5"/>
        <v>500</v>
      </c>
      <c r="F70">
        <f t="shared" si="5"/>
        <v>250</v>
      </c>
      <c r="G70">
        <f t="shared" si="6"/>
        <v>250</v>
      </c>
      <c r="H70">
        <f t="shared" si="6"/>
        <v>250</v>
      </c>
      <c r="I70">
        <f t="shared" si="7"/>
        <v>250</v>
      </c>
      <c r="J70">
        <f t="shared" si="7"/>
        <v>250</v>
      </c>
      <c r="K70">
        <f t="shared" si="7"/>
        <v>250</v>
      </c>
      <c r="L70">
        <f t="shared" si="7"/>
        <v>250</v>
      </c>
      <c r="M70">
        <f t="shared" si="8"/>
        <v>250</v>
      </c>
      <c r="N70">
        <f t="shared" si="9"/>
        <v>250</v>
      </c>
      <c r="O70">
        <f t="shared" si="9"/>
        <v>250</v>
      </c>
      <c r="P70">
        <f t="shared" si="9"/>
        <v>250</v>
      </c>
      <c r="Q70">
        <f t="shared" si="9"/>
        <v>250</v>
      </c>
      <c r="R70">
        <f t="shared" si="9"/>
        <v>250</v>
      </c>
      <c r="S70">
        <f t="shared" si="9"/>
        <v>250</v>
      </c>
      <c r="T70">
        <f t="shared" si="9"/>
        <v>250</v>
      </c>
      <c r="U70">
        <f t="shared" si="9"/>
        <v>250</v>
      </c>
      <c r="V70">
        <f t="shared" si="9"/>
        <v>250</v>
      </c>
      <c r="W70">
        <f t="shared" si="9"/>
        <v>250</v>
      </c>
      <c r="X70">
        <f t="shared" si="9"/>
        <v>250</v>
      </c>
      <c r="Y70">
        <f t="shared" si="9"/>
        <v>250</v>
      </c>
    </row>
    <row r="71" spans="1:25" x14ac:dyDescent="0.25">
      <c r="A71" s="1" t="s">
        <v>124</v>
      </c>
      <c r="B71">
        <f t="shared" si="3"/>
        <v>250</v>
      </c>
      <c r="C71">
        <f t="shared" si="3"/>
        <v>250</v>
      </c>
      <c r="D71">
        <f t="shared" si="4"/>
        <v>3684</v>
      </c>
      <c r="E71">
        <f t="shared" si="5"/>
        <v>500</v>
      </c>
      <c r="F71">
        <f t="shared" si="5"/>
        <v>250</v>
      </c>
      <c r="G71">
        <f t="shared" si="6"/>
        <v>250</v>
      </c>
      <c r="H71">
        <f t="shared" si="6"/>
        <v>3154</v>
      </c>
      <c r="I71">
        <f t="shared" si="7"/>
        <v>250</v>
      </c>
      <c r="J71">
        <f t="shared" si="7"/>
        <v>250</v>
      </c>
      <c r="K71">
        <f t="shared" si="7"/>
        <v>250</v>
      </c>
      <c r="L71">
        <f t="shared" si="7"/>
        <v>250</v>
      </c>
      <c r="M71">
        <f t="shared" si="8"/>
        <v>1934.65</v>
      </c>
      <c r="N71">
        <f t="shared" si="9"/>
        <v>250</v>
      </c>
      <c r="O71">
        <f t="shared" si="9"/>
        <v>250</v>
      </c>
      <c r="P71">
        <f t="shared" si="9"/>
        <v>250</v>
      </c>
      <c r="Q71">
        <f t="shared" si="9"/>
        <v>250</v>
      </c>
      <c r="R71">
        <f t="shared" si="9"/>
        <v>250</v>
      </c>
      <c r="S71">
        <f t="shared" si="9"/>
        <v>250</v>
      </c>
      <c r="T71">
        <f t="shared" si="9"/>
        <v>250</v>
      </c>
      <c r="U71">
        <f t="shared" si="9"/>
        <v>250</v>
      </c>
      <c r="V71">
        <f t="shared" si="9"/>
        <v>250</v>
      </c>
      <c r="W71">
        <f t="shared" si="9"/>
        <v>250</v>
      </c>
      <c r="X71">
        <f t="shared" si="9"/>
        <v>250</v>
      </c>
      <c r="Y71">
        <f t="shared" si="9"/>
        <v>250</v>
      </c>
    </row>
    <row r="72" spans="1:25" x14ac:dyDescent="0.25">
      <c r="A72" s="1" t="s">
        <v>126</v>
      </c>
      <c r="B72">
        <f t="shared" si="3"/>
        <v>250</v>
      </c>
      <c r="C72">
        <f t="shared" si="3"/>
        <v>250</v>
      </c>
      <c r="D72">
        <f t="shared" si="4"/>
        <v>2537.8000000000002</v>
      </c>
      <c r="E72">
        <f t="shared" si="5"/>
        <v>500</v>
      </c>
      <c r="F72">
        <f t="shared" si="5"/>
        <v>250</v>
      </c>
      <c r="G72">
        <f t="shared" si="6"/>
        <v>250</v>
      </c>
      <c r="H72">
        <f t="shared" si="6"/>
        <v>870.1</v>
      </c>
      <c r="I72">
        <f t="shared" si="7"/>
        <v>250</v>
      </c>
      <c r="J72">
        <f t="shared" si="7"/>
        <v>250</v>
      </c>
      <c r="K72">
        <f t="shared" si="7"/>
        <v>250</v>
      </c>
      <c r="L72">
        <f t="shared" si="7"/>
        <v>250</v>
      </c>
      <c r="M72">
        <f t="shared" si="8"/>
        <v>2284.6</v>
      </c>
      <c r="N72">
        <f t="shared" si="9"/>
        <v>250</v>
      </c>
      <c r="O72">
        <f t="shared" si="9"/>
        <v>250</v>
      </c>
      <c r="P72">
        <f t="shared" si="9"/>
        <v>250</v>
      </c>
      <c r="Q72">
        <f t="shared" si="9"/>
        <v>250</v>
      </c>
      <c r="R72">
        <f t="shared" si="9"/>
        <v>250</v>
      </c>
      <c r="S72">
        <f t="shared" si="9"/>
        <v>250</v>
      </c>
      <c r="T72">
        <f t="shared" si="9"/>
        <v>250</v>
      </c>
      <c r="U72">
        <f t="shared" si="9"/>
        <v>250</v>
      </c>
      <c r="V72">
        <f t="shared" si="9"/>
        <v>250</v>
      </c>
      <c r="W72">
        <f t="shared" si="9"/>
        <v>250</v>
      </c>
      <c r="X72">
        <f t="shared" si="9"/>
        <v>250</v>
      </c>
      <c r="Y72">
        <f t="shared" si="9"/>
        <v>250</v>
      </c>
    </row>
    <row r="73" spans="1:25" x14ac:dyDescent="0.25">
      <c r="A73" s="1" t="s">
        <v>128</v>
      </c>
      <c r="B73">
        <f t="shared" si="3"/>
        <v>250</v>
      </c>
      <c r="C73">
        <f t="shared" si="3"/>
        <v>250</v>
      </c>
      <c r="D73">
        <f t="shared" si="4"/>
        <v>768.4</v>
      </c>
      <c r="E73">
        <f t="shared" si="5"/>
        <v>500</v>
      </c>
      <c r="F73">
        <f t="shared" si="5"/>
        <v>250</v>
      </c>
      <c r="G73">
        <f t="shared" si="6"/>
        <v>1495.9</v>
      </c>
      <c r="H73">
        <f t="shared" si="6"/>
        <v>416.7</v>
      </c>
      <c r="I73">
        <f t="shared" si="7"/>
        <v>250</v>
      </c>
      <c r="J73">
        <f t="shared" si="7"/>
        <v>250</v>
      </c>
      <c r="K73">
        <f t="shared" si="7"/>
        <v>250</v>
      </c>
      <c r="L73">
        <f t="shared" si="7"/>
        <v>250</v>
      </c>
      <c r="M73">
        <f t="shared" si="8"/>
        <v>250</v>
      </c>
      <c r="N73">
        <f t="shared" si="9"/>
        <v>250</v>
      </c>
      <c r="O73">
        <f t="shared" si="9"/>
        <v>250</v>
      </c>
      <c r="P73">
        <f t="shared" si="9"/>
        <v>250</v>
      </c>
      <c r="Q73">
        <f t="shared" si="9"/>
        <v>250</v>
      </c>
      <c r="R73">
        <f t="shared" si="9"/>
        <v>250</v>
      </c>
      <c r="S73">
        <f t="shared" si="9"/>
        <v>250</v>
      </c>
      <c r="T73">
        <f t="shared" si="9"/>
        <v>250</v>
      </c>
      <c r="U73">
        <f t="shared" si="9"/>
        <v>250</v>
      </c>
      <c r="V73">
        <f t="shared" si="9"/>
        <v>250</v>
      </c>
      <c r="W73">
        <f t="shared" si="9"/>
        <v>250</v>
      </c>
      <c r="X73">
        <f t="shared" si="9"/>
        <v>250</v>
      </c>
      <c r="Y73">
        <f t="shared" si="9"/>
        <v>250</v>
      </c>
    </row>
    <row r="74" spans="1:25" x14ac:dyDescent="0.25">
      <c r="A74" s="1" t="s">
        <v>130</v>
      </c>
      <c r="B74">
        <f t="shared" si="3"/>
        <v>250</v>
      </c>
      <c r="C74">
        <f t="shared" si="3"/>
        <v>250</v>
      </c>
      <c r="D74">
        <f t="shared" si="4"/>
        <v>303.32</v>
      </c>
      <c r="E74">
        <f t="shared" si="5"/>
        <v>500</v>
      </c>
      <c r="F74">
        <f t="shared" si="5"/>
        <v>250</v>
      </c>
      <c r="G74">
        <f t="shared" si="6"/>
        <v>351.3</v>
      </c>
      <c r="H74">
        <f t="shared" si="6"/>
        <v>250</v>
      </c>
      <c r="I74">
        <f t="shared" si="7"/>
        <v>250</v>
      </c>
      <c r="J74">
        <f t="shared" si="7"/>
        <v>250</v>
      </c>
      <c r="K74">
        <f t="shared" si="7"/>
        <v>250</v>
      </c>
      <c r="L74">
        <f t="shared" si="7"/>
        <v>250</v>
      </c>
      <c r="M74">
        <f t="shared" si="8"/>
        <v>250</v>
      </c>
      <c r="N74">
        <f t="shared" ref="N74:Y83" si="10">MAX(N$57,N$58)</f>
        <v>250</v>
      </c>
      <c r="O74">
        <f t="shared" si="10"/>
        <v>250</v>
      </c>
      <c r="P74">
        <f t="shared" si="10"/>
        <v>250</v>
      </c>
      <c r="Q74">
        <f t="shared" si="10"/>
        <v>250</v>
      </c>
      <c r="R74">
        <f t="shared" si="10"/>
        <v>250</v>
      </c>
      <c r="S74">
        <f t="shared" si="10"/>
        <v>250</v>
      </c>
      <c r="T74">
        <f t="shared" si="10"/>
        <v>250</v>
      </c>
      <c r="U74">
        <f t="shared" si="10"/>
        <v>250</v>
      </c>
      <c r="V74">
        <f t="shared" si="10"/>
        <v>250</v>
      </c>
      <c r="W74">
        <f t="shared" si="10"/>
        <v>250</v>
      </c>
      <c r="X74">
        <f t="shared" si="10"/>
        <v>250</v>
      </c>
      <c r="Y74">
        <f t="shared" si="10"/>
        <v>250</v>
      </c>
    </row>
    <row r="75" spans="1:25" x14ac:dyDescent="0.25">
      <c r="A75" s="1" t="s">
        <v>132</v>
      </c>
      <c r="B75">
        <f t="shared" si="3"/>
        <v>250</v>
      </c>
      <c r="C75">
        <f t="shared" si="3"/>
        <v>250</v>
      </c>
      <c r="D75">
        <f t="shared" si="4"/>
        <v>1742.2</v>
      </c>
      <c r="E75">
        <f t="shared" si="5"/>
        <v>500</v>
      </c>
      <c r="F75">
        <f t="shared" si="5"/>
        <v>250</v>
      </c>
      <c r="G75">
        <f t="shared" si="6"/>
        <v>1098</v>
      </c>
      <c r="H75">
        <f t="shared" si="6"/>
        <v>1746</v>
      </c>
      <c r="I75">
        <f t="shared" si="7"/>
        <v>250</v>
      </c>
      <c r="J75">
        <f t="shared" si="7"/>
        <v>250</v>
      </c>
      <c r="K75">
        <f t="shared" si="7"/>
        <v>250</v>
      </c>
      <c r="L75">
        <f t="shared" si="7"/>
        <v>250</v>
      </c>
      <c r="M75">
        <f t="shared" si="8"/>
        <v>3017.6</v>
      </c>
      <c r="N75">
        <f t="shared" si="10"/>
        <v>250</v>
      </c>
      <c r="O75">
        <f t="shared" si="10"/>
        <v>250</v>
      </c>
      <c r="P75">
        <f t="shared" si="10"/>
        <v>250</v>
      </c>
      <c r="Q75">
        <f t="shared" si="10"/>
        <v>250</v>
      </c>
      <c r="R75">
        <f t="shared" si="10"/>
        <v>250</v>
      </c>
      <c r="S75">
        <f t="shared" si="10"/>
        <v>250</v>
      </c>
      <c r="T75">
        <f t="shared" si="10"/>
        <v>250</v>
      </c>
      <c r="U75">
        <f t="shared" si="10"/>
        <v>250</v>
      </c>
      <c r="V75">
        <f t="shared" si="10"/>
        <v>250</v>
      </c>
      <c r="W75">
        <f t="shared" si="10"/>
        <v>250</v>
      </c>
      <c r="X75">
        <f t="shared" si="10"/>
        <v>250</v>
      </c>
      <c r="Y75">
        <f t="shared" si="10"/>
        <v>250</v>
      </c>
    </row>
    <row r="76" spans="1:25" x14ac:dyDescent="0.25">
      <c r="A76" s="1" t="s">
        <v>134</v>
      </c>
      <c r="B76">
        <f t="shared" si="3"/>
        <v>250</v>
      </c>
      <c r="C76">
        <f t="shared" si="3"/>
        <v>250</v>
      </c>
      <c r="D76">
        <f t="shared" si="4"/>
        <v>1388</v>
      </c>
      <c r="E76">
        <f t="shared" si="5"/>
        <v>500</v>
      </c>
      <c r="F76">
        <f t="shared" si="5"/>
        <v>250</v>
      </c>
      <c r="G76">
        <f t="shared" si="6"/>
        <v>806</v>
      </c>
      <c r="H76">
        <f t="shared" si="6"/>
        <v>2102.1999999999998</v>
      </c>
      <c r="I76">
        <f t="shared" si="7"/>
        <v>250</v>
      </c>
      <c r="J76">
        <f t="shared" si="7"/>
        <v>250</v>
      </c>
      <c r="K76">
        <f t="shared" si="7"/>
        <v>250</v>
      </c>
      <c r="L76">
        <f t="shared" si="7"/>
        <v>250</v>
      </c>
      <c r="M76">
        <f t="shared" si="8"/>
        <v>1424.7</v>
      </c>
      <c r="N76">
        <f t="shared" si="10"/>
        <v>250</v>
      </c>
      <c r="O76">
        <f t="shared" si="10"/>
        <v>250</v>
      </c>
      <c r="P76">
        <f t="shared" si="10"/>
        <v>250</v>
      </c>
      <c r="Q76">
        <f t="shared" si="10"/>
        <v>250</v>
      </c>
      <c r="R76">
        <f t="shared" si="10"/>
        <v>250</v>
      </c>
      <c r="S76">
        <f t="shared" si="10"/>
        <v>250</v>
      </c>
      <c r="T76">
        <f t="shared" si="10"/>
        <v>250</v>
      </c>
      <c r="U76">
        <f t="shared" si="10"/>
        <v>250</v>
      </c>
      <c r="V76">
        <f t="shared" si="10"/>
        <v>250</v>
      </c>
      <c r="W76">
        <f t="shared" si="10"/>
        <v>250</v>
      </c>
      <c r="X76">
        <f t="shared" si="10"/>
        <v>250</v>
      </c>
      <c r="Y76">
        <f t="shared" si="10"/>
        <v>250</v>
      </c>
    </row>
    <row r="77" spans="1:25" x14ac:dyDescent="0.25">
      <c r="A77" s="1" t="s">
        <v>136</v>
      </c>
      <c r="B77">
        <f t="shared" si="3"/>
        <v>250</v>
      </c>
      <c r="C77">
        <f t="shared" si="3"/>
        <v>250</v>
      </c>
      <c r="D77">
        <f t="shared" si="4"/>
        <v>250</v>
      </c>
      <c r="E77">
        <f t="shared" si="5"/>
        <v>500</v>
      </c>
      <c r="F77">
        <f t="shared" si="5"/>
        <v>250</v>
      </c>
      <c r="G77">
        <f t="shared" si="6"/>
        <v>1646.8</v>
      </c>
      <c r="H77">
        <f t="shared" si="6"/>
        <v>250</v>
      </c>
      <c r="I77">
        <f t="shared" si="7"/>
        <v>250</v>
      </c>
      <c r="J77">
        <f t="shared" si="7"/>
        <v>250</v>
      </c>
      <c r="K77">
        <f t="shared" si="7"/>
        <v>250</v>
      </c>
      <c r="L77">
        <f t="shared" si="7"/>
        <v>250</v>
      </c>
      <c r="M77">
        <f t="shared" si="8"/>
        <v>419.2</v>
      </c>
      <c r="N77">
        <f t="shared" si="10"/>
        <v>250</v>
      </c>
      <c r="O77">
        <f t="shared" si="10"/>
        <v>250</v>
      </c>
      <c r="P77">
        <f t="shared" si="10"/>
        <v>250</v>
      </c>
      <c r="Q77">
        <f t="shared" si="10"/>
        <v>250</v>
      </c>
      <c r="R77">
        <f t="shared" si="10"/>
        <v>250</v>
      </c>
      <c r="S77">
        <f t="shared" si="10"/>
        <v>250</v>
      </c>
      <c r="T77">
        <f t="shared" si="10"/>
        <v>250</v>
      </c>
      <c r="U77">
        <f t="shared" si="10"/>
        <v>250</v>
      </c>
      <c r="V77">
        <f t="shared" si="10"/>
        <v>250</v>
      </c>
      <c r="W77">
        <f t="shared" si="10"/>
        <v>250</v>
      </c>
      <c r="X77">
        <f t="shared" si="10"/>
        <v>250</v>
      </c>
      <c r="Y77">
        <f t="shared" si="10"/>
        <v>250</v>
      </c>
    </row>
    <row r="78" spans="1:25" x14ac:dyDescent="0.25">
      <c r="A78" s="1" t="s">
        <v>138</v>
      </c>
      <c r="B78">
        <f t="shared" si="3"/>
        <v>250</v>
      </c>
      <c r="C78">
        <f t="shared" si="3"/>
        <v>250</v>
      </c>
      <c r="D78">
        <f t="shared" si="4"/>
        <v>1100</v>
      </c>
      <c r="E78">
        <f t="shared" si="5"/>
        <v>500</v>
      </c>
      <c r="F78">
        <f t="shared" si="5"/>
        <v>250</v>
      </c>
      <c r="G78">
        <f t="shared" si="6"/>
        <v>250</v>
      </c>
      <c r="H78">
        <f t="shared" si="6"/>
        <v>710</v>
      </c>
      <c r="I78">
        <f t="shared" si="7"/>
        <v>250</v>
      </c>
      <c r="J78">
        <f t="shared" si="7"/>
        <v>250</v>
      </c>
      <c r="K78">
        <f t="shared" si="7"/>
        <v>250</v>
      </c>
      <c r="L78">
        <f t="shared" si="7"/>
        <v>250</v>
      </c>
      <c r="M78">
        <f t="shared" si="8"/>
        <v>1724.6</v>
      </c>
      <c r="N78">
        <f t="shared" si="10"/>
        <v>250</v>
      </c>
      <c r="O78">
        <f t="shared" si="10"/>
        <v>250</v>
      </c>
      <c r="P78">
        <f t="shared" si="10"/>
        <v>250</v>
      </c>
      <c r="Q78">
        <f t="shared" si="10"/>
        <v>250</v>
      </c>
      <c r="R78">
        <f t="shared" si="10"/>
        <v>250</v>
      </c>
      <c r="S78">
        <f t="shared" si="10"/>
        <v>250</v>
      </c>
      <c r="T78">
        <f t="shared" si="10"/>
        <v>250</v>
      </c>
      <c r="U78">
        <f t="shared" si="10"/>
        <v>250</v>
      </c>
      <c r="V78">
        <f t="shared" si="10"/>
        <v>250</v>
      </c>
      <c r="W78">
        <f t="shared" si="10"/>
        <v>250</v>
      </c>
      <c r="X78">
        <f t="shared" si="10"/>
        <v>250</v>
      </c>
      <c r="Y78">
        <f t="shared" si="10"/>
        <v>250</v>
      </c>
    </row>
    <row r="79" spans="1:25" x14ac:dyDescent="0.25">
      <c r="A79" s="1" t="s">
        <v>140</v>
      </c>
      <c r="B79">
        <f t="shared" si="3"/>
        <v>250</v>
      </c>
      <c r="C79">
        <f t="shared" si="3"/>
        <v>250</v>
      </c>
      <c r="D79">
        <f t="shared" si="4"/>
        <v>4506.8</v>
      </c>
      <c r="E79">
        <f t="shared" si="5"/>
        <v>500</v>
      </c>
      <c r="F79">
        <f t="shared" si="5"/>
        <v>250</v>
      </c>
      <c r="G79">
        <f t="shared" si="6"/>
        <v>250</v>
      </c>
      <c r="H79">
        <f t="shared" si="6"/>
        <v>708.1</v>
      </c>
      <c r="I79">
        <f t="shared" si="7"/>
        <v>250</v>
      </c>
      <c r="J79">
        <f t="shared" si="7"/>
        <v>250</v>
      </c>
      <c r="K79">
        <f t="shared" si="7"/>
        <v>250</v>
      </c>
      <c r="L79">
        <f t="shared" si="7"/>
        <v>250</v>
      </c>
      <c r="M79">
        <f t="shared" si="8"/>
        <v>511.1</v>
      </c>
      <c r="N79">
        <f t="shared" si="10"/>
        <v>250</v>
      </c>
      <c r="O79">
        <f t="shared" si="10"/>
        <v>250</v>
      </c>
      <c r="P79">
        <f t="shared" si="10"/>
        <v>250</v>
      </c>
      <c r="Q79">
        <f t="shared" si="10"/>
        <v>250</v>
      </c>
      <c r="R79">
        <f t="shared" si="10"/>
        <v>250</v>
      </c>
      <c r="S79">
        <f t="shared" si="10"/>
        <v>250</v>
      </c>
      <c r="T79">
        <f t="shared" si="10"/>
        <v>250</v>
      </c>
      <c r="U79">
        <f t="shared" si="10"/>
        <v>250</v>
      </c>
      <c r="V79">
        <f t="shared" si="10"/>
        <v>250</v>
      </c>
      <c r="W79">
        <f t="shared" si="10"/>
        <v>250</v>
      </c>
      <c r="X79">
        <f t="shared" si="10"/>
        <v>250</v>
      </c>
      <c r="Y79">
        <f t="shared" si="10"/>
        <v>250</v>
      </c>
    </row>
    <row r="80" spans="1:25" x14ac:dyDescent="0.25">
      <c r="A80" s="1" t="s">
        <v>142</v>
      </c>
      <c r="B80">
        <f t="shared" si="3"/>
        <v>250</v>
      </c>
      <c r="C80">
        <f t="shared" si="3"/>
        <v>250</v>
      </c>
      <c r="D80">
        <f t="shared" si="4"/>
        <v>1156.4000000000001</v>
      </c>
      <c r="E80">
        <f t="shared" si="5"/>
        <v>500</v>
      </c>
      <c r="F80">
        <f t="shared" si="5"/>
        <v>250</v>
      </c>
      <c r="G80">
        <f t="shared" si="6"/>
        <v>250</v>
      </c>
      <c r="H80">
        <f t="shared" si="6"/>
        <v>250</v>
      </c>
      <c r="I80">
        <f t="shared" si="7"/>
        <v>250</v>
      </c>
      <c r="J80">
        <f t="shared" si="7"/>
        <v>250</v>
      </c>
      <c r="K80">
        <f t="shared" si="7"/>
        <v>250</v>
      </c>
      <c r="L80">
        <f t="shared" si="7"/>
        <v>250</v>
      </c>
      <c r="M80">
        <f t="shared" si="8"/>
        <v>250</v>
      </c>
      <c r="N80">
        <f t="shared" si="10"/>
        <v>250</v>
      </c>
      <c r="O80">
        <f t="shared" si="10"/>
        <v>250</v>
      </c>
      <c r="P80">
        <f t="shared" si="10"/>
        <v>250</v>
      </c>
      <c r="Q80">
        <f t="shared" si="10"/>
        <v>250</v>
      </c>
      <c r="R80">
        <f t="shared" si="10"/>
        <v>250</v>
      </c>
      <c r="S80">
        <f t="shared" si="10"/>
        <v>250</v>
      </c>
      <c r="T80">
        <f t="shared" si="10"/>
        <v>250</v>
      </c>
      <c r="U80">
        <f t="shared" si="10"/>
        <v>250</v>
      </c>
      <c r="V80">
        <f t="shared" si="10"/>
        <v>250</v>
      </c>
      <c r="W80">
        <f t="shared" si="10"/>
        <v>250</v>
      </c>
      <c r="X80">
        <f t="shared" si="10"/>
        <v>250</v>
      </c>
      <c r="Y80">
        <f t="shared" si="10"/>
        <v>250</v>
      </c>
    </row>
    <row r="81" spans="1:25" x14ac:dyDescent="0.25">
      <c r="A81" s="1" t="s">
        <v>144</v>
      </c>
      <c r="B81">
        <f t="shared" si="3"/>
        <v>250</v>
      </c>
      <c r="C81">
        <f t="shared" si="3"/>
        <v>250</v>
      </c>
      <c r="D81">
        <f t="shared" si="4"/>
        <v>2228.4</v>
      </c>
      <c r="E81">
        <f t="shared" si="5"/>
        <v>500</v>
      </c>
      <c r="F81">
        <f t="shared" si="5"/>
        <v>250</v>
      </c>
      <c r="G81">
        <f t="shared" si="6"/>
        <v>250</v>
      </c>
      <c r="H81">
        <f t="shared" si="6"/>
        <v>336.5</v>
      </c>
      <c r="I81">
        <f t="shared" si="7"/>
        <v>250</v>
      </c>
      <c r="J81">
        <f t="shared" si="7"/>
        <v>250</v>
      </c>
      <c r="K81">
        <f t="shared" si="7"/>
        <v>250</v>
      </c>
      <c r="L81">
        <f t="shared" si="7"/>
        <v>250</v>
      </c>
      <c r="M81">
        <f t="shared" si="8"/>
        <v>695.4</v>
      </c>
      <c r="N81">
        <f t="shared" si="10"/>
        <v>250</v>
      </c>
      <c r="O81">
        <f t="shared" si="10"/>
        <v>250</v>
      </c>
      <c r="P81">
        <f t="shared" si="10"/>
        <v>250</v>
      </c>
      <c r="Q81">
        <f t="shared" si="10"/>
        <v>250</v>
      </c>
      <c r="R81">
        <f t="shared" si="10"/>
        <v>250</v>
      </c>
      <c r="S81">
        <f t="shared" si="10"/>
        <v>250</v>
      </c>
      <c r="T81">
        <f t="shared" si="10"/>
        <v>250</v>
      </c>
      <c r="U81">
        <f t="shared" si="10"/>
        <v>250</v>
      </c>
      <c r="V81">
        <f t="shared" si="10"/>
        <v>250</v>
      </c>
      <c r="W81">
        <f t="shared" si="10"/>
        <v>250</v>
      </c>
      <c r="X81">
        <f t="shared" si="10"/>
        <v>250</v>
      </c>
      <c r="Y81">
        <f t="shared" si="10"/>
        <v>250</v>
      </c>
    </row>
    <row r="82" spans="1:25" x14ac:dyDescent="0.25">
      <c r="A82" s="1" t="s">
        <v>146</v>
      </c>
      <c r="B82">
        <f t="shared" si="3"/>
        <v>250</v>
      </c>
      <c r="C82">
        <f t="shared" si="3"/>
        <v>250</v>
      </c>
      <c r="D82">
        <f t="shared" si="4"/>
        <v>751.4</v>
      </c>
      <c r="E82">
        <f t="shared" si="5"/>
        <v>500</v>
      </c>
      <c r="F82">
        <f t="shared" si="5"/>
        <v>250</v>
      </c>
      <c r="G82">
        <f t="shared" si="6"/>
        <v>286</v>
      </c>
      <c r="H82">
        <f t="shared" si="6"/>
        <v>313.05</v>
      </c>
      <c r="I82">
        <f t="shared" si="7"/>
        <v>250</v>
      </c>
      <c r="J82">
        <f t="shared" si="7"/>
        <v>250</v>
      </c>
      <c r="K82">
        <f t="shared" si="7"/>
        <v>250</v>
      </c>
      <c r="L82">
        <f t="shared" si="7"/>
        <v>250</v>
      </c>
      <c r="M82">
        <f t="shared" si="8"/>
        <v>250</v>
      </c>
      <c r="N82">
        <f t="shared" si="10"/>
        <v>250</v>
      </c>
      <c r="O82">
        <f t="shared" si="10"/>
        <v>250</v>
      </c>
      <c r="P82">
        <f t="shared" si="10"/>
        <v>250</v>
      </c>
      <c r="Q82">
        <f t="shared" si="10"/>
        <v>250</v>
      </c>
      <c r="R82">
        <f t="shared" si="10"/>
        <v>250</v>
      </c>
      <c r="S82">
        <f t="shared" si="10"/>
        <v>250</v>
      </c>
      <c r="T82">
        <f t="shared" si="10"/>
        <v>250</v>
      </c>
      <c r="U82">
        <f t="shared" si="10"/>
        <v>250</v>
      </c>
      <c r="V82">
        <f t="shared" si="10"/>
        <v>250</v>
      </c>
      <c r="W82">
        <f t="shared" si="10"/>
        <v>250</v>
      </c>
      <c r="X82">
        <f t="shared" si="10"/>
        <v>250</v>
      </c>
      <c r="Y82">
        <f t="shared" si="10"/>
        <v>250</v>
      </c>
    </row>
    <row r="83" spans="1:25" x14ac:dyDescent="0.25">
      <c r="A83" s="1" t="s">
        <v>148</v>
      </c>
      <c r="B83">
        <f t="shared" si="3"/>
        <v>250</v>
      </c>
      <c r="C83">
        <f t="shared" si="3"/>
        <v>250</v>
      </c>
      <c r="D83">
        <f t="shared" si="4"/>
        <v>2420.6</v>
      </c>
      <c r="E83">
        <f t="shared" si="5"/>
        <v>500</v>
      </c>
      <c r="F83">
        <f t="shared" si="5"/>
        <v>250</v>
      </c>
      <c r="G83">
        <f t="shared" si="6"/>
        <v>610.20000000000005</v>
      </c>
      <c r="H83">
        <f t="shared" si="6"/>
        <v>807.8</v>
      </c>
      <c r="I83">
        <f t="shared" si="7"/>
        <v>250</v>
      </c>
      <c r="J83">
        <f t="shared" si="7"/>
        <v>250</v>
      </c>
      <c r="K83">
        <f t="shared" si="7"/>
        <v>250</v>
      </c>
      <c r="L83">
        <f t="shared" si="7"/>
        <v>250</v>
      </c>
      <c r="M83">
        <f t="shared" si="8"/>
        <v>1313.8</v>
      </c>
      <c r="N83">
        <f t="shared" si="10"/>
        <v>250</v>
      </c>
      <c r="O83">
        <f t="shared" si="10"/>
        <v>250</v>
      </c>
      <c r="P83">
        <f t="shared" si="10"/>
        <v>250</v>
      </c>
      <c r="Q83">
        <f t="shared" si="10"/>
        <v>250</v>
      </c>
      <c r="R83">
        <f t="shared" si="10"/>
        <v>250</v>
      </c>
      <c r="S83">
        <f t="shared" si="10"/>
        <v>250</v>
      </c>
      <c r="T83">
        <f t="shared" si="10"/>
        <v>250</v>
      </c>
      <c r="U83">
        <f t="shared" si="10"/>
        <v>250</v>
      </c>
      <c r="V83">
        <f t="shared" si="10"/>
        <v>250</v>
      </c>
      <c r="W83">
        <f t="shared" si="10"/>
        <v>250</v>
      </c>
      <c r="X83">
        <f t="shared" si="10"/>
        <v>250</v>
      </c>
      <c r="Y83">
        <f t="shared" si="10"/>
        <v>250</v>
      </c>
    </row>
    <row r="84" spans="1:25" x14ac:dyDescent="0.25">
      <c r="A84" s="1" t="s">
        <v>149</v>
      </c>
      <c r="B84">
        <f t="shared" ref="B84:C103" si="11">MAX(B$57,B$58)</f>
        <v>250</v>
      </c>
      <c r="C84">
        <f t="shared" si="11"/>
        <v>250</v>
      </c>
      <c r="D84">
        <f t="shared" si="4"/>
        <v>530</v>
      </c>
      <c r="E84">
        <f t="shared" ref="E84:F103" si="12">MAX(E$57,E$58)</f>
        <v>500</v>
      </c>
      <c r="F84">
        <f t="shared" si="12"/>
        <v>250</v>
      </c>
      <c r="G84">
        <f t="shared" ref="G84:H103" si="13">MAX(G24,G$57,G$58)</f>
        <v>566.1</v>
      </c>
      <c r="H84">
        <f t="shared" si="13"/>
        <v>351.38</v>
      </c>
      <c r="I84">
        <f t="shared" ref="I84:L103" si="14">MAX(I$57,I$58)</f>
        <v>250</v>
      </c>
      <c r="J84">
        <f t="shared" si="14"/>
        <v>250</v>
      </c>
      <c r="K84">
        <f t="shared" si="14"/>
        <v>250</v>
      </c>
      <c r="L84">
        <f t="shared" si="14"/>
        <v>250</v>
      </c>
      <c r="M84">
        <f t="shared" si="8"/>
        <v>863</v>
      </c>
      <c r="N84">
        <f t="shared" ref="N84:Y93" si="15">MAX(N$57,N$58)</f>
        <v>250</v>
      </c>
      <c r="O84">
        <f t="shared" si="15"/>
        <v>250</v>
      </c>
      <c r="P84">
        <f t="shared" si="15"/>
        <v>250</v>
      </c>
      <c r="Q84">
        <f t="shared" si="15"/>
        <v>250</v>
      </c>
      <c r="R84">
        <f t="shared" si="15"/>
        <v>250</v>
      </c>
      <c r="S84">
        <f t="shared" si="15"/>
        <v>250</v>
      </c>
      <c r="T84">
        <f t="shared" si="15"/>
        <v>250</v>
      </c>
      <c r="U84">
        <f t="shared" si="15"/>
        <v>250</v>
      </c>
      <c r="V84">
        <f t="shared" si="15"/>
        <v>250</v>
      </c>
      <c r="W84">
        <f t="shared" si="15"/>
        <v>250</v>
      </c>
      <c r="X84">
        <f t="shared" si="15"/>
        <v>250</v>
      </c>
      <c r="Y84">
        <f t="shared" si="15"/>
        <v>250</v>
      </c>
    </row>
    <row r="85" spans="1:25" x14ac:dyDescent="0.25">
      <c r="A85" s="1" t="s">
        <v>151</v>
      </c>
      <c r="B85">
        <f t="shared" si="11"/>
        <v>250</v>
      </c>
      <c r="C85">
        <f t="shared" si="11"/>
        <v>250</v>
      </c>
      <c r="D85">
        <f t="shared" si="4"/>
        <v>1001.7</v>
      </c>
      <c r="E85">
        <f t="shared" si="12"/>
        <v>500</v>
      </c>
      <c r="F85">
        <f t="shared" si="12"/>
        <v>250</v>
      </c>
      <c r="G85">
        <f t="shared" si="13"/>
        <v>999.5</v>
      </c>
      <c r="H85">
        <f t="shared" si="13"/>
        <v>866.9</v>
      </c>
      <c r="I85">
        <f t="shared" si="14"/>
        <v>250</v>
      </c>
      <c r="J85">
        <f t="shared" si="14"/>
        <v>250</v>
      </c>
      <c r="K85">
        <f t="shared" si="14"/>
        <v>250</v>
      </c>
      <c r="L85">
        <f t="shared" si="14"/>
        <v>250</v>
      </c>
      <c r="M85">
        <f t="shared" si="8"/>
        <v>751.4</v>
      </c>
      <c r="N85">
        <f t="shared" si="15"/>
        <v>250</v>
      </c>
      <c r="O85">
        <f t="shared" si="15"/>
        <v>250</v>
      </c>
      <c r="P85">
        <f t="shared" si="15"/>
        <v>250</v>
      </c>
      <c r="Q85">
        <f t="shared" si="15"/>
        <v>250</v>
      </c>
      <c r="R85">
        <f t="shared" si="15"/>
        <v>250</v>
      </c>
      <c r="S85">
        <f t="shared" si="15"/>
        <v>250</v>
      </c>
      <c r="T85">
        <f t="shared" si="15"/>
        <v>250</v>
      </c>
      <c r="U85">
        <f t="shared" si="15"/>
        <v>250</v>
      </c>
      <c r="V85">
        <f t="shared" si="15"/>
        <v>250</v>
      </c>
      <c r="W85">
        <f t="shared" si="15"/>
        <v>250</v>
      </c>
      <c r="X85">
        <f t="shared" si="15"/>
        <v>250</v>
      </c>
      <c r="Y85">
        <f t="shared" si="15"/>
        <v>250</v>
      </c>
    </row>
    <row r="86" spans="1:25" x14ac:dyDescent="0.25">
      <c r="A86" s="1" t="s">
        <v>153</v>
      </c>
      <c r="B86">
        <f t="shared" si="11"/>
        <v>250</v>
      </c>
      <c r="C86">
        <f t="shared" si="11"/>
        <v>250</v>
      </c>
      <c r="D86">
        <f t="shared" si="4"/>
        <v>3527.2</v>
      </c>
      <c r="E86">
        <f t="shared" si="12"/>
        <v>500</v>
      </c>
      <c r="F86">
        <f t="shared" si="12"/>
        <v>250</v>
      </c>
      <c r="G86">
        <f t="shared" si="13"/>
        <v>250</v>
      </c>
      <c r="H86">
        <f t="shared" si="13"/>
        <v>794.1</v>
      </c>
      <c r="I86">
        <f t="shared" si="14"/>
        <v>250</v>
      </c>
      <c r="J86">
        <f t="shared" si="14"/>
        <v>250</v>
      </c>
      <c r="K86">
        <f t="shared" si="14"/>
        <v>250</v>
      </c>
      <c r="L86">
        <f t="shared" si="14"/>
        <v>250</v>
      </c>
      <c r="M86">
        <f t="shared" si="8"/>
        <v>601.20000000000005</v>
      </c>
      <c r="N86">
        <f t="shared" si="15"/>
        <v>250</v>
      </c>
      <c r="O86">
        <f t="shared" si="15"/>
        <v>250</v>
      </c>
      <c r="P86">
        <f t="shared" si="15"/>
        <v>250</v>
      </c>
      <c r="Q86">
        <f t="shared" si="15"/>
        <v>250</v>
      </c>
      <c r="R86">
        <f t="shared" si="15"/>
        <v>250</v>
      </c>
      <c r="S86">
        <f t="shared" si="15"/>
        <v>250</v>
      </c>
      <c r="T86">
        <f t="shared" si="15"/>
        <v>250</v>
      </c>
      <c r="U86">
        <f t="shared" si="15"/>
        <v>250</v>
      </c>
      <c r="V86">
        <f t="shared" si="15"/>
        <v>250</v>
      </c>
      <c r="W86">
        <f t="shared" si="15"/>
        <v>250</v>
      </c>
      <c r="X86">
        <f t="shared" si="15"/>
        <v>250</v>
      </c>
      <c r="Y86">
        <f t="shared" si="15"/>
        <v>250</v>
      </c>
    </row>
    <row r="87" spans="1:25" x14ac:dyDescent="0.25">
      <c r="A87" s="1" t="s">
        <v>155</v>
      </c>
      <c r="B87">
        <f t="shared" si="11"/>
        <v>250</v>
      </c>
      <c r="C87">
        <f t="shared" si="11"/>
        <v>250</v>
      </c>
      <c r="D87">
        <f t="shared" si="4"/>
        <v>250</v>
      </c>
      <c r="E87">
        <f t="shared" si="12"/>
        <v>500</v>
      </c>
      <c r="F87">
        <f t="shared" si="12"/>
        <v>250</v>
      </c>
      <c r="G87">
        <f t="shared" si="13"/>
        <v>365.5</v>
      </c>
      <c r="H87">
        <f t="shared" si="13"/>
        <v>250</v>
      </c>
      <c r="I87">
        <f t="shared" si="14"/>
        <v>250</v>
      </c>
      <c r="J87">
        <f t="shared" si="14"/>
        <v>250</v>
      </c>
      <c r="K87">
        <f t="shared" si="14"/>
        <v>250</v>
      </c>
      <c r="L87">
        <f t="shared" si="14"/>
        <v>250</v>
      </c>
      <c r="M87">
        <f t="shared" si="8"/>
        <v>250</v>
      </c>
      <c r="N87">
        <f t="shared" si="15"/>
        <v>250</v>
      </c>
      <c r="O87">
        <f t="shared" si="15"/>
        <v>250</v>
      </c>
      <c r="P87">
        <f t="shared" si="15"/>
        <v>250</v>
      </c>
      <c r="Q87">
        <f t="shared" si="15"/>
        <v>250</v>
      </c>
      <c r="R87">
        <f t="shared" si="15"/>
        <v>250</v>
      </c>
      <c r="S87">
        <f t="shared" si="15"/>
        <v>250</v>
      </c>
      <c r="T87">
        <f t="shared" si="15"/>
        <v>250</v>
      </c>
      <c r="U87">
        <f t="shared" si="15"/>
        <v>250</v>
      </c>
      <c r="V87">
        <f t="shared" si="15"/>
        <v>250</v>
      </c>
      <c r="W87">
        <f t="shared" si="15"/>
        <v>250</v>
      </c>
      <c r="X87">
        <f t="shared" si="15"/>
        <v>250</v>
      </c>
      <c r="Y87">
        <f t="shared" si="15"/>
        <v>250</v>
      </c>
    </row>
    <row r="88" spans="1:25" x14ac:dyDescent="0.25">
      <c r="A88" s="1" t="s">
        <v>157</v>
      </c>
      <c r="B88">
        <f t="shared" si="11"/>
        <v>250</v>
      </c>
      <c r="C88">
        <f t="shared" si="11"/>
        <v>250</v>
      </c>
      <c r="D88">
        <f t="shared" si="4"/>
        <v>1554</v>
      </c>
      <c r="E88">
        <f t="shared" si="12"/>
        <v>500</v>
      </c>
      <c r="F88">
        <f t="shared" si="12"/>
        <v>250</v>
      </c>
      <c r="G88">
        <f t="shared" si="13"/>
        <v>250</v>
      </c>
      <c r="H88">
        <f t="shared" si="13"/>
        <v>994.1</v>
      </c>
      <c r="I88">
        <f t="shared" si="14"/>
        <v>250</v>
      </c>
      <c r="J88">
        <f t="shared" si="14"/>
        <v>250</v>
      </c>
      <c r="K88">
        <f t="shared" si="14"/>
        <v>250</v>
      </c>
      <c r="L88">
        <f t="shared" si="14"/>
        <v>250</v>
      </c>
      <c r="M88">
        <f t="shared" si="8"/>
        <v>1654</v>
      </c>
      <c r="N88">
        <f t="shared" si="15"/>
        <v>250</v>
      </c>
      <c r="O88">
        <f t="shared" si="15"/>
        <v>250</v>
      </c>
      <c r="P88">
        <f t="shared" si="15"/>
        <v>250</v>
      </c>
      <c r="Q88">
        <f t="shared" si="15"/>
        <v>250</v>
      </c>
      <c r="R88">
        <f t="shared" si="15"/>
        <v>250</v>
      </c>
      <c r="S88">
        <f t="shared" si="15"/>
        <v>250</v>
      </c>
      <c r="T88">
        <f t="shared" si="15"/>
        <v>250</v>
      </c>
      <c r="U88">
        <f t="shared" si="15"/>
        <v>250</v>
      </c>
      <c r="V88">
        <f t="shared" si="15"/>
        <v>250</v>
      </c>
      <c r="W88">
        <f t="shared" si="15"/>
        <v>250</v>
      </c>
      <c r="X88">
        <f t="shared" si="15"/>
        <v>250</v>
      </c>
      <c r="Y88">
        <f t="shared" si="15"/>
        <v>250</v>
      </c>
    </row>
    <row r="89" spans="1:25" x14ac:dyDescent="0.25">
      <c r="A89" s="1" t="s">
        <v>159</v>
      </c>
      <c r="B89">
        <f t="shared" si="11"/>
        <v>250</v>
      </c>
      <c r="C89">
        <f t="shared" si="11"/>
        <v>250</v>
      </c>
      <c r="D89">
        <f t="shared" si="4"/>
        <v>250</v>
      </c>
      <c r="E89">
        <f t="shared" si="12"/>
        <v>500</v>
      </c>
      <c r="F89">
        <f t="shared" si="12"/>
        <v>250</v>
      </c>
      <c r="G89">
        <f t="shared" si="13"/>
        <v>604</v>
      </c>
      <c r="H89">
        <f t="shared" si="13"/>
        <v>250</v>
      </c>
      <c r="I89">
        <f t="shared" si="14"/>
        <v>250</v>
      </c>
      <c r="J89">
        <f t="shared" si="14"/>
        <v>250</v>
      </c>
      <c r="K89">
        <f t="shared" si="14"/>
        <v>250</v>
      </c>
      <c r="L89">
        <f t="shared" si="14"/>
        <v>250</v>
      </c>
      <c r="M89">
        <f t="shared" si="8"/>
        <v>530.20000000000005</v>
      </c>
      <c r="N89">
        <f t="shared" si="15"/>
        <v>250</v>
      </c>
      <c r="O89">
        <f t="shared" si="15"/>
        <v>250</v>
      </c>
      <c r="P89">
        <f t="shared" si="15"/>
        <v>250</v>
      </c>
      <c r="Q89">
        <f t="shared" si="15"/>
        <v>250</v>
      </c>
      <c r="R89">
        <f t="shared" si="15"/>
        <v>250</v>
      </c>
      <c r="S89">
        <f t="shared" si="15"/>
        <v>250</v>
      </c>
      <c r="T89">
        <f t="shared" si="15"/>
        <v>250</v>
      </c>
      <c r="U89">
        <f t="shared" si="15"/>
        <v>250</v>
      </c>
      <c r="V89">
        <f t="shared" si="15"/>
        <v>250</v>
      </c>
      <c r="W89">
        <f t="shared" si="15"/>
        <v>250</v>
      </c>
      <c r="X89">
        <f t="shared" si="15"/>
        <v>250</v>
      </c>
      <c r="Y89">
        <f t="shared" si="15"/>
        <v>250</v>
      </c>
    </row>
    <row r="90" spans="1:25" x14ac:dyDescent="0.25">
      <c r="A90" s="1" t="s">
        <v>161</v>
      </c>
      <c r="B90">
        <f t="shared" si="11"/>
        <v>250</v>
      </c>
      <c r="C90">
        <f t="shared" si="11"/>
        <v>250</v>
      </c>
      <c r="D90">
        <f t="shared" si="4"/>
        <v>250</v>
      </c>
      <c r="E90">
        <f t="shared" si="12"/>
        <v>500</v>
      </c>
      <c r="F90">
        <f t="shared" si="12"/>
        <v>250</v>
      </c>
      <c r="G90">
        <f t="shared" si="13"/>
        <v>603.6</v>
      </c>
      <c r="H90">
        <f t="shared" si="13"/>
        <v>250</v>
      </c>
      <c r="I90">
        <f t="shared" si="14"/>
        <v>250</v>
      </c>
      <c r="J90">
        <f t="shared" si="14"/>
        <v>250</v>
      </c>
      <c r="K90">
        <f t="shared" si="14"/>
        <v>250</v>
      </c>
      <c r="L90">
        <f t="shared" si="14"/>
        <v>250</v>
      </c>
      <c r="M90">
        <f t="shared" si="8"/>
        <v>593.4</v>
      </c>
      <c r="N90">
        <f t="shared" si="15"/>
        <v>250</v>
      </c>
      <c r="O90">
        <f t="shared" si="15"/>
        <v>250</v>
      </c>
      <c r="P90">
        <f t="shared" si="15"/>
        <v>250</v>
      </c>
      <c r="Q90">
        <f t="shared" si="15"/>
        <v>250</v>
      </c>
      <c r="R90">
        <f t="shared" si="15"/>
        <v>250</v>
      </c>
      <c r="S90">
        <f t="shared" si="15"/>
        <v>250</v>
      </c>
      <c r="T90">
        <f t="shared" si="15"/>
        <v>250</v>
      </c>
      <c r="U90">
        <f t="shared" si="15"/>
        <v>250</v>
      </c>
      <c r="V90">
        <f t="shared" si="15"/>
        <v>250</v>
      </c>
      <c r="W90">
        <f t="shared" si="15"/>
        <v>250</v>
      </c>
      <c r="X90">
        <f t="shared" si="15"/>
        <v>250</v>
      </c>
      <c r="Y90">
        <f t="shared" si="15"/>
        <v>250</v>
      </c>
    </row>
    <row r="91" spans="1:25" x14ac:dyDescent="0.25">
      <c r="A91" s="1" t="s">
        <v>163</v>
      </c>
      <c r="B91">
        <f t="shared" si="11"/>
        <v>250</v>
      </c>
      <c r="C91">
        <f t="shared" si="11"/>
        <v>250</v>
      </c>
      <c r="D91">
        <f t="shared" si="4"/>
        <v>668</v>
      </c>
      <c r="E91">
        <f t="shared" si="12"/>
        <v>500</v>
      </c>
      <c r="F91">
        <f t="shared" si="12"/>
        <v>250</v>
      </c>
      <c r="G91">
        <f t="shared" si="13"/>
        <v>250</v>
      </c>
      <c r="H91">
        <f t="shared" si="13"/>
        <v>250</v>
      </c>
      <c r="I91">
        <f t="shared" si="14"/>
        <v>250</v>
      </c>
      <c r="J91">
        <f t="shared" si="14"/>
        <v>250</v>
      </c>
      <c r="K91">
        <f t="shared" si="14"/>
        <v>250</v>
      </c>
      <c r="L91">
        <f t="shared" si="14"/>
        <v>250</v>
      </c>
      <c r="M91">
        <f t="shared" si="8"/>
        <v>250</v>
      </c>
      <c r="N91">
        <f t="shared" si="15"/>
        <v>250</v>
      </c>
      <c r="O91">
        <f t="shared" si="15"/>
        <v>250</v>
      </c>
      <c r="P91">
        <f t="shared" si="15"/>
        <v>250</v>
      </c>
      <c r="Q91">
        <f t="shared" si="15"/>
        <v>250</v>
      </c>
      <c r="R91">
        <f t="shared" si="15"/>
        <v>250</v>
      </c>
      <c r="S91">
        <f t="shared" si="15"/>
        <v>250</v>
      </c>
      <c r="T91">
        <f t="shared" si="15"/>
        <v>250</v>
      </c>
      <c r="U91">
        <f t="shared" si="15"/>
        <v>250</v>
      </c>
      <c r="V91">
        <f t="shared" si="15"/>
        <v>250</v>
      </c>
      <c r="W91">
        <f t="shared" si="15"/>
        <v>250</v>
      </c>
      <c r="X91">
        <f t="shared" si="15"/>
        <v>250</v>
      </c>
      <c r="Y91">
        <f t="shared" si="15"/>
        <v>250</v>
      </c>
    </row>
    <row r="92" spans="1:25" x14ac:dyDescent="0.25">
      <c r="A92" s="1" t="s">
        <v>165</v>
      </c>
      <c r="B92">
        <f t="shared" si="11"/>
        <v>250</v>
      </c>
      <c r="C92">
        <f t="shared" si="11"/>
        <v>250</v>
      </c>
      <c r="D92">
        <f t="shared" si="4"/>
        <v>1534</v>
      </c>
      <c r="E92">
        <f t="shared" si="12"/>
        <v>500</v>
      </c>
      <c r="F92">
        <f t="shared" si="12"/>
        <v>250</v>
      </c>
      <c r="G92">
        <f t="shared" si="13"/>
        <v>250</v>
      </c>
      <c r="H92">
        <f t="shared" si="13"/>
        <v>250</v>
      </c>
      <c r="I92">
        <f t="shared" si="14"/>
        <v>250</v>
      </c>
      <c r="J92">
        <f t="shared" si="14"/>
        <v>250</v>
      </c>
      <c r="K92">
        <f t="shared" si="14"/>
        <v>250</v>
      </c>
      <c r="L92">
        <f t="shared" si="14"/>
        <v>250</v>
      </c>
      <c r="M92">
        <f t="shared" si="8"/>
        <v>829.5</v>
      </c>
      <c r="N92">
        <f t="shared" si="15"/>
        <v>250</v>
      </c>
      <c r="O92">
        <f t="shared" si="15"/>
        <v>250</v>
      </c>
      <c r="P92">
        <f t="shared" si="15"/>
        <v>250</v>
      </c>
      <c r="Q92">
        <f t="shared" si="15"/>
        <v>250</v>
      </c>
      <c r="R92">
        <f t="shared" si="15"/>
        <v>250</v>
      </c>
      <c r="S92">
        <f t="shared" si="15"/>
        <v>250</v>
      </c>
      <c r="T92">
        <f t="shared" si="15"/>
        <v>250</v>
      </c>
      <c r="U92">
        <f t="shared" si="15"/>
        <v>250</v>
      </c>
      <c r="V92">
        <f t="shared" si="15"/>
        <v>250</v>
      </c>
      <c r="W92">
        <f t="shared" si="15"/>
        <v>250</v>
      </c>
      <c r="X92">
        <f t="shared" si="15"/>
        <v>250</v>
      </c>
      <c r="Y92">
        <f t="shared" si="15"/>
        <v>250</v>
      </c>
    </row>
    <row r="93" spans="1:25" x14ac:dyDescent="0.25">
      <c r="A93" s="1" t="s">
        <v>167</v>
      </c>
      <c r="B93">
        <f t="shared" si="11"/>
        <v>250</v>
      </c>
      <c r="C93">
        <f t="shared" si="11"/>
        <v>250</v>
      </c>
      <c r="D93">
        <f t="shared" si="4"/>
        <v>573.79999999999995</v>
      </c>
      <c r="E93">
        <f t="shared" si="12"/>
        <v>500</v>
      </c>
      <c r="F93">
        <f t="shared" si="12"/>
        <v>250</v>
      </c>
      <c r="G93">
        <f t="shared" si="13"/>
        <v>1708</v>
      </c>
      <c r="H93">
        <f t="shared" si="13"/>
        <v>1190</v>
      </c>
      <c r="I93">
        <f t="shared" si="14"/>
        <v>250</v>
      </c>
      <c r="J93">
        <f t="shared" si="14"/>
        <v>250</v>
      </c>
      <c r="K93">
        <f t="shared" si="14"/>
        <v>250</v>
      </c>
      <c r="L93">
        <f t="shared" si="14"/>
        <v>250</v>
      </c>
      <c r="M93">
        <f t="shared" si="8"/>
        <v>250</v>
      </c>
      <c r="N93">
        <f t="shared" si="15"/>
        <v>250</v>
      </c>
      <c r="O93">
        <f t="shared" si="15"/>
        <v>250</v>
      </c>
      <c r="P93">
        <f t="shared" si="15"/>
        <v>250</v>
      </c>
      <c r="Q93">
        <f t="shared" si="15"/>
        <v>250</v>
      </c>
      <c r="R93">
        <f t="shared" si="15"/>
        <v>250</v>
      </c>
      <c r="S93">
        <f t="shared" si="15"/>
        <v>250</v>
      </c>
      <c r="T93">
        <f t="shared" si="15"/>
        <v>250</v>
      </c>
      <c r="U93">
        <f t="shared" si="15"/>
        <v>250</v>
      </c>
      <c r="V93">
        <f t="shared" si="15"/>
        <v>250</v>
      </c>
      <c r="W93">
        <f t="shared" si="15"/>
        <v>250</v>
      </c>
      <c r="X93">
        <f t="shared" si="15"/>
        <v>250</v>
      </c>
      <c r="Y93">
        <f t="shared" si="15"/>
        <v>250</v>
      </c>
    </row>
    <row r="94" spans="1:25" x14ac:dyDescent="0.25">
      <c r="A94" s="1" t="s">
        <v>169</v>
      </c>
      <c r="B94">
        <f t="shared" si="11"/>
        <v>250</v>
      </c>
      <c r="C94">
        <f t="shared" si="11"/>
        <v>250</v>
      </c>
      <c r="D94">
        <f t="shared" si="4"/>
        <v>1242</v>
      </c>
      <c r="E94">
        <f t="shared" si="12"/>
        <v>500</v>
      </c>
      <c r="F94">
        <f t="shared" si="12"/>
        <v>250</v>
      </c>
      <c r="G94">
        <f t="shared" si="13"/>
        <v>250</v>
      </c>
      <c r="H94">
        <f t="shared" si="13"/>
        <v>1174.0999999999999</v>
      </c>
      <c r="I94">
        <f t="shared" si="14"/>
        <v>250</v>
      </c>
      <c r="J94">
        <f t="shared" si="14"/>
        <v>250</v>
      </c>
      <c r="K94">
        <f t="shared" si="14"/>
        <v>250</v>
      </c>
      <c r="L94">
        <f t="shared" si="14"/>
        <v>250</v>
      </c>
      <c r="M94">
        <f t="shared" si="8"/>
        <v>624</v>
      </c>
      <c r="N94">
        <f t="shared" ref="N94:Y103" si="16">MAX(N$57,N$58)</f>
        <v>250</v>
      </c>
      <c r="O94">
        <f t="shared" si="16"/>
        <v>250</v>
      </c>
      <c r="P94">
        <f t="shared" si="16"/>
        <v>250</v>
      </c>
      <c r="Q94">
        <f t="shared" si="16"/>
        <v>250</v>
      </c>
      <c r="R94">
        <f t="shared" si="16"/>
        <v>250</v>
      </c>
      <c r="S94">
        <f t="shared" si="16"/>
        <v>250</v>
      </c>
      <c r="T94">
        <f t="shared" si="16"/>
        <v>250</v>
      </c>
      <c r="U94">
        <f t="shared" si="16"/>
        <v>250</v>
      </c>
      <c r="V94">
        <f t="shared" si="16"/>
        <v>250</v>
      </c>
      <c r="W94">
        <f t="shared" si="16"/>
        <v>250</v>
      </c>
      <c r="X94">
        <f t="shared" si="16"/>
        <v>250</v>
      </c>
      <c r="Y94">
        <f t="shared" si="16"/>
        <v>250</v>
      </c>
    </row>
    <row r="95" spans="1:25" x14ac:dyDescent="0.25">
      <c r="A95" s="1" t="s">
        <v>171</v>
      </c>
      <c r="B95">
        <f t="shared" si="11"/>
        <v>250</v>
      </c>
      <c r="C95">
        <f t="shared" si="11"/>
        <v>250</v>
      </c>
      <c r="D95">
        <f t="shared" si="4"/>
        <v>2356.69</v>
      </c>
      <c r="E95">
        <f t="shared" si="12"/>
        <v>500</v>
      </c>
      <c r="F95">
        <f t="shared" si="12"/>
        <v>250</v>
      </c>
      <c r="G95">
        <f t="shared" si="13"/>
        <v>567</v>
      </c>
      <c r="H95">
        <f t="shared" si="13"/>
        <v>952.92</v>
      </c>
      <c r="I95">
        <f t="shared" si="14"/>
        <v>250</v>
      </c>
      <c r="J95">
        <f t="shared" si="14"/>
        <v>250</v>
      </c>
      <c r="K95">
        <f t="shared" si="14"/>
        <v>250</v>
      </c>
      <c r="L95">
        <f t="shared" si="14"/>
        <v>250</v>
      </c>
      <c r="M95">
        <f t="shared" si="8"/>
        <v>496.5</v>
      </c>
      <c r="N95">
        <f t="shared" si="16"/>
        <v>250</v>
      </c>
      <c r="O95">
        <f t="shared" si="16"/>
        <v>250</v>
      </c>
      <c r="P95">
        <f t="shared" si="16"/>
        <v>250</v>
      </c>
      <c r="Q95">
        <f t="shared" si="16"/>
        <v>250</v>
      </c>
      <c r="R95">
        <f t="shared" si="16"/>
        <v>250</v>
      </c>
      <c r="S95">
        <f t="shared" si="16"/>
        <v>250</v>
      </c>
      <c r="T95">
        <f t="shared" si="16"/>
        <v>250</v>
      </c>
      <c r="U95">
        <f t="shared" si="16"/>
        <v>250</v>
      </c>
      <c r="V95">
        <f t="shared" si="16"/>
        <v>250</v>
      </c>
      <c r="W95">
        <f t="shared" si="16"/>
        <v>250</v>
      </c>
      <c r="X95">
        <f t="shared" si="16"/>
        <v>250</v>
      </c>
      <c r="Y95">
        <f t="shared" si="16"/>
        <v>250</v>
      </c>
    </row>
    <row r="96" spans="1:25" x14ac:dyDescent="0.25">
      <c r="A96" s="1" t="s">
        <v>173</v>
      </c>
      <c r="B96">
        <f t="shared" si="11"/>
        <v>250</v>
      </c>
      <c r="C96">
        <f t="shared" si="11"/>
        <v>250</v>
      </c>
      <c r="D96">
        <f t="shared" si="4"/>
        <v>2239.6</v>
      </c>
      <c r="E96">
        <f t="shared" si="12"/>
        <v>500</v>
      </c>
      <c r="F96">
        <f t="shared" si="12"/>
        <v>250</v>
      </c>
      <c r="G96">
        <f t="shared" si="13"/>
        <v>403.5</v>
      </c>
      <c r="H96">
        <f t="shared" si="13"/>
        <v>1445.55</v>
      </c>
      <c r="I96">
        <f t="shared" si="14"/>
        <v>250</v>
      </c>
      <c r="J96">
        <f t="shared" si="14"/>
        <v>250</v>
      </c>
      <c r="K96">
        <f t="shared" si="14"/>
        <v>250</v>
      </c>
      <c r="L96">
        <f t="shared" si="14"/>
        <v>250</v>
      </c>
      <c r="M96">
        <f t="shared" si="8"/>
        <v>1639.41</v>
      </c>
      <c r="N96">
        <f t="shared" si="16"/>
        <v>250</v>
      </c>
      <c r="O96">
        <f t="shared" si="16"/>
        <v>250</v>
      </c>
      <c r="P96">
        <f t="shared" si="16"/>
        <v>250</v>
      </c>
      <c r="Q96">
        <f t="shared" si="16"/>
        <v>250</v>
      </c>
      <c r="R96">
        <f t="shared" si="16"/>
        <v>250</v>
      </c>
      <c r="S96">
        <f t="shared" si="16"/>
        <v>250</v>
      </c>
      <c r="T96">
        <f t="shared" si="16"/>
        <v>250</v>
      </c>
      <c r="U96">
        <f t="shared" si="16"/>
        <v>250</v>
      </c>
      <c r="V96">
        <f t="shared" si="16"/>
        <v>250</v>
      </c>
      <c r="W96">
        <f t="shared" si="16"/>
        <v>250</v>
      </c>
      <c r="X96">
        <f t="shared" si="16"/>
        <v>250</v>
      </c>
      <c r="Y96">
        <f t="shared" si="16"/>
        <v>250</v>
      </c>
    </row>
    <row r="97" spans="1:25" x14ac:dyDescent="0.25">
      <c r="A97" s="1" t="s">
        <v>175</v>
      </c>
      <c r="B97">
        <f t="shared" si="11"/>
        <v>250</v>
      </c>
      <c r="C97">
        <f t="shared" si="11"/>
        <v>250</v>
      </c>
      <c r="D97">
        <f t="shared" si="4"/>
        <v>2009.6</v>
      </c>
      <c r="E97">
        <f t="shared" si="12"/>
        <v>500</v>
      </c>
      <c r="F97">
        <f t="shared" si="12"/>
        <v>250</v>
      </c>
      <c r="G97">
        <f t="shared" si="13"/>
        <v>1640.7</v>
      </c>
      <c r="H97">
        <f t="shared" si="13"/>
        <v>350</v>
      </c>
      <c r="I97">
        <f t="shared" si="14"/>
        <v>250</v>
      </c>
      <c r="J97">
        <f t="shared" si="14"/>
        <v>250</v>
      </c>
      <c r="K97">
        <f t="shared" si="14"/>
        <v>250</v>
      </c>
      <c r="L97">
        <f t="shared" si="14"/>
        <v>250</v>
      </c>
      <c r="M97">
        <f t="shared" si="8"/>
        <v>474.26</v>
      </c>
      <c r="N97">
        <f t="shared" si="16"/>
        <v>250</v>
      </c>
      <c r="O97">
        <f t="shared" si="16"/>
        <v>250</v>
      </c>
      <c r="P97">
        <f t="shared" si="16"/>
        <v>250</v>
      </c>
      <c r="Q97">
        <f t="shared" si="16"/>
        <v>250</v>
      </c>
      <c r="R97">
        <f t="shared" si="16"/>
        <v>250</v>
      </c>
      <c r="S97">
        <f t="shared" si="16"/>
        <v>250</v>
      </c>
      <c r="T97">
        <f t="shared" si="16"/>
        <v>250</v>
      </c>
      <c r="U97">
        <f t="shared" si="16"/>
        <v>250</v>
      </c>
      <c r="V97">
        <f t="shared" si="16"/>
        <v>250</v>
      </c>
      <c r="W97">
        <f t="shared" si="16"/>
        <v>250</v>
      </c>
      <c r="X97">
        <f t="shared" si="16"/>
        <v>250</v>
      </c>
      <c r="Y97">
        <f t="shared" si="16"/>
        <v>250</v>
      </c>
    </row>
    <row r="98" spans="1:25" x14ac:dyDescent="0.25">
      <c r="A98" s="1" t="s">
        <v>177</v>
      </c>
      <c r="B98">
        <f t="shared" si="11"/>
        <v>250</v>
      </c>
      <c r="C98">
        <f t="shared" si="11"/>
        <v>250</v>
      </c>
      <c r="D98">
        <f t="shared" si="4"/>
        <v>629</v>
      </c>
      <c r="E98">
        <f t="shared" si="12"/>
        <v>500</v>
      </c>
      <c r="F98">
        <f t="shared" si="12"/>
        <v>250</v>
      </c>
      <c r="G98">
        <f t="shared" si="13"/>
        <v>845</v>
      </c>
      <c r="H98">
        <f t="shared" si="13"/>
        <v>250</v>
      </c>
      <c r="I98">
        <f t="shared" si="14"/>
        <v>250</v>
      </c>
      <c r="J98">
        <f t="shared" si="14"/>
        <v>250</v>
      </c>
      <c r="K98">
        <f t="shared" si="14"/>
        <v>250</v>
      </c>
      <c r="L98">
        <f t="shared" si="14"/>
        <v>250</v>
      </c>
      <c r="M98">
        <f t="shared" si="8"/>
        <v>250</v>
      </c>
      <c r="N98">
        <f t="shared" si="16"/>
        <v>250</v>
      </c>
      <c r="O98">
        <f t="shared" si="16"/>
        <v>250</v>
      </c>
      <c r="P98">
        <f t="shared" si="16"/>
        <v>250</v>
      </c>
      <c r="Q98">
        <f t="shared" si="16"/>
        <v>250</v>
      </c>
      <c r="R98">
        <f t="shared" si="16"/>
        <v>250</v>
      </c>
      <c r="S98">
        <f t="shared" si="16"/>
        <v>250</v>
      </c>
      <c r="T98">
        <f t="shared" si="16"/>
        <v>250</v>
      </c>
      <c r="U98">
        <f t="shared" si="16"/>
        <v>250</v>
      </c>
      <c r="V98">
        <f t="shared" si="16"/>
        <v>250</v>
      </c>
      <c r="W98">
        <f t="shared" si="16"/>
        <v>250</v>
      </c>
      <c r="X98">
        <f t="shared" si="16"/>
        <v>250</v>
      </c>
      <c r="Y98">
        <f t="shared" si="16"/>
        <v>250</v>
      </c>
    </row>
    <row r="99" spans="1:25" x14ac:dyDescent="0.25">
      <c r="A99" s="1" t="s">
        <v>179</v>
      </c>
      <c r="B99">
        <f t="shared" si="11"/>
        <v>250</v>
      </c>
      <c r="C99">
        <f t="shared" si="11"/>
        <v>250</v>
      </c>
      <c r="D99">
        <f t="shared" si="4"/>
        <v>4439.7</v>
      </c>
      <c r="E99">
        <f t="shared" si="12"/>
        <v>500</v>
      </c>
      <c r="F99">
        <f t="shared" si="12"/>
        <v>250</v>
      </c>
      <c r="G99">
        <f t="shared" si="13"/>
        <v>552.79999999999995</v>
      </c>
      <c r="H99">
        <f t="shared" si="13"/>
        <v>515.6</v>
      </c>
      <c r="I99">
        <f t="shared" si="14"/>
        <v>250</v>
      </c>
      <c r="J99">
        <f t="shared" si="14"/>
        <v>250</v>
      </c>
      <c r="K99">
        <f t="shared" si="14"/>
        <v>250</v>
      </c>
      <c r="L99">
        <f t="shared" si="14"/>
        <v>250</v>
      </c>
      <c r="M99">
        <f t="shared" si="8"/>
        <v>757.4</v>
      </c>
      <c r="N99">
        <f t="shared" si="16"/>
        <v>250</v>
      </c>
      <c r="O99">
        <f t="shared" si="16"/>
        <v>250</v>
      </c>
      <c r="P99">
        <f t="shared" si="16"/>
        <v>250</v>
      </c>
      <c r="Q99">
        <f t="shared" si="16"/>
        <v>250</v>
      </c>
      <c r="R99">
        <f t="shared" si="16"/>
        <v>250</v>
      </c>
      <c r="S99">
        <f t="shared" si="16"/>
        <v>250</v>
      </c>
      <c r="T99">
        <f t="shared" si="16"/>
        <v>250</v>
      </c>
      <c r="U99">
        <f t="shared" si="16"/>
        <v>250</v>
      </c>
      <c r="V99">
        <f t="shared" si="16"/>
        <v>250</v>
      </c>
      <c r="W99">
        <f t="shared" si="16"/>
        <v>250</v>
      </c>
      <c r="X99">
        <f t="shared" si="16"/>
        <v>250</v>
      </c>
      <c r="Y99">
        <f t="shared" si="16"/>
        <v>250</v>
      </c>
    </row>
    <row r="100" spans="1:25" x14ac:dyDescent="0.25">
      <c r="A100" s="1" t="s">
        <v>181</v>
      </c>
      <c r="B100">
        <f t="shared" si="11"/>
        <v>250</v>
      </c>
      <c r="C100">
        <f t="shared" si="11"/>
        <v>250</v>
      </c>
      <c r="D100">
        <f t="shared" si="4"/>
        <v>554</v>
      </c>
      <c r="E100">
        <f t="shared" si="12"/>
        <v>500</v>
      </c>
      <c r="F100">
        <f t="shared" si="12"/>
        <v>250</v>
      </c>
      <c r="G100">
        <f t="shared" si="13"/>
        <v>250</v>
      </c>
      <c r="H100">
        <f t="shared" si="13"/>
        <v>250</v>
      </c>
      <c r="I100">
        <f t="shared" si="14"/>
        <v>250</v>
      </c>
      <c r="J100">
        <f t="shared" si="14"/>
        <v>250</v>
      </c>
      <c r="K100">
        <f t="shared" si="14"/>
        <v>250</v>
      </c>
      <c r="L100">
        <f t="shared" si="14"/>
        <v>250</v>
      </c>
      <c r="M100">
        <f t="shared" si="8"/>
        <v>250</v>
      </c>
      <c r="N100">
        <f t="shared" si="16"/>
        <v>250</v>
      </c>
      <c r="O100">
        <f t="shared" si="16"/>
        <v>250</v>
      </c>
      <c r="P100">
        <f t="shared" si="16"/>
        <v>250</v>
      </c>
      <c r="Q100">
        <f t="shared" si="16"/>
        <v>250</v>
      </c>
      <c r="R100">
        <f t="shared" si="16"/>
        <v>250</v>
      </c>
      <c r="S100">
        <f t="shared" si="16"/>
        <v>250</v>
      </c>
      <c r="T100">
        <f t="shared" si="16"/>
        <v>250</v>
      </c>
      <c r="U100">
        <f t="shared" si="16"/>
        <v>250</v>
      </c>
      <c r="V100">
        <f t="shared" si="16"/>
        <v>250</v>
      </c>
      <c r="W100">
        <f t="shared" si="16"/>
        <v>250</v>
      </c>
      <c r="X100">
        <f t="shared" si="16"/>
        <v>250</v>
      </c>
      <c r="Y100">
        <f t="shared" si="16"/>
        <v>250</v>
      </c>
    </row>
    <row r="101" spans="1:25" x14ac:dyDescent="0.25">
      <c r="A101" s="1" t="s">
        <v>183</v>
      </c>
      <c r="B101">
        <f t="shared" si="11"/>
        <v>250</v>
      </c>
      <c r="C101">
        <f t="shared" si="11"/>
        <v>250</v>
      </c>
      <c r="D101">
        <f t="shared" si="4"/>
        <v>1507</v>
      </c>
      <c r="E101">
        <f t="shared" si="12"/>
        <v>500</v>
      </c>
      <c r="F101">
        <f t="shared" si="12"/>
        <v>250</v>
      </c>
      <c r="G101">
        <f t="shared" si="13"/>
        <v>250</v>
      </c>
      <c r="H101">
        <f t="shared" si="13"/>
        <v>455.3</v>
      </c>
      <c r="I101">
        <f t="shared" si="14"/>
        <v>250</v>
      </c>
      <c r="J101">
        <f t="shared" si="14"/>
        <v>250</v>
      </c>
      <c r="K101">
        <f t="shared" si="14"/>
        <v>250</v>
      </c>
      <c r="L101">
        <f t="shared" si="14"/>
        <v>250</v>
      </c>
      <c r="M101">
        <f t="shared" si="8"/>
        <v>574</v>
      </c>
      <c r="N101">
        <f t="shared" si="16"/>
        <v>250</v>
      </c>
      <c r="O101">
        <f t="shared" si="16"/>
        <v>250</v>
      </c>
      <c r="P101">
        <f t="shared" si="16"/>
        <v>250</v>
      </c>
      <c r="Q101">
        <f t="shared" si="16"/>
        <v>250</v>
      </c>
      <c r="R101">
        <f t="shared" si="16"/>
        <v>250</v>
      </c>
      <c r="S101">
        <f t="shared" si="16"/>
        <v>250</v>
      </c>
      <c r="T101">
        <f t="shared" si="16"/>
        <v>250</v>
      </c>
      <c r="U101">
        <f t="shared" si="16"/>
        <v>250</v>
      </c>
      <c r="V101">
        <f t="shared" si="16"/>
        <v>250</v>
      </c>
      <c r="W101">
        <f t="shared" si="16"/>
        <v>250</v>
      </c>
      <c r="X101">
        <f t="shared" si="16"/>
        <v>250</v>
      </c>
      <c r="Y101">
        <f t="shared" si="16"/>
        <v>250</v>
      </c>
    </row>
    <row r="102" spans="1:25" x14ac:dyDescent="0.25">
      <c r="A102" s="1" t="s">
        <v>185</v>
      </c>
      <c r="B102">
        <f t="shared" si="11"/>
        <v>250</v>
      </c>
      <c r="C102">
        <f t="shared" si="11"/>
        <v>250</v>
      </c>
      <c r="D102">
        <f t="shared" si="4"/>
        <v>295</v>
      </c>
      <c r="E102">
        <f t="shared" si="12"/>
        <v>500</v>
      </c>
      <c r="F102">
        <f t="shared" si="12"/>
        <v>250</v>
      </c>
      <c r="G102">
        <f t="shared" si="13"/>
        <v>774.3</v>
      </c>
      <c r="H102">
        <f t="shared" si="13"/>
        <v>250</v>
      </c>
      <c r="I102">
        <f t="shared" si="14"/>
        <v>250</v>
      </c>
      <c r="J102">
        <f t="shared" si="14"/>
        <v>250</v>
      </c>
      <c r="K102">
        <f t="shared" si="14"/>
        <v>250</v>
      </c>
      <c r="L102">
        <f t="shared" si="14"/>
        <v>250</v>
      </c>
      <c r="M102">
        <f t="shared" si="8"/>
        <v>250</v>
      </c>
      <c r="N102">
        <f t="shared" si="16"/>
        <v>250</v>
      </c>
      <c r="O102">
        <f t="shared" si="16"/>
        <v>250</v>
      </c>
      <c r="P102">
        <f t="shared" si="16"/>
        <v>250</v>
      </c>
      <c r="Q102">
        <f t="shared" si="16"/>
        <v>250</v>
      </c>
      <c r="R102">
        <f t="shared" si="16"/>
        <v>250</v>
      </c>
      <c r="S102">
        <f t="shared" si="16"/>
        <v>250</v>
      </c>
      <c r="T102">
        <f t="shared" si="16"/>
        <v>250</v>
      </c>
      <c r="U102">
        <f t="shared" si="16"/>
        <v>250</v>
      </c>
      <c r="V102">
        <f t="shared" si="16"/>
        <v>250</v>
      </c>
      <c r="W102">
        <f t="shared" si="16"/>
        <v>250</v>
      </c>
      <c r="X102">
        <f t="shared" si="16"/>
        <v>250</v>
      </c>
      <c r="Y102">
        <f t="shared" si="16"/>
        <v>250</v>
      </c>
    </row>
    <row r="103" spans="1:25" x14ac:dyDescent="0.25">
      <c r="A103" s="1" t="s">
        <v>187</v>
      </c>
      <c r="B103">
        <f t="shared" si="11"/>
        <v>250</v>
      </c>
      <c r="C103">
        <f t="shared" si="11"/>
        <v>250</v>
      </c>
      <c r="D103">
        <f t="shared" si="4"/>
        <v>1052.0999999999999</v>
      </c>
      <c r="E103">
        <f t="shared" si="12"/>
        <v>500</v>
      </c>
      <c r="F103">
        <f t="shared" si="12"/>
        <v>250</v>
      </c>
      <c r="G103">
        <f t="shared" si="13"/>
        <v>250</v>
      </c>
      <c r="H103">
        <f t="shared" si="13"/>
        <v>250</v>
      </c>
      <c r="I103">
        <f t="shared" si="14"/>
        <v>250</v>
      </c>
      <c r="J103">
        <f t="shared" si="14"/>
        <v>250</v>
      </c>
      <c r="K103">
        <f t="shared" si="14"/>
        <v>250</v>
      </c>
      <c r="L103">
        <f t="shared" si="14"/>
        <v>250</v>
      </c>
      <c r="M103">
        <f t="shared" si="8"/>
        <v>944.8</v>
      </c>
      <c r="N103">
        <f t="shared" si="16"/>
        <v>250</v>
      </c>
      <c r="O103">
        <f t="shared" si="16"/>
        <v>250</v>
      </c>
      <c r="P103">
        <f t="shared" si="16"/>
        <v>250</v>
      </c>
      <c r="Q103">
        <f t="shared" si="16"/>
        <v>250</v>
      </c>
      <c r="R103">
        <f t="shared" si="16"/>
        <v>250</v>
      </c>
      <c r="S103">
        <f t="shared" si="16"/>
        <v>250</v>
      </c>
      <c r="T103">
        <f t="shared" si="16"/>
        <v>250</v>
      </c>
      <c r="U103">
        <f t="shared" si="16"/>
        <v>250</v>
      </c>
      <c r="V103">
        <f t="shared" si="16"/>
        <v>250</v>
      </c>
      <c r="W103">
        <f t="shared" si="16"/>
        <v>250</v>
      </c>
      <c r="X103">
        <f t="shared" si="16"/>
        <v>250</v>
      </c>
      <c r="Y103">
        <f t="shared" si="16"/>
        <v>250</v>
      </c>
    </row>
    <row r="104" spans="1:25" x14ac:dyDescent="0.25">
      <c r="A104" s="1" t="s">
        <v>189</v>
      </c>
      <c r="B104">
        <f t="shared" ref="B104:C111" si="17">MAX(B$57,B$58)</f>
        <v>250</v>
      </c>
      <c r="C104">
        <f t="shared" si="17"/>
        <v>250</v>
      </c>
      <c r="D104">
        <f t="shared" si="4"/>
        <v>7263.5</v>
      </c>
      <c r="E104">
        <f t="shared" ref="E104:F111" si="18">MAX(E$57,E$58)</f>
        <v>500</v>
      </c>
      <c r="F104">
        <f t="shared" si="18"/>
        <v>250</v>
      </c>
      <c r="G104">
        <f t="shared" ref="G104:H123" si="19">MAX(G44,G$57,G$58)</f>
        <v>4877.3</v>
      </c>
      <c r="H104">
        <f t="shared" si="19"/>
        <v>8203.4</v>
      </c>
      <c r="I104">
        <f t="shared" ref="I104:L111" si="20">MAX(I$57,I$58)</f>
        <v>250</v>
      </c>
      <c r="J104">
        <f t="shared" si="20"/>
        <v>250</v>
      </c>
      <c r="K104">
        <f t="shared" si="20"/>
        <v>250</v>
      </c>
      <c r="L104">
        <f t="shared" si="20"/>
        <v>250</v>
      </c>
      <c r="M104">
        <f t="shared" si="8"/>
        <v>908.9</v>
      </c>
      <c r="N104">
        <f t="shared" ref="N104:Y111" si="21">MAX(N$57,N$58)</f>
        <v>250</v>
      </c>
      <c r="O104">
        <f t="shared" si="21"/>
        <v>250</v>
      </c>
      <c r="P104">
        <f t="shared" si="21"/>
        <v>250</v>
      </c>
      <c r="Q104">
        <f t="shared" si="21"/>
        <v>250</v>
      </c>
      <c r="R104">
        <f t="shared" si="21"/>
        <v>250</v>
      </c>
      <c r="S104">
        <f t="shared" si="21"/>
        <v>250</v>
      </c>
      <c r="T104">
        <f t="shared" si="21"/>
        <v>250</v>
      </c>
      <c r="U104">
        <f t="shared" si="21"/>
        <v>250</v>
      </c>
      <c r="V104">
        <f t="shared" si="21"/>
        <v>250</v>
      </c>
      <c r="W104">
        <f t="shared" si="21"/>
        <v>250</v>
      </c>
      <c r="X104">
        <f t="shared" si="21"/>
        <v>250</v>
      </c>
      <c r="Y104">
        <f t="shared" si="21"/>
        <v>250</v>
      </c>
    </row>
    <row r="105" spans="1:25" x14ac:dyDescent="0.25">
      <c r="A105" s="1" t="s">
        <v>191</v>
      </c>
      <c r="B105">
        <f t="shared" si="17"/>
        <v>250</v>
      </c>
      <c r="C105">
        <f t="shared" si="17"/>
        <v>250</v>
      </c>
      <c r="D105">
        <f t="shared" si="4"/>
        <v>940</v>
      </c>
      <c r="E105">
        <f t="shared" si="18"/>
        <v>500</v>
      </c>
      <c r="F105">
        <f t="shared" si="18"/>
        <v>250</v>
      </c>
      <c r="G105">
        <f t="shared" si="19"/>
        <v>250</v>
      </c>
      <c r="H105">
        <f t="shared" si="19"/>
        <v>851.2</v>
      </c>
      <c r="I105">
        <f t="shared" si="20"/>
        <v>250</v>
      </c>
      <c r="J105">
        <f t="shared" si="20"/>
        <v>250</v>
      </c>
      <c r="K105">
        <f t="shared" si="20"/>
        <v>250</v>
      </c>
      <c r="L105">
        <f t="shared" si="20"/>
        <v>250</v>
      </c>
      <c r="M105">
        <f t="shared" si="8"/>
        <v>258.5</v>
      </c>
      <c r="N105">
        <f t="shared" si="21"/>
        <v>250</v>
      </c>
      <c r="O105">
        <f t="shared" si="21"/>
        <v>250</v>
      </c>
      <c r="P105">
        <f t="shared" si="21"/>
        <v>250</v>
      </c>
      <c r="Q105">
        <f t="shared" si="21"/>
        <v>250</v>
      </c>
      <c r="R105">
        <f t="shared" si="21"/>
        <v>250</v>
      </c>
      <c r="S105">
        <f t="shared" si="21"/>
        <v>250</v>
      </c>
      <c r="T105">
        <f t="shared" si="21"/>
        <v>250</v>
      </c>
      <c r="U105">
        <f t="shared" si="21"/>
        <v>250</v>
      </c>
      <c r="V105">
        <f t="shared" si="21"/>
        <v>250</v>
      </c>
      <c r="W105">
        <f t="shared" si="21"/>
        <v>250</v>
      </c>
      <c r="X105">
        <f t="shared" si="21"/>
        <v>250</v>
      </c>
      <c r="Y105">
        <f t="shared" si="21"/>
        <v>250</v>
      </c>
    </row>
    <row r="106" spans="1:25" x14ac:dyDescent="0.25">
      <c r="A106" s="1" t="s">
        <v>193</v>
      </c>
      <c r="B106">
        <f t="shared" si="17"/>
        <v>250</v>
      </c>
      <c r="C106">
        <f t="shared" si="17"/>
        <v>250</v>
      </c>
      <c r="D106">
        <f t="shared" si="4"/>
        <v>1605.1</v>
      </c>
      <c r="E106">
        <f t="shared" si="18"/>
        <v>500</v>
      </c>
      <c r="F106">
        <f t="shared" si="18"/>
        <v>250</v>
      </c>
      <c r="G106">
        <f t="shared" si="19"/>
        <v>250</v>
      </c>
      <c r="H106">
        <f t="shared" si="19"/>
        <v>998.9</v>
      </c>
      <c r="I106">
        <f t="shared" si="20"/>
        <v>250</v>
      </c>
      <c r="J106">
        <f t="shared" si="20"/>
        <v>250</v>
      </c>
      <c r="K106">
        <f t="shared" si="20"/>
        <v>250</v>
      </c>
      <c r="L106">
        <f t="shared" si="20"/>
        <v>250</v>
      </c>
      <c r="M106">
        <f t="shared" si="8"/>
        <v>728.4</v>
      </c>
      <c r="N106">
        <f t="shared" si="21"/>
        <v>250</v>
      </c>
      <c r="O106">
        <f t="shared" si="21"/>
        <v>250</v>
      </c>
      <c r="P106">
        <f t="shared" si="21"/>
        <v>250</v>
      </c>
      <c r="Q106">
        <f t="shared" si="21"/>
        <v>250</v>
      </c>
      <c r="R106">
        <f t="shared" si="21"/>
        <v>250</v>
      </c>
      <c r="S106">
        <f t="shared" si="21"/>
        <v>250</v>
      </c>
      <c r="T106">
        <f t="shared" si="21"/>
        <v>250</v>
      </c>
      <c r="U106">
        <f t="shared" si="21"/>
        <v>250</v>
      </c>
      <c r="V106">
        <f t="shared" si="21"/>
        <v>250</v>
      </c>
      <c r="W106">
        <f t="shared" si="21"/>
        <v>250</v>
      </c>
      <c r="X106">
        <f t="shared" si="21"/>
        <v>250</v>
      </c>
      <c r="Y106">
        <f t="shared" si="21"/>
        <v>250</v>
      </c>
    </row>
    <row r="107" spans="1:25" x14ac:dyDescent="0.25">
      <c r="A107" s="1" t="s">
        <v>195</v>
      </c>
      <c r="B107">
        <f t="shared" si="17"/>
        <v>250</v>
      </c>
      <c r="C107">
        <f t="shared" si="17"/>
        <v>250</v>
      </c>
      <c r="D107">
        <f t="shared" si="4"/>
        <v>250</v>
      </c>
      <c r="E107">
        <f t="shared" si="18"/>
        <v>500</v>
      </c>
      <c r="F107">
        <f t="shared" si="18"/>
        <v>250</v>
      </c>
      <c r="G107">
        <f t="shared" si="19"/>
        <v>250</v>
      </c>
      <c r="H107">
        <f t="shared" si="19"/>
        <v>250</v>
      </c>
      <c r="I107">
        <f t="shared" si="20"/>
        <v>250</v>
      </c>
      <c r="J107">
        <f t="shared" si="20"/>
        <v>250</v>
      </c>
      <c r="K107">
        <f t="shared" si="20"/>
        <v>250</v>
      </c>
      <c r="L107">
        <f t="shared" si="20"/>
        <v>250</v>
      </c>
      <c r="M107">
        <f t="shared" si="8"/>
        <v>250</v>
      </c>
      <c r="N107">
        <f t="shared" si="21"/>
        <v>250</v>
      </c>
      <c r="O107">
        <f t="shared" si="21"/>
        <v>250</v>
      </c>
      <c r="P107">
        <f t="shared" si="21"/>
        <v>250</v>
      </c>
      <c r="Q107">
        <f t="shared" si="21"/>
        <v>250</v>
      </c>
      <c r="R107">
        <f t="shared" si="21"/>
        <v>250</v>
      </c>
      <c r="S107">
        <f t="shared" si="21"/>
        <v>250</v>
      </c>
      <c r="T107">
        <f t="shared" si="21"/>
        <v>250</v>
      </c>
      <c r="U107">
        <f t="shared" si="21"/>
        <v>250</v>
      </c>
      <c r="V107">
        <f t="shared" si="21"/>
        <v>250</v>
      </c>
      <c r="W107">
        <f t="shared" si="21"/>
        <v>250</v>
      </c>
      <c r="X107">
        <f t="shared" si="21"/>
        <v>250</v>
      </c>
      <c r="Y107">
        <f t="shared" si="21"/>
        <v>250</v>
      </c>
    </row>
    <row r="108" spans="1:25" x14ac:dyDescent="0.25">
      <c r="A108" s="1" t="s">
        <v>197</v>
      </c>
      <c r="B108">
        <f t="shared" si="17"/>
        <v>250</v>
      </c>
      <c r="C108">
        <f t="shared" si="17"/>
        <v>250</v>
      </c>
      <c r="D108">
        <f t="shared" si="4"/>
        <v>865</v>
      </c>
      <c r="E108">
        <f t="shared" si="18"/>
        <v>500</v>
      </c>
      <c r="F108">
        <f t="shared" si="18"/>
        <v>250</v>
      </c>
      <c r="G108">
        <f t="shared" si="19"/>
        <v>541.4</v>
      </c>
      <c r="H108">
        <f t="shared" si="19"/>
        <v>250</v>
      </c>
      <c r="I108">
        <f t="shared" si="20"/>
        <v>250</v>
      </c>
      <c r="J108">
        <f t="shared" si="20"/>
        <v>250</v>
      </c>
      <c r="K108">
        <f t="shared" si="20"/>
        <v>250</v>
      </c>
      <c r="L108">
        <f t="shared" si="20"/>
        <v>250</v>
      </c>
      <c r="M108">
        <f t="shared" si="8"/>
        <v>250</v>
      </c>
      <c r="N108">
        <f t="shared" si="21"/>
        <v>250</v>
      </c>
      <c r="O108">
        <f t="shared" si="21"/>
        <v>250</v>
      </c>
      <c r="P108">
        <f t="shared" si="21"/>
        <v>250</v>
      </c>
      <c r="Q108">
        <f t="shared" si="21"/>
        <v>250</v>
      </c>
      <c r="R108">
        <f t="shared" si="21"/>
        <v>250</v>
      </c>
      <c r="S108">
        <f t="shared" si="21"/>
        <v>250</v>
      </c>
      <c r="T108">
        <f t="shared" si="21"/>
        <v>250</v>
      </c>
      <c r="U108">
        <f t="shared" si="21"/>
        <v>250</v>
      </c>
      <c r="V108">
        <f t="shared" si="21"/>
        <v>250</v>
      </c>
      <c r="W108">
        <f t="shared" si="21"/>
        <v>250</v>
      </c>
      <c r="X108">
        <f t="shared" si="21"/>
        <v>250</v>
      </c>
      <c r="Y108">
        <f t="shared" si="21"/>
        <v>250</v>
      </c>
    </row>
    <row r="109" spans="1:25" x14ac:dyDescent="0.25">
      <c r="A109" s="1" t="s">
        <v>199</v>
      </c>
      <c r="B109">
        <f t="shared" si="17"/>
        <v>250</v>
      </c>
      <c r="C109">
        <f t="shared" si="17"/>
        <v>250</v>
      </c>
      <c r="D109">
        <f t="shared" si="4"/>
        <v>1152.9000000000001</v>
      </c>
      <c r="E109">
        <f t="shared" si="18"/>
        <v>500</v>
      </c>
      <c r="F109">
        <f t="shared" si="18"/>
        <v>250</v>
      </c>
      <c r="G109">
        <f t="shared" si="19"/>
        <v>311.85000000000002</v>
      </c>
      <c r="H109">
        <f t="shared" si="19"/>
        <v>861.4</v>
      </c>
      <c r="I109">
        <f t="shared" si="20"/>
        <v>250</v>
      </c>
      <c r="J109">
        <f t="shared" si="20"/>
        <v>250</v>
      </c>
      <c r="K109">
        <f t="shared" si="20"/>
        <v>250</v>
      </c>
      <c r="L109">
        <f t="shared" si="20"/>
        <v>250</v>
      </c>
      <c r="M109">
        <f t="shared" si="8"/>
        <v>563.29999999999995</v>
      </c>
      <c r="N109">
        <f t="shared" si="21"/>
        <v>250</v>
      </c>
      <c r="O109">
        <f t="shared" si="21"/>
        <v>250</v>
      </c>
      <c r="P109">
        <f t="shared" si="21"/>
        <v>250</v>
      </c>
      <c r="Q109">
        <f t="shared" si="21"/>
        <v>250</v>
      </c>
      <c r="R109">
        <f t="shared" si="21"/>
        <v>250</v>
      </c>
      <c r="S109">
        <f t="shared" si="21"/>
        <v>250</v>
      </c>
      <c r="T109">
        <f t="shared" si="21"/>
        <v>250</v>
      </c>
      <c r="U109">
        <f t="shared" si="21"/>
        <v>250</v>
      </c>
      <c r="V109">
        <f t="shared" si="21"/>
        <v>250</v>
      </c>
      <c r="W109">
        <f t="shared" si="21"/>
        <v>250</v>
      </c>
      <c r="X109">
        <f t="shared" si="21"/>
        <v>250</v>
      </c>
      <c r="Y109">
        <f t="shared" si="21"/>
        <v>250</v>
      </c>
    </row>
    <row r="110" spans="1:25" x14ac:dyDescent="0.25">
      <c r="A110" s="1" t="s">
        <v>201</v>
      </c>
      <c r="B110">
        <f t="shared" si="17"/>
        <v>250</v>
      </c>
      <c r="C110">
        <f t="shared" si="17"/>
        <v>250</v>
      </c>
      <c r="D110">
        <f t="shared" si="4"/>
        <v>250</v>
      </c>
      <c r="E110">
        <f t="shared" si="18"/>
        <v>500</v>
      </c>
      <c r="F110">
        <f t="shared" si="18"/>
        <v>250</v>
      </c>
      <c r="G110">
        <f t="shared" si="19"/>
        <v>264</v>
      </c>
      <c r="H110">
        <f t="shared" si="19"/>
        <v>250</v>
      </c>
      <c r="I110">
        <f t="shared" si="20"/>
        <v>250</v>
      </c>
      <c r="J110">
        <f t="shared" si="20"/>
        <v>250</v>
      </c>
      <c r="K110">
        <f t="shared" si="20"/>
        <v>250</v>
      </c>
      <c r="L110">
        <f t="shared" si="20"/>
        <v>250</v>
      </c>
      <c r="M110">
        <f t="shared" si="8"/>
        <v>750</v>
      </c>
      <c r="N110">
        <f t="shared" si="21"/>
        <v>250</v>
      </c>
      <c r="O110">
        <f t="shared" si="21"/>
        <v>250</v>
      </c>
      <c r="P110">
        <f t="shared" si="21"/>
        <v>250</v>
      </c>
      <c r="Q110">
        <f t="shared" si="21"/>
        <v>250</v>
      </c>
      <c r="R110">
        <f t="shared" si="21"/>
        <v>250</v>
      </c>
      <c r="S110">
        <f t="shared" si="21"/>
        <v>250</v>
      </c>
      <c r="T110">
        <f t="shared" si="21"/>
        <v>250</v>
      </c>
      <c r="U110">
        <f t="shared" si="21"/>
        <v>250</v>
      </c>
      <c r="V110">
        <f t="shared" si="21"/>
        <v>250</v>
      </c>
      <c r="W110">
        <f t="shared" si="21"/>
        <v>250</v>
      </c>
      <c r="X110">
        <f t="shared" si="21"/>
        <v>250</v>
      </c>
      <c r="Y110">
        <f t="shared" si="21"/>
        <v>250</v>
      </c>
    </row>
    <row r="111" spans="1:25" x14ac:dyDescent="0.25">
      <c r="A111" s="1" t="s">
        <v>203</v>
      </c>
      <c r="B111">
        <f t="shared" si="17"/>
        <v>250</v>
      </c>
      <c r="C111">
        <f t="shared" si="17"/>
        <v>250</v>
      </c>
      <c r="D111">
        <f t="shared" si="4"/>
        <v>250</v>
      </c>
      <c r="E111">
        <f t="shared" si="18"/>
        <v>500</v>
      </c>
      <c r="F111">
        <f t="shared" si="18"/>
        <v>250</v>
      </c>
      <c r="G111">
        <f t="shared" si="19"/>
        <v>1061.2</v>
      </c>
      <c r="H111">
        <f t="shared" si="19"/>
        <v>250</v>
      </c>
      <c r="I111">
        <f t="shared" si="20"/>
        <v>250</v>
      </c>
      <c r="J111">
        <f t="shared" si="20"/>
        <v>250</v>
      </c>
      <c r="K111">
        <f t="shared" si="20"/>
        <v>250</v>
      </c>
      <c r="L111">
        <f t="shared" si="20"/>
        <v>250</v>
      </c>
      <c r="M111">
        <f t="shared" si="8"/>
        <v>250</v>
      </c>
      <c r="N111">
        <f t="shared" si="21"/>
        <v>250</v>
      </c>
      <c r="O111">
        <f t="shared" si="21"/>
        <v>250</v>
      </c>
      <c r="P111">
        <f t="shared" si="21"/>
        <v>250</v>
      </c>
      <c r="Q111">
        <f t="shared" si="21"/>
        <v>250</v>
      </c>
      <c r="R111">
        <f t="shared" si="21"/>
        <v>250</v>
      </c>
      <c r="S111">
        <f t="shared" si="21"/>
        <v>250</v>
      </c>
      <c r="T111">
        <f t="shared" si="21"/>
        <v>250</v>
      </c>
      <c r="U111">
        <f t="shared" si="21"/>
        <v>250</v>
      </c>
      <c r="V111">
        <f t="shared" si="21"/>
        <v>250</v>
      </c>
      <c r="W111">
        <f t="shared" si="21"/>
        <v>250</v>
      </c>
      <c r="X111">
        <f t="shared" si="21"/>
        <v>250</v>
      </c>
      <c r="Y111">
        <f t="shared" si="21"/>
        <v>250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18"/>
  <sheetViews>
    <sheetView workbookViewId="0"/>
  </sheetViews>
  <sheetFormatPr defaultRowHeight="15" x14ac:dyDescent="0.25"/>
  <cols>
    <col min="1" max="1" width="66" customWidth="1"/>
    <col min="2" max="2" width="16" customWidth="1"/>
    <col min="3" max="3" width="12" customWidth="1"/>
    <col min="4" max="4" width="76" customWidth="1"/>
  </cols>
  <sheetData>
    <row r="1" spans="1:25" x14ac:dyDescent="0.25">
      <c r="A1" s="7" t="s">
        <v>299</v>
      </c>
      <c r="B1" s="7" t="s">
        <v>41</v>
      </c>
      <c r="C1" s="7" t="s">
        <v>300</v>
      </c>
      <c r="D1" s="7" t="s">
        <v>301</v>
      </c>
    </row>
    <row r="2" spans="1:25" x14ac:dyDescent="0.25">
      <c r="A2" t="s">
        <v>302</v>
      </c>
      <c r="B2">
        <f>COUNT(Calcs!$B$64:$Y$111)</f>
        <v>1152</v>
      </c>
      <c r="C2" t="str">
        <f>IF($B2=Keys!$C$5,Keys!$C$10,Keys!$C$11)</f>
        <v>PASS</v>
      </c>
      <c r="D2" s="4" t="s">
        <v>303</v>
      </c>
    </row>
    <row r="3" spans="1:25" ht="45" x14ac:dyDescent="0.25">
      <c r="A3" t="s">
        <v>304</v>
      </c>
      <c r="B3">
        <f>COUNTIF(Calcs!$B$64:$Y$111,"&lt;"&amp;Keys!$C$15)</f>
        <v>0</v>
      </c>
      <c r="C3" t="str">
        <f>IF($B3=0,Keys!$C$10,Keys!$C$11)</f>
        <v>PASS</v>
      </c>
      <c r="D3" s="4" t="s">
        <v>305</v>
      </c>
    </row>
    <row r="4" spans="1:25" ht="45" x14ac:dyDescent="0.25">
      <c r="A4" t="s">
        <v>306</v>
      </c>
      <c r="B4" t="str">
        <f>Keys!$C$14</f>
        <v>n/a -- see Methodology</v>
      </c>
      <c r="C4" t="str">
        <f>Keys!$C$13</f>
        <v>REF</v>
      </c>
      <c r="D4" s="4" t="s">
        <v>307</v>
      </c>
    </row>
    <row r="5" spans="1:25" ht="30" x14ac:dyDescent="0.25">
      <c r="A5" t="s">
        <v>308</v>
      </c>
      <c r="B5">
        <f>MAX(Calcs!$B$64:$Y$111)</f>
        <v>8203.4</v>
      </c>
      <c r="C5" t="str">
        <f>IF($B5&lt;Keys!$C$6,Keys!$C$10,Keys!$C$12)</f>
        <v>PASS</v>
      </c>
      <c r="D5" s="4" t="s">
        <v>309</v>
      </c>
    </row>
    <row r="6" spans="1:25" x14ac:dyDescent="0.25">
      <c r="A6" t="s">
        <v>310</v>
      </c>
      <c r="B6">
        <f>SUM(Calcs!$B$64:$Y$111)</f>
        <v>440800.75999999995</v>
      </c>
      <c r="C6" t="str">
        <f>IF($B6&gt;0,Keys!$C$10,Keys!$C$11)</f>
        <v>PASS</v>
      </c>
      <c r="D6" s="4" t="s">
        <v>311</v>
      </c>
    </row>
    <row r="7" spans="1:25" x14ac:dyDescent="0.25">
      <c r="A7" t="s">
        <v>312</v>
      </c>
      <c r="B7">
        <v>75750</v>
      </c>
      <c r="C7" t="str">
        <f>Keys!$C$13</f>
        <v>REF</v>
      </c>
      <c r="D7" s="4" t="s">
        <v>313</v>
      </c>
    </row>
    <row r="8" spans="1:25" ht="30" x14ac:dyDescent="0.25">
      <c r="A8" t="s">
        <v>314</v>
      </c>
      <c r="B8">
        <f>SUMPRODUCT(($B$17:$Y$17=Keys!$C$7)*1)</f>
        <v>4</v>
      </c>
      <c r="C8" t="str">
        <f>IF($B8=Keys!$C$9,Keys!$C$10,Keys!$C$11)</f>
        <v>PASS</v>
      </c>
      <c r="D8" s="4" t="s">
        <v>315</v>
      </c>
    </row>
    <row r="9" spans="1:25" ht="45" x14ac:dyDescent="0.25">
      <c r="A9" t="s">
        <v>316</v>
      </c>
      <c r="B9">
        <f>SUMPRODUCT(($B$17:$Y$17=Keys!$C$8)*($B$16:$Y$16&gt;0))</f>
        <v>0</v>
      </c>
      <c r="C9" t="str">
        <f>IF($B9=0,Keys!$C$10,Keys!$C$11)</f>
        <v>PASS</v>
      </c>
      <c r="D9" s="4" t="s">
        <v>317</v>
      </c>
    </row>
    <row r="11" spans="1:25" x14ac:dyDescent="0.25">
      <c r="A11" s="1" t="s">
        <v>318</v>
      </c>
    </row>
    <row r="12" spans="1:25" ht="163.5" x14ac:dyDescent="0.25">
      <c r="A12" s="7" t="s">
        <v>319</v>
      </c>
      <c r="B12" s="9" t="s">
        <v>81</v>
      </c>
      <c r="C12" s="9" t="s">
        <v>83</v>
      </c>
      <c r="D12" s="9" t="s">
        <v>84</v>
      </c>
      <c r="E12" s="9" t="s">
        <v>85</v>
      </c>
      <c r="F12" s="9" t="s">
        <v>86</v>
      </c>
      <c r="G12" s="9" t="s">
        <v>87</v>
      </c>
      <c r="H12" s="9" t="s">
        <v>88</v>
      </c>
      <c r="I12" s="9" t="s">
        <v>89</v>
      </c>
      <c r="J12" s="9" t="s">
        <v>90</v>
      </c>
      <c r="K12" s="9" t="s">
        <v>91</v>
      </c>
      <c r="L12" s="9" t="s">
        <v>92</v>
      </c>
      <c r="M12" s="9" t="s">
        <v>93</v>
      </c>
      <c r="N12" s="9" t="s">
        <v>94</v>
      </c>
      <c r="O12" s="9" t="s">
        <v>95</v>
      </c>
      <c r="P12" s="9" t="s">
        <v>96</v>
      </c>
      <c r="Q12" s="9" t="s">
        <v>97</v>
      </c>
      <c r="R12" s="9" t="s">
        <v>98</v>
      </c>
      <c r="S12" s="9" t="s">
        <v>99</v>
      </c>
      <c r="T12" s="9" t="s">
        <v>100</v>
      </c>
      <c r="U12" s="9" t="s">
        <v>101</v>
      </c>
      <c r="V12" s="9" t="s">
        <v>102</v>
      </c>
      <c r="W12" s="9" t="s">
        <v>103</v>
      </c>
      <c r="X12" s="9" t="s">
        <v>104</v>
      </c>
      <c r="Y12" s="9" t="s">
        <v>105</v>
      </c>
    </row>
    <row r="13" spans="1:25" x14ac:dyDescent="0.25">
      <c r="A13" s="1" t="s">
        <v>320</v>
      </c>
      <c r="B13">
        <f>MIN(Calcs!B$64:B$111)</f>
        <v>250</v>
      </c>
      <c r="C13">
        <f>MIN(Calcs!C$64:C$111)</f>
        <v>250</v>
      </c>
      <c r="D13">
        <f>MIN(Calcs!D$64:D$111)</f>
        <v>250</v>
      </c>
      <c r="E13">
        <f>MIN(Calcs!E$64:E$111)</f>
        <v>500</v>
      </c>
      <c r="F13">
        <f>MIN(Calcs!F$64:F$111)</f>
        <v>250</v>
      </c>
      <c r="G13">
        <f>MIN(Calcs!G$64:G$111)</f>
        <v>250</v>
      </c>
      <c r="H13">
        <f>MIN(Calcs!H$64:H$111)</f>
        <v>250</v>
      </c>
      <c r="I13">
        <f>MIN(Calcs!I$64:I$111)</f>
        <v>250</v>
      </c>
      <c r="J13">
        <f>MIN(Calcs!J$64:J$111)</f>
        <v>250</v>
      </c>
      <c r="K13">
        <f>MIN(Calcs!K$64:K$111)</f>
        <v>250</v>
      </c>
      <c r="L13">
        <f>MIN(Calcs!L$64:L$111)</f>
        <v>250</v>
      </c>
      <c r="M13">
        <f>MIN(Calcs!M$64:M$111)</f>
        <v>250</v>
      </c>
      <c r="N13">
        <f>MIN(Calcs!N$64:N$111)</f>
        <v>250</v>
      </c>
      <c r="O13">
        <f>MIN(Calcs!O$64:O$111)</f>
        <v>250</v>
      </c>
      <c r="P13">
        <f>MIN(Calcs!P$64:P$111)</f>
        <v>250</v>
      </c>
      <c r="Q13">
        <f>MIN(Calcs!Q$64:Q$111)</f>
        <v>250</v>
      </c>
      <c r="R13">
        <f>MIN(Calcs!R$64:R$111)</f>
        <v>250</v>
      </c>
      <c r="S13">
        <f>MIN(Calcs!S$64:S$111)</f>
        <v>250</v>
      </c>
      <c r="T13">
        <f>MIN(Calcs!T$64:T$111)</f>
        <v>250</v>
      </c>
      <c r="U13">
        <f>MIN(Calcs!U$64:U$111)</f>
        <v>250</v>
      </c>
      <c r="V13">
        <f>MIN(Calcs!V$64:V$111)</f>
        <v>250</v>
      </c>
      <c r="W13">
        <f>MIN(Calcs!W$64:W$111)</f>
        <v>250</v>
      </c>
      <c r="X13">
        <f>MIN(Calcs!X$64:X$111)</f>
        <v>250</v>
      </c>
      <c r="Y13">
        <f>MIN(Calcs!Y$64:Y$111)</f>
        <v>250</v>
      </c>
    </row>
    <row r="14" spans="1:25" x14ac:dyDescent="0.25">
      <c r="A14" s="1" t="s">
        <v>321</v>
      </c>
      <c r="B14">
        <f>Calcs!B$58</f>
        <v>50</v>
      </c>
      <c r="C14">
        <f>Calcs!C$58</f>
        <v>50</v>
      </c>
      <c r="D14">
        <f>Calcs!D$58</f>
        <v>50</v>
      </c>
      <c r="E14">
        <f>Calcs!E$58</f>
        <v>500</v>
      </c>
      <c r="F14">
        <f>Calcs!F$58</f>
        <v>1</v>
      </c>
      <c r="G14">
        <f>Calcs!G$58</f>
        <v>1</v>
      </c>
      <c r="H14">
        <f>Calcs!H$58</f>
        <v>1</v>
      </c>
      <c r="I14">
        <f>Calcs!I$58</f>
        <v>50</v>
      </c>
      <c r="J14">
        <f>Calcs!J$58</f>
        <v>1</v>
      </c>
      <c r="K14">
        <f>Calcs!K$58</f>
        <v>50</v>
      </c>
      <c r="L14">
        <f>Calcs!L$58</f>
        <v>50</v>
      </c>
      <c r="M14">
        <f>Calcs!M$58</f>
        <v>50</v>
      </c>
      <c r="N14">
        <f>Calcs!N$58</f>
        <v>50</v>
      </c>
      <c r="O14">
        <f>Calcs!O$58</f>
        <v>1</v>
      </c>
      <c r="P14">
        <f>Calcs!P$58</f>
        <v>50</v>
      </c>
      <c r="Q14">
        <f>Calcs!Q$58</f>
        <v>50</v>
      </c>
      <c r="R14">
        <f>Calcs!R$58</f>
        <v>10</v>
      </c>
      <c r="S14">
        <f>Calcs!S$58</f>
        <v>100</v>
      </c>
      <c r="T14">
        <f>Calcs!T$58</f>
        <v>100</v>
      </c>
      <c r="U14">
        <f>Calcs!U$58</f>
        <v>10</v>
      </c>
      <c r="V14">
        <f>Calcs!V$58</f>
        <v>100</v>
      </c>
      <c r="W14">
        <f>Calcs!W$58</f>
        <v>100</v>
      </c>
      <c r="X14">
        <f>Calcs!X$58</f>
        <v>100</v>
      </c>
      <c r="Y14">
        <f>Calcs!Y$58</f>
        <v>100</v>
      </c>
    </row>
    <row r="15" spans="1:25" x14ac:dyDescent="0.25">
      <c r="A15" s="1" t="s">
        <v>322</v>
      </c>
      <c r="B15">
        <f t="shared" ref="B15:Y15" si="0">B13-B14</f>
        <v>200</v>
      </c>
      <c r="C15">
        <f t="shared" si="0"/>
        <v>200</v>
      </c>
      <c r="D15">
        <f t="shared" si="0"/>
        <v>200</v>
      </c>
      <c r="E15">
        <f t="shared" si="0"/>
        <v>0</v>
      </c>
      <c r="F15">
        <f t="shared" si="0"/>
        <v>249</v>
      </c>
      <c r="G15">
        <f t="shared" si="0"/>
        <v>249</v>
      </c>
      <c r="H15">
        <f t="shared" si="0"/>
        <v>249</v>
      </c>
      <c r="I15">
        <f t="shared" si="0"/>
        <v>200</v>
      </c>
      <c r="J15">
        <f t="shared" si="0"/>
        <v>249</v>
      </c>
      <c r="K15">
        <f t="shared" si="0"/>
        <v>200</v>
      </c>
      <c r="L15">
        <f t="shared" si="0"/>
        <v>200</v>
      </c>
      <c r="M15">
        <f t="shared" si="0"/>
        <v>200</v>
      </c>
      <c r="N15">
        <f t="shared" si="0"/>
        <v>200</v>
      </c>
      <c r="O15">
        <f t="shared" si="0"/>
        <v>249</v>
      </c>
      <c r="P15">
        <f t="shared" si="0"/>
        <v>200</v>
      </c>
      <c r="Q15">
        <f t="shared" si="0"/>
        <v>200</v>
      </c>
      <c r="R15">
        <f t="shared" si="0"/>
        <v>240</v>
      </c>
      <c r="S15">
        <f t="shared" si="0"/>
        <v>150</v>
      </c>
      <c r="T15">
        <f t="shared" si="0"/>
        <v>150</v>
      </c>
      <c r="U15">
        <f t="shared" si="0"/>
        <v>240</v>
      </c>
      <c r="V15">
        <f t="shared" si="0"/>
        <v>150</v>
      </c>
      <c r="W15">
        <f t="shared" si="0"/>
        <v>150</v>
      </c>
      <c r="X15">
        <f t="shared" si="0"/>
        <v>150</v>
      </c>
      <c r="Y15">
        <f t="shared" si="0"/>
        <v>150</v>
      </c>
    </row>
    <row r="16" spans="1:25" x14ac:dyDescent="0.25">
      <c r="A16" s="1" t="s">
        <v>323</v>
      </c>
      <c r="B16">
        <f>MAX(Calcs!B$64:B$111)-MIN(Calcs!B$64:B$111)</f>
        <v>0</v>
      </c>
      <c r="C16">
        <f>MAX(Calcs!C$64:C$111)-MIN(Calcs!C$64:C$111)</f>
        <v>0</v>
      </c>
      <c r="D16">
        <f>MAX(Calcs!D$64:D$111)-MIN(Calcs!D$64:D$111)</f>
        <v>7013.5</v>
      </c>
      <c r="E16">
        <f>MAX(Calcs!E$64:E$111)-MIN(Calcs!E$64:E$111)</f>
        <v>0</v>
      </c>
      <c r="F16">
        <f>MAX(Calcs!F$64:F$111)-MIN(Calcs!F$64:F$111)</f>
        <v>0</v>
      </c>
      <c r="G16">
        <f>MAX(Calcs!G$64:G$111)-MIN(Calcs!G$64:G$111)</f>
        <v>4627.3</v>
      </c>
      <c r="H16">
        <f>MAX(Calcs!H$64:H$111)-MIN(Calcs!H$64:H$111)</f>
        <v>7953.4</v>
      </c>
      <c r="I16">
        <f>MAX(Calcs!I$64:I$111)-MIN(Calcs!I$64:I$111)</f>
        <v>0</v>
      </c>
      <c r="J16">
        <f>MAX(Calcs!J$64:J$111)-MIN(Calcs!J$64:J$111)</f>
        <v>0</v>
      </c>
      <c r="K16">
        <f>MAX(Calcs!K$64:K$111)-MIN(Calcs!K$64:K$111)</f>
        <v>0</v>
      </c>
      <c r="L16">
        <f>MAX(Calcs!L$64:L$111)-MIN(Calcs!L$64:L$111)</f>
        <v>0</v>
      </c>
      <c r="M16">
        <f>MAX(Calcs!M$64:M$111)-MIN(Calcs!M$64:M$111)</f>
        <v>2767.6</v>
      </c>
      <c r="N16">
        <f>MAX(Calcs!N$64:N$111)-MIN(Calcs!N$64:N$111)</f>
        <v>0</v>
      </c>
      <c r="O16">
        <f>MAX(Calcs!O$64:O$111)-MIN(Calcs!O$64:O$111)</f>
        <v>0</v>
      </c>
      <c r="P16">
        <f>MAX(Calcs!P$64:P$111)-MIN(Calcs!P$64:P$111)</f>
        <v>0</v>
      </c>
      <c r="Q16">
        <f>MAX(Calcs!Q$64:Q$111)-MIN(Calcs!Q$64:Q$111)</f>
        <v>0</v>
      </c>
      <c r="R16">
        <f>MAX(Calcs!R$64:R$111)-MIN(Calcs!R$64:R$111)</f>
        <v>0</v>
      </c>
      <c r="S16">
        <f>MAX(Calcs!S$64:S$111)-MIN(Calcs!S$64:S$111)</f>
        <v>0</v>
      </c>
      <c r="T16">
        <f>MAX(Calcs!T$64:T$111)-MIN(Calcs!T$64:T$111)</f>
        <v>0</v>
      </c>
      <c r="U16">
        <f>MAX(Calcs!U$64:U$111)-MIN(Calcs!U$64:U$111)</f>
        <v>0</v>
      </c>
      <c r="V16">
        <f>MAX(Calcs!V$64:V$111)-MIN(Calcs!V$64:V$111)</f>
        <v>0</v>
      </c>
      <c r="W16">
        <f>MAX(Calcs!W$64:W$111)-MIN(Calcs!W$64:W$111)</f>
        <v>0</v>
      </c>
      <c r="X16">
        <f>MAX(Calcs!X$64:X$111)-MIN(Calcs!X$64:X$111)</f>
        <v>0</v>
      </c>
      <c r="Y16">
        <f>MAX(Calcs!Y$64:Y$111)-MIN(Calcs!Y$64:Y$111)</f>
        <v>0</v>
      </c>
    </row>
    <row r="17" spans="1:25" x14ac:dyDescent="0.25">
      <c r="A17" s="1" t="s">
        <v>324</v>
      </c>
      <c r="B17" t="str">
        <f>INDEX(Keys!$C$40:$C$63,MATCH(B$12,Keys!$B$40:$B$63,0))</f>
        <v>no</v>
      </c>
      <c r="C17" t="str">
        <f>INDEX(Keys!$C$40:$C$63,MATCH(C$12,Keys!$B$40:$B$63,0))</f>
        <v>no</v>
      </c>
      <c r="D17" t="str">
        <f>INDEX(Keys!$C$40:$C$63,MATCH(D$12,Keys!$B$40:$B$63,0))</f>
        <v>yes</v>
      </c>
      <c r="E17" t="str">
        <f>INDEX(Keys!$C$40:$C$63,MATCH(E$12,Keys!$B$40:$B$63,0))</f>
        <v>no</v>
      </c>
      <c r="F17" t="str">
        <f>INDEX(Keys!$C$40:$C$63,MATCH(F$12,Keys!$B$40:$B$63,0))</f>
        <v>no</v>
      </c>
      <c r="G17" t="str">
        <f>INDEX(Keys!$C$40:$C$63,MATCH(G$12,Keys!$B$40:$B$63,0))</f>
        <v>yes</v>
      </c>
      <c r="H17" t="str">
        <f>INDEX(Keys!$C$40:$C$63,MATCH(H$12,Keys!$B$40:$B$63,0))</f>
        <v>yes</v>
      </c>
      <c r="I17" t="str">
        <f>INDEX(Keys!$C$40:$C$63,MATCH(I$12,Keys!$B$40:$B$63,0))</f>
        <v>no</v>
      </c>
      <c r="J17" t="str">
        <f>INDEX(Keys!$C$40:$C$63,MATCH(J$12,Keys!$B$40:$B$63,0))</f>
        <v>no</v>
      </c>
      <c r="K17" t="str">
        <f>INDEX(Keys!$C$40:$C$63,MATCH(K$12,Keys!$B$40:$B$63,0))</f>
        <v>no</v>
      </c>
      <c r="L17" t="str">
        <f>INDEX(Keys!$C$40:$C$63,MATCH(L$12,Keys!$B$40:$B$63,0))</f>
        <v>no</v>
      </c>
      <c r="M17" t="str">
        <f>INDEX(Keys!$C$40:$C$63,MATCH(M$12,Keys!$B$40:$B$63,0))</f>
        <v>yes</v>
      </c>
      <c r="N17" t="str">
        <f>INDEX(Keys!$C$40:$C$63,MATCH(N$12,Keys!$B$40:$B$63,0))</f>
        <v>no</v>
      </c>
      <c r="O17" t="str">
        <f>INDEX(Keys!$C$40:$C$63,MATCH(O$12,Keys!$B$40:$B$63,0))</f>
        <v>no</v>
      </c>
      <c r="P17" t="str">
        <f>INDEX(Keys!$C$40:$C$63,MATCH(P$12,Keys!$B$40:$B$63,0))</f>
        <v>no</v>
      </c>
      <c r="Q17" t="str">
        <f>INDEX(Keys!$C$40:$C$63,MATCH(Q$12,Keys!$B$40:$B$63,0))</f>
        <v>no</v>
      </c>
      <c r="R17" t="str">
        <f>INDEX(Keys!$C$40:$C$63,MATCH(R$12,Keys!$B$40:$B$63,0))</f>
        <v>no</v>
      </c>
      <c r="S17" t="str">
        <f>INDEX(Keys!$C$40:$C$63,MATCH(S$12,Keys!$B$40:$B$63,0))</f>
        <v>no</v>
      </c>
      <c r="T17" t="str">
        <f>INDEX(Keys!$C$40:$C$63,MATCH(T$12,Keys!$B$40:$B$63,0))</f>
        <v>no</v>
      </c>
      <c r="U17" t="str">
        <f>INDEX(Keys!$C$40:$C$63,MATCH(U$12,Keys!$B$40:$B$63,0))</f>
        <v>no</v>
      </c>
      <c r="V17" t="str">
        <f>INDEX(Keys!$C$40:$C$63,MATCH(V$12,Keys!$B$40:$B$63,0))</f>
        <v>no</v>
      </c>
      <c r="W17" t="str">
        <f>INDEX(Keys!$C$40:$C$63,MATCH(W$12,Keys!$B$40:$B$63,0))</f>
        <v>no</v>
      </c>
      <c r="X17" t="str">
        <f>INDEX(Keys!$C$40:$C$63,MATCH(X$12,Keys!$B$40:$B$63,0))</f>
        <v>no</v>
      </c>
      <c r="Y17" t="str">
        <f>INDEX(Keys!$C$40:$C$63,MATCH(Y$12,Keys!$B$40:$B$63,0))</f>
        <v>no</v>
      </c>
    </row>
    <row r="18" spans="1:25" x14ac:dyDescent="0.25">
      <c r="A18" s="1" t="s">
        <v>325</v>
      </c>
      <c r="B18" s="12" t="str">
        <f>IF(MIN($B15:$Y15)&gt;=0,Keys!$C$10,Keys!$C$11)</f>
        <v>PASS</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1F3864"/>
  </sheetPr>
  <dimension ref="A1:B2"/>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IF(US_CSC_source!A3="","",US_CSC_source!A3)</f>
        <v>Multiple of annual build limit available for procurement</v>
      </c>
      <c r="B1" t="str">
        <f>IF(US_CSC_source!B3="","",US_CSC_source!B3)</f>
        <v/>
      </c>
    </row>
    <row r="2" spans="1:2" x14ac:dyDescent="0.25">
      <c r="A2" t="str">
        <f>IF(US_CSC_source!A4="","",US_CSC_source!A4)</f>
        <v>Headroom</v>
      </c>
      <c r="B2">
        <f>IF(US_CSC_source!B4="","",US_CSC_source!B4)</f>
        <v>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1F3864"/>
  </sheetPr>
  <dimension ref="A1:B6"/>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 x14ac:dyDescent="0.25">
      <c r="A1" t="str">
        <f>IF(US_CSC_source!A9="","",US_CSC_source!A9)</f>
        <v>parameters</v>
      </c>
      <c r="B1" t="str">
        <f>IF(US_CSC_source!B9="","",US_CSC_source!B9)</f>
        <v>value</v>
      </c>
    </row>
    <row r="2" spans="1:2" x14ac:dyDescent="0.25">
      <c r="A2" t="str">
        <f>IF(US_CSC_source!A10="","",US_CSC_source!A10)</f>
        <v>saturation</v>
      </c>
      <c r="B2">
        <f>IF(US_CSC_source!B10="","",US_CSC_source!B10)</f>
        <v>0.2</v>
      </c>
    </row>
    <row r="3" spans="1:2" x14ac:dyDescent="0.25">
      <c r="A3" t="str">
        <f>IF(US_CSC_source!A11="","",US_CSC_source!A11)</f>
        <v>scale parameter</v>
      </c>
      <c r="B3">
        <f>IF(US_CSC_source!B11="","",US_CSC_source!B11)</f>
        <v>0.6</v>
      </c>
    </row>
    <row r="4" spans="1:2" x14ac:dyDescent="0.25">
      <c r="A4" t="str">
        <f>IF(US_CSC_source!A12="","",US_CSC_source!A12)</f>
        <v>shape parameter</v>
      </c>
      <c r="B4">
        <f>IF(US_CSC_source!B12="","",US_CSC_source!B12)</f>
        <v>3</v>
      </c>
    </row>
    <row r="5" spans="1:2" x14ac:dyDescent="0.25">
      <c r="A5" t="str">
        <f>IF(US_CSC_source!A13="","",US_CSC_source!A13)</f>
        <v>location parameter</v>
      </c>
      <c r="B5">
        <f>IF(US_CSC_source!B13="","",US_CSC_source!B13)</f>
        <v>0.5</v>
      </c>
    </row>
    <row r="6" spans="1:2" x14ac:dyDescent="0.25">
      <c r="A6" t="str">
        <f>IF(US_CSC_source!A14="","",US_CSC_source!A14)</f>
        <v>cutoff parameter</v>
      </c>
      <c r="B6">
        <f>IF(US_CSC_source!B14="","",US_CSC_source!B14)</f>
        <v>30000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1F3864"/>
  </sheetPr>
  <dimension ref="A1:AB25"/>
  <sheetViews>
    <sheetView workbookViewId="0">
      <pane xSplit="1" ySplit="1" topLeftCell="B2" activePane="bottomRight" state="frozen"/>
      <selection pane="topRight"/>
      <selection pane="bottomLeft"/>
      <selection pane="bottomRight"/>
    </sheetView>
  </sheetViews>
  <sheetFormatPr defaultRowHeight="15" x14ac:dyDescent="0.25"/>
  <cols>
    <col min="1" max="1" width="40" customWidth="1"/>
  </cols>
  <sheetData>
    <row r="1" spans="1:28" x14ac:dyDescent="0.25">
      <c r="A1" t="str">
        <f>IF(US_CSC_source!A19="","",US_CSC_source!A19)</f>
        <v>Time (Year)</v>
      </c>
      <c r="B1">
        <f>IF(US_CSC_source!B19="","",US_CSC_source!B19)</f>
        <v>2024</v>
      </c>
      <c r="C1">
        <f>IF(US_CSC_source!C19="","",US_CSC_source!C19)</f>
        <v>2025</v>
      </c>
      <c r="D1">
        <f>IF(US_CSC_source!D19="","",US_CSC_source!D19)</f>
        <v>2026</v>
      </c>
      <c r="E1">
        <f>IF(US_CSC_source!E19="","",US_CSC_source!E19)</f>
        <v>2027</v>
      </c>
      <c r="F1">
        <f>IF(US_CSC_source!F19="","",US_CSC_source!F19)</f>
        <v>2028</v>
      </c>
      <c r="G1">
        <f>IF(US_CSC_source!G19="","",US_CSC_source!G19)</f>
        <v>2029</v>
      </c>
      <c r="H1">
        <f>IF(US_CSC_source!H19="","",US_CSC_source!H19)</f>
        <v>2030</v>
      </c>
      <c r="I1">
        <f>IF(US_CSC_source!I19="","",US_CSC_source!I19)</f>
        <v>2031</v>
      </c>
      <c r="J1">
        <f>IF(US_CSC_source!J19="","",US_CSC_source!J19)</f>
        <v>2032</v>
      </c>
      <c r="K1">
        <f>IF(US_CSC_source!K19="","",US_CSC_source!K19)</f>
        <v>2033</v>
      </c>
      <c r="L1">
        <f>IF(US_CSC_source!L19="","",US_CSC_source!L19)</f>
        <v>2034</v>
      </c>
      <c r="M1">
        <f>IF(US_CSC_source!M19="","",US_CSC_source!M19)</f>
        <v>2035</v>
      </c>
      <c r="N1">
        <f>IF(US_CSC_source!N19="","",US_CSC_source!N19)</f>
        <v>2036</v>
      </c>
      <c r="O1">
        <f>IF(US_CSC_source!O19="","",US_CSC_source!O19)</f>
        <v>2037</v>
      </c>
      <c r="P1">
        <f>IF(US_CSC_source!P19="","",US_CSC_source!P19)</f>
        <v>2038</v>
      </c>
      <c r="Q1">
        <f>IF(US_CSC_source!Q19="","",US_CSC_source!Q19)</f>
        <v>2039</v>
      </c>
      <c r="R1">
        <f>IF(US_CSC_source!R19="","",US_CSC_source!R19)</f>
        <v>2040</v>
      </c>
      <c r="S1">
        <f>IF(US_CSC_source!S19="","",US_CSC_source!S19)</f>
        <v>2041</v>
      </c>
      <c r="T1">
        <f>IF(US_CSC_source!T19="","",US_CSC_source!T19)</f>
        <v>2042</v>
      </c>
      <c r="U1">
        <f>IF(US_CSC_source!U19="","",US_CSC_source!U19)</f>
        <v>2043</v>
      </c>
      <c r="V1">
        <f>IF(US_CSC_source!V19="","",US_CSC_source!V19)</f>
        <v>2044</v>
      </c>
      <c r="W1">
        <f>IF(US_CSC_source!W19="","",US_CSC_source!W19)</f>
        <v>2045</v>
      </c>
      <c r="X1">
        <f>IF(US_CSC_source!X19="","",US_CSC_source!X19)</f>
        <v>2046</v>
      </c>
      <c r="Y1">
        <f>IF(US_CSC_source!Y19="","",US_CSC_source!Y19)</f>
        <v>2047</v>
      </c>
      <c r="Z1">
        <f>IF(US_CSC_source!Z19="","",US_CSC_source!Z19)</f>
        <v>2048</v>
      </c>
      <c r="AA1">
        <f>IF(US_CSC_source!AA19="","",US_CSC_source!AA19)</f>
        <v>2049</v>
      </c>
      <c r="AB1">
        <f>IF(US_CSC_source!AB19="","",US_CSC_source!AB19)</f>
        <v>2050</v>
      </c>
    </row>
    <row r="2" spans="1:28" x14ac:dyDescent="0.25">
      <c r="A2" t="str">
        <f>IF(US_CSC_source!A20="","",US_CSC_source!A20)</f>
        <v>hard coal es</v>
      </c>
      <c r="B2">
        <f>IF(US_CSC_source!B20="","",US_CSC_source!B20)</f>
        <v>1</v>
      </c>
      <c r="C2">
        <f>IF(US_CSC_source!C20="","",US_CSC_source!C20)</f>
        <v>1</v>
      </c>
      <c r="D2">
        <f>IF(US_CSC_source!D20="","",US_CSC_source!D20)</f>
        <v>1</v>
      </c>
      <c r="E2">
        <f>IF(US_CSC_source!E20="","",US_CSC_source!E20)</f>
        <v>1</v>
      </c>
      <c r="F2">
        <f>IF(US_CSC_source!F20="","",US_CSC_source!F20)</f>
        <v>1</v>
      </c>
      <c r="G2">
        <f>IF(US_CSC_source!G20="","",US_CSC_source!G20)</f>
        <v>1</v>
      </c>
      <c r="H2">
        <f>IF(US_CSC_source!H20="","",US_CSC_source!H20)</f>
        <v>1</v>
      </c>
      <c r="I2">
        <f>IF(US_CSC_source!I20="","",US_CSC_source!I20)</f>
        <v>1</v>
      </c>
      <c r="J2">
        <f>IF(US_CSC_source!J20="","",US_CSC_source!J20)</f>
        <v>1</v>
      </c>
      <c r="K2">
        <f>IF(US_CSC_source!K20="","",US_CSC_source!K20)</f>
        <v>1</v>
      </c>
      <c r="L2">
        <f>IF(US_CSC_source!L20="","",US_CSC_source!L20)</f>
        <v>1</v>
      </c>
      <c r="M2">
        <f>IF(US_CSC_source!M20="","",US_CSC_source!M20)</f>
        <v>1</v>
      </c>
      <c r="N2">
        <f>IF(US_CSC_source!N20="","",US_CSC_source!N20)</f>
        <v>1</v>
      </c>
      <c r="O2">
        <f>IF(US_CSC_source!O20="","",US_CSC_source!O20)</f>
        <v>1</v>
      </c>
      <c r="P2">
        <f>IF(US_CSC_source!P20="","",US_CSC_source!P20)</f>
        <v>1</v>
      </c>
      <c r="Q2">
        <f>IF(US_CSC_source!Q20="","",US_CSC_source!Q20)</f>
        <v>1</v>
      </c>
      <c r="R2">
        <f>IF(US_CSC_source!R20="","",US_CSC_source!R20)</f>
        <v>1</v>
      </c>
      <c r="S2">
        <f>IF(US_CSC_source!S20="","",US_CSC_source!S20)</f>
        <v>1</v>
      </c>
      <c r="T2">
        <f>IF(US_CSC_source!T20="","",US_CSC_source!T20)</f>
        <v>1</v>
      </c>
      <c r="U2">
        <f>IF(US_CSC_source!U20="","",US_CSC_source!U20)</f>
        <v>1</v>
      </c>
      <c r="V2">
        <f>IF(US_CSC_source!V20="","",US_CSC_source!V20)</f>
        <v>1</v>
      </c>
      <c r="W2">
        <f>IF(US_CSC_source!W20="","",US_CSC_source!W20)</f>
        <v>1</v>
      </c>
      <c r="X2">
        <f>IF(US_CSC_source!X20="","",US_CSC_source!X20)</f>
        <v>1</v>
      </c>
      <c r="Y2">
        <f>IF(US_CSC_source!Y20="","",US_CSC_source!Y20)</f>
        <v>1</v>
      </c>
      <c r="Z2">
        <f>IF(US_CSC_source!Z20="","",US_CSC_source!Z20)</f>
        <v>1</v>
      </c>
      <c r="AA2">
        <f>IF(US_CSC_source!AA20="","",US_CSC_source!AA20)</f>
        <v>1</v>
      </c>
      <c r="AB2">
        <f>IF(US_CSC_source!AB20="","",US_CSC_source!AB20)</f>
        <v>1</v>
      </c>
    </row>
    <row r="3" spans="1:28" x14ac:dyDescent="0.25">
      <c r="A3" t="str">
        <f>IF(US_CSC_source!A21="","",US_CSC_source!A21)</f>
        <v>natural gas steam turbine es</v>
      </c>
      <c r="B3">
        <f>IF(US_CSC_source!B21="","",US_CSC_source!B21)</f>
        <v>1</v>
      </c>
      <c r="C3">
        <f>IF(US_CSC_source!C21="","",US_CSC_source!C21)</f>
        <v>1</v>
      </c>
      <c r="D3">
        <f>IF(US_CSC_source!D21="","",US_CSC_source!D21)</f>
        <v>1</v>
      </c>
      <c r="E3">
        <f>IF(US_CSC_source!E21="","",US_CSC_source!E21)</f>
        <v>1</v>
      </c>
      <c r="F3">
        <f>IF(US_CSC_source!F21="","",US_CSC_source!F21)</f>
        <v>1</v>
      </c>
      <c r="G3">
        <f>IF(US_CSC_source!G21="","",US_CSC_source!G21)</f>
        <v>1</v>
      </c>
      <c r="H3">
        <f>IF(US_CSC_source!H21="","",US_CSC_source!H21)</f>
        <v>1</v>
      </c>
      <c r="I3">
        <f>IF(US_CSC_source!I21="","",US_CSC_source!I21)</f>
        <v>1</v>
      </c>
      <c r="J3">
        <f>IF(US_CSC_source!J21="","",US_CSC_source!J21)</f>
        <v>1</v>
      </c>
      <c r="K3">
        <f>IF(US_CSC_source!K21="","",US_CSC_source!K21)</f>
        <v>1</v>
      </c>
      <c r="L3">
        <f>IF(US_CSC_source!L21="","",US_CSC_source!L21)</f>
        <v>1</v>
      </c>
      <c r="M3">
        <f>IF(US_CSC_source!M21="","",US_CSC_source!M21)</f>
        <v>1</v>
      </c>
      <c r="N3">
        <f>IF(US_CSC_source!N21="","",US_CSC_source!N21)</f>
        <v>1</v>
      </c>
      <c r="O3">
        <f>IF(US_CSC_source!O21="","",US_CSC_source!O21)</f>
        <v>1</v>
      </c>
      <c r="P3">
        <f>IF(US_CSC_source!P21="","",US_CSC_source!P21)</f>
        <v>1</v>
      </c>
      <c r="Q3">
        <f>IF(US_CSC_source!Q21="","",US_CSC_source!Q21)</f>
        <v>1</v>
      </c>
      <c r="R3">
        <f>IF(US_CSC_source!R21="","",US_CSC_source!R21)</f>
        <v>1</v>
      </c>
      <c r="S3">
        <f>IF(US_CSC_source!S21="","",US_CSC_source!S21)</f>
        <v>1</v>
      </c>
      <c r="T3">
        <f>IF(US_CSC_source!T21="","",US_CSC_source!T21)</f>
        <v>1</v>
      </c>
      <c r="U3">
        <f>IF(US_CSC_source!U21="","",US_CSC_source!U21)</f>
        <v>1</v>
      </c>
      <c r="V3">
        <f>IF(US_CSC_source!V21="","",US_CSC_source!V21)</f>
        <v>1</v>
      </c>
      <c r="W3">
        <f>IF(US_CSC_source!W21="","",US_CSC_source!W21)</f>
        <v>1</v>
      </c>
      <c r="X3">
        <f>IF(US_CSC_source!X21="","",US_CSC_source!X21)</f>
        <v>1</v>
      </c>
      <c r="Y3">
        <f>IF(US_CSC_source!Y21="","",US_CSC_source!Y21)</f>
        <v>1</v>
      </c>
      <c r="Z3">
        <f>IF(US_CSC_source!Z21="","",US_CSC_source!Z21)</f>
        <v>1</v>
      </c>
      <c r="AA3">
        <f>IF(US_CSC_source!AA21="","",US_CSC_source!AA21)</f>
        <v>1</v>
      </c>
      <c r="AB3">
        <f>IF(US_CSC_source!AB21="","",US_CSC_source!AB21)</f>
        <v>1</v>
      </c>
    </row>
    <row r="4" spans="1:28" x14ac:dyDescent="0.25">
      <c r="A4" t="str">
        <f>IF(US_CSC_source!A22="","",US_CSC_source!A22)</f>
        <v>natural gas combined cycle es</v>
      </c>
      <c r="B4">
        <f>IF(US_CSC_source!B22="","",US_CSC_source!B22)</f>
        <v>1</v>
      </c>
      <c r="C4">
        <f>IF(US_CSC_source!C22="","",US_CSC_source!C22)</f>
        <v>1</v>
      </c>
      <c r="D4">
        <f>IF(US_CSC_source!D22="","",US_CSC_source!D22)</f>
        <v>1</v>
      </c>
      <c r="E4">
        <f>IF(US_CSC_source!E22="","",US_CSC_source!E22)</f>
        <v>1</v>
      </c>
      <c r="F4">
        <f>IF(US_CSC_source!F22="","",US_CSC_source!F22)</f>
        <v>1</v>
      </c>
      <c r="G4">
        <f>IF(US_CSC_source!G22="","",US_CSC_source!G22)</f>
        <v>1</v>
      </c>
      <c r="H4">
        <f>IF(US_CSC_source!H22="","",US_CSC_source!H22)</f>
        <v>1</v>
      </c>
      <c r="I4">
        <f>IF(US_CSC_source!I22="","",US_CSC_source!I22)</f>
        <v>1</v>
      </c>
      <c r="J4">
        <f>IF(US_CSC_source!J22="","",US_CSC_source!J22)</f>
        <v>1</v>
      </c>
      <c r="K4">
        <f>IF(US_CSC_source!K22="","",US_CSC_source!K22)</f>
        <v>1</v>
      </c>
      <c r="L4">
        <f>IF(US_CSC_source!L22="","",US_CSC_source!L22)</f>
        <v>1</v>
      </c>
      <c r="M4">
        <f>IF(US_CSC_source!M22="","",US_CSC_source!M22)</f>
        <v>1</v>
      </c>
      <c r="N4">
        <f>IF(US_CSC_source!N22="","",US_CSC_source!N22)</f>
        <v>1</v>
      </c>
      <c r="O4">
        <f>IF(US_CSC_source!O22="","",US_CSC_source!O22)</f>
        <v>1</v>
      </c>
      <c r="P4">
        <f>IF(US_CSC_source!P22="","",US_CSC_source!P22)</f>
        <v>1</v>
      </c>
      <c r="Q4">
        <f>IF(US_CSC_source!Q22="","",US_CSC_source!Q22)</f>
        <v>1</v>
      </c>
      <c r="R4">
        <f>IF(US_CSC_source!R22="","",US_CSC_source!R22)</f>
        <v>1</v>
      </c>
      <c r="S4">
        <f>IF(US_CSC_source!S22="","",US_CSC_source!S22)</f>
        <v>1</v>
      </c>
      <c r="T4">
        <f>IF(US_CSC_source!T22="","",US_CSC_source!T22)</f>
        <v>1</v>
      </c>
      <c r="U4">
        <f>IF(US_CSC_source!U22="","",US_CSC_source!U22)</f>
        <v>1</v>
      </c>
      <c r="V4">
        <f>IF(US_CSC_source!V22="","",US_CSC_source!V22)</f>
        <v>1</v>
      </c>
      <c r="W4">
        <f>IF(US_CSC_source!W22="","",US_CSC_source!W22)</f>
        <v>1</v>
      </c>
      <c r="X4">
        <f>IF(US_CSC_source!X22="","",US_CSC_source!X22)</f>
        <v>1</v>
      </c>
      <c r="Y4">
        <f>IF(US_CSC_source!Y22="","",US_CSC_source!Y22)</f>
        <v>1</v>
      </c>
      <c r="Z4">
        <f>IF(US_CSC_source!Z22="","",US_CSC_source!Z22)</f>
        <v>1</v>
      </c>
      <c r="AA4">
        <f>IF(US_CSC_source!AA22="","",US_CSC_source!AA22)</f>
        <v>1</v>
      </c>
      <c r="AB4">
        <f>IF(US_CSC_source!AB22="","",US_CSC_source!AB22)</f>
        <v>1</v>
      </c>
    </row>
    <row r="5" spans="1:28" x14ac:dyDescent="0.25">
      <c r="A5" t="str">
        <f>IF(US_CSC_source!A23="","",US_CSC_source!A23)</f>
        <v>nuclear es</v>
      </c>
      <c r="B5">
        <f>IF(US_CSC_source!B23="","",US_CSC_source!B23)</f>
        <v>1</v>
      </c>
      <c r="C5">
        <f>IF(US_CSC_source!C23="","",US_CSC_source!C23)</f>
        <v>1</v>
      </c>
      <c r="D5">
        <f>IF(US_CSC_source!D23="","",US_CSC_source!D23)</f>
        <v>1</v>
      </c>
      <c r="E5">
        <f>IF(US_CSC_source!E23="","",US_CSC_source!E23)</f>
        <v>1</v>
      </c>
      <c r="F5">
        <f>IF(US_CSC_source!F23="","",US_CSC_source!F23)</f>
        <v>1</v>
      </c>
      <c r="G5">
        <f>IF(US_CSC_source!G23="","",US_CSC_source!G23)</f>
        <v>1</v>
      </c>
      <c r="H5">
        <f>IF(US_CSC_source!H23="","",US_CSC_source!H23)</f>
        <v>1</v>
      </c>
      <c r="I5">
        <f>IF(US_CSC_source!I23="","",US_CSC_source!I23)</f>
        <v>1</v>
      </c>
      <c r="J5">
        <f>IF(US_CSC_source!J23="","",US_CSC_source!J23)</f>
        <v>1</v>
      </c>
      <c r="K5">
        <f>IF(US_CSC_source!K23="","",US_CSC_source!K23)</f>
        <v>1</v>
      </c>
      <c r="L5">
        <f>IF(US_CSC_source!L23="","",US_CSC_source!L23)</f>
        <v>1</v>
      </c>
      <c r="M5">
        <f>IF(US_CSC_source!M23="","",US_CSC_source!M23)</f>
        <v>1</v>
      </c>
      <c r="N5">
        <f>IF(US_CSC_source!N23="","",US_CSC_source!N23)</f>
        <v>1</v>
      </c>
      <c r="O5">
        <f>IF(US_CSC_source!O23="","",US_CSC_source!O23)</f>
        <v>1</v>
      </c>
      <c r="P5">
        <f>IF(US_CSC_source!P23="","",US_CSC_source!P23)</f>
        <v>1</v>
      </c>
      <c r="Q5">
        <f>IF(US_CSC_source!Q23="","",US_CSC_source!Q23)</f>
        <v>1</v>
      </c>
      <c r="R5">
        <f>IF(US_CSC_source!R23="","",US_CSC_source!R23)</f>
        <v>1</v>
      </c>
      <c r="S5">
        <f>IF(US_CSC_source!S23="","",US_CSC_source!S23)</f>
        <v>1</v>
      </c>
      <c r="T5">
        <f>IF(US_CSC_source!T23="","",US_CSC_source!T23)</f>
        <v>1</v>
      </c>
      <c r="U5">
        <f>IF(US_CSC_source!U23="","",US_CSC_source!U23)</f>
        <v>1</v>
      </c>
      <c r="V5">
        <f>IF(US_CSC_source!V23="","",US_CSC_source!V23)</f>
        <v>1</v>
      </c>
      <c r="W5">
        <f>IF(US_CSC_source!W23="","",US_CSC_source!W23)</f>
        <v>1</v>
      </c>
      <c r="X5">
        <f>IF(US_CSC_source!X23="","",US_CSC_source!X23)</f>
        <v>1</v>
      </c>
      <c r="Y5">
        <f>IF(US_CSC_source!Y23="","",US_CSC_source!Y23)</f>
        <v>1</v>
      </c>
      <c r="Z5">
        <f>IF(US_CSC_source!Z23="","",US_CSC_source!Z23)</f>
        <v>1</v>
      </c>
      <c r="AA5">
        <f>IF(US_CSC_source!AA23="","",US_CSC_source!AA23)</f>
        <v>1</v>
      </c>
      <c r="AB5">
        <f>IF(US_CSC_source!AB23="","",US_CSC_source!AB23)</f>
        <v>1</v>
      </c>
    </row>
    <row r="6" spans="1:28" x14ac:dyDescent="0.25">
      <c r="A6" t="str">
        <f>IF(US_CSC_source!A24="","",US_CSC_source!A24)</f>
        <v>hydro es</v>
      </c>
      <c r="B6">
        <f>IF(US_CSC_source!B24="","",US_CSC_source!B24)</f>
        <v>1</v>
      </c>
      <c r="C6">
        <f>IF(US_CSC_source!C24="","",US_CSC_source!C24)</f>
        <v>1</v>
      </c>
      <c r="D6">
        <f>IF(US_CSC_source!D24="","",US_CSC_source!D24)</f>
        <v>1</v>
      </c>
      <c r="E6">
        <f>IF(US_CSC_source!E24="","",US_CSC_source!E24)</f>
        <v>1</v>
      </c>
      <c r="F6">
        <f>IF(US_CSC_source!F24="","",US_CSC_source!F24)</f>
        <v>1</v>
      </c>
      <c r="G6">
        <f>IF(US_CSC_source!G24="","",US_CSC_source!G24)</f>
        <v>1</v>
      </c>
      <c r="H6">
        <f>IF(US_CSC_source!H24="","",US_CSC_source!H24)</f>
        <v>1</v>
      </c>
      <c r="I6">
        <f>IF(US_CSC_source!I24="","",US_CSC_source!I24)</f>
        <v>1</v>
      </c>
      <c r="J6">
        <f>IF(US_CSC_source!J24="","",US_CSC_source!J24)</f>
        <v>1</v>
      </c>
      <c r="K6">
        <f>IF(US_CSC_source!K24="","",US_CSC_source!K24)</f>
        <v>1</v>
      </c>
      <c r="L6">
        <f>IF(US_CSC_source!L24="","",US_CSC_source!L24)</f>
        <v>1</v>
      </c>
      <c r="M6">
        <f>IF(US_CSC_source!M24="","",US_CSC_source!M24)</f>
        <v>1</v>
      </c>
      <c r="N6">
        <f>IF(US_CSC_source!N24="","",US_CSC_source!N24)</f>
        <v>1</v>
      </c>
      <c r="O6">
        <f>IF(US_CSC_source!O24="","",US_CSC_source!O24)</f>
        <v>1</v>
      </c>
      <c r="P6">
        <f>IF(US_CSC_source!P24="","",US_CSC_source!P24)</f>
        <v>1</v>
      </c>
      <c r="Q6">
        <f>IF(US_CSC_source!Q24="","",US_CSC_source!Q24)</f>
        <v>1</v>
      </c>
      <c r="R6">
        <f>IF(US_CSC_source!R24="","",US_CSC_source!R24)</f>
        <v>1</v>
      </c>
      <c r="S6">
        <f>IF(US_CSC_source!S24="","",US_CSC_source!S24)</f>
        <v>1</v>
      </c>
      <c r="T6">
        <f>IF(US_CSC_source!T24="","",US_CSC_source!T24)</f>
        <v>1</v>
      </c>
      <c r="U6">
        <f>IF(US_CSC_source!U24="","",US_CSC_source!U24)</f>
        <v>1</v>
      </c>
      <c r="V6">
        <f>IF(US_CSC_source!V24="","",US_CSC_source!V24)</f>
        <v>1</v>
      </c>
      <c r="W6">
        <f>IF(US_CSC_source!W24="","",US_CSC_source!W24)</f>
        <v>1</v>
      </c>
      <c r="X6">
        <f>IF(US_CSC_source!X24="","",US_CSC_source!X24)</f>
        <v>1</v>
      </c>
      <c r="Y6">
        <f>IF(US_CSC_source!Y24="","",US_CSC_source!Y24)</f>
        <v>1</v>
      </c>
      <c r="Z6">
        <f>IF(US_CSC_source!Z24="","",US_CSC_source!Z24)</f>
        <v>1</v>
      </c>
      <c r="AA6">
        <f>IF(US_CSC_source!AA24="","",US_CSC_source!AA24)</f>
        <v>1</v>
      </c>
      <c r="AB6">
        <f>IF(US_CSC_source!AB24="","",US_CSC_source!AB24)</f>
        <v>1</v>
      </c>
    </row>
    <row r="7" spans="1:28" x14ac:dyDescent="0.25">
      <c r="A7" t="str">
        <f>IF(US_CSC_source!A25="","",US_CSC_source!A25)</f>
        <v>onshore wind es</v>
      </c>
      <c r="B7">
        <f>IF(US_CSC_source!B25="","",US_CSC_source!B25)</f>
        <v>0.8</v>
      </c>
      <c r="C7">
        <f>IF(US_CSC_source!C25="","",US_CSC_source!C25)</f>
        <v>0.1</v>
      </c>
      <c r="D7">
        <f>IF(US_CSC_source!D25="","",US_CSC_source!D25)</f>
        <v>0.1</v>
      </c>
      <c r="E7">
        <f>IF(US_CSC_source!E25="","",US_CSC_source!E25)</f>
        <v>0.1</v>
      </c>
      <c r="F7">
        <f>IF(US_CSC_source!F25="","",US_CSC_source!F25)</f>
        <v>0.1</v>
      </c>
      <c r="G7">
        <f>IF(US_CSC_source!G25="","",US_CSC_source!G25)</f>
        <v>0.1</v>
      </c>
      <c r="H7">
        <f>IF(US_CSC_source!H25="","",US_CSC_source!H25)</f>
        <v>0.33333333300000001</v>
      </c>
      <c r="I7">
        <f>IF(US_CSC_source!I25="","",US_CSC_source!I25)</f>
        <v>0.56666666700000001</v>
      </c>
      <c r="J7">
        <f>IF(US_CSC_source!J25="","",US_CSC_source!J25)</f>
        <v>0.8</v>
      </c>
      <c r="K7">
        <f>IF(US_CSC_source!K25="","",US_CSC_source!K25)</f>
        <v>0.8</v>
      </c>
      <c r="L7">
        <f>IF(US_CSC_source!L25="","",US_CSC_source!L25)</f>
        <v>0.8</v>
      </c>
      <c r="M7">
        <f>IF(US_CSC_source!M25="","",US_CSC_source!M25)</f>
        <v>0.8</v>
      </c>
      <c r="N7">
        <f>IF(US_CSC_source!N25="","",US_CSC_source!N25)</f>
        <v>0.8</v>
      </c>
      <c r="O7">
        <f>IF(US_CSC_source!O25="","",US_CSC_source!O25)</f>
        <v>0.8</v>
      </c>
      <c r="P7">
        <f>IF(US_CSC_source!P25="","",US_CSC_source!P25)</f>
        <v>0.8</v>
      </c>
      <c r="Q7">
        <f>IF(US_CSC_source!Q25="","",US_CSC_source!Q25)</f>
        <v>0.8</v>
      </c>
      <c r="R7">
        <f>IF(US_CSC_source!R25="","",US_CSC_source!R25)</f>
        <v>0.8</v>
      </c>
      <c r="S7">
        <f>IF(US_CSC_source!S25="","",US_CSC_source!S25)</f>
        <v>0.8</v>
      </c>
      <c r="T7">
        <f>IF(US_CSC_source!T25="","",US_CSC_source!T25)</f>
        <v>0.8</v>
      </c>
      <c r="U7">
        <f>IF(US_CSC_source!U25="","",US_CSC_source!U25)</f>
        <v>0.8</v>
      </c>
      <c r="V7">
        <f>IF(US_CSC_source!V25="","",US_CSC_source!V25)</f>
        <v>0.8</v>
      </c>
      <c r="W7">
        <f>IF(US_CSC_source!W25="","",US_CSC_source!W25)</f>
        <v>0.8</v>
      </c>
      <c r="X7">
        <f>IF(US_CSC_source!X25="","",US_CSC_source!X25)</f>
        <v>0.8</v>
      </c>
      <c r="Y7">
        <f>IF(US_CSC_source!Y25="","",US_CSC_source!Y25)</f>
        <v>0.8</v>
      </c>
      <c r="Z7">
        <f>IF(US_CSC_source!Z25="","",US_CSC_source!Z25)</f>
        <v>0.8</v>
      </c>
      <c r="AA7">
        <f>IF(US_CSC_source!AA25="","",US_CSC_source!AA25)</f>
        <v>0.8</v>
      </c>
      <c r="AB7">
        <f>IF(US_CSC_source!AB25="","",US_CSC_source!AB25)</f>
        <v>0.8</v>
      </c>
    </row>
    <row r="8" spans="1:28" x14ac:dyDescent="0.25">
      <c r="A8" t="str">
        <f>IF(US_CSC_source!A26="","",US_CSC_source!A26)</f>
        <v>solar PV es</v>
      </c>
      <c r="B8">
        <f>IF(US_CSC_source!B26="","",US_CSC_source!B26)</f>
        <v>1</v>
      </c>
      <c r="C8">
        <f>IF(US_CSC_source!C26="","",US_CSC_source!C26)</f>
        <v>1</v>
      </c>
      <c r="D8">
        <f>IF(US_CSC_source!D26="","",US_CSC_source!D26)</f>
        <v>1</v>
      </c>
      <c r="E8">
        <f>IF(US_CSC_source!E26="","",US_CSC_source!E26)</f>
        <v>1</v>
      </c>
      <c r="F8">
        <f>IF(US_CSC_source!F26="","",US_CSC_source!F26)</f>
        <v>1</v>
      </c>
      <c r="G8">
        <f>IF(US_CSC_source!G26="","",US_CSC_source!G26)</f>
        <v>1</v>
      </c>
      <c r="H8">
        <f>IF(US_CSC_source!H26="","",US_CSC_source!H26)</f>
        <v>1</v>
      </c>
      <c r="I8">
        <f>IF(US_CSC_source!I26="","",US_CSC_source!I26)</f>
        <v>1</v>
      </c>
      <c r="J8">
        <f>IF(US_CSC_source!J26="","",US_CSC_source!J26)</f>
        <v>1</v>
      </c>
      <c r="K8">
        <f>IF(US_CSC_source!K26="","",US_CSC_source!K26)</f>
        <v>1</v>
      </c>
      <c r="L8">
        <f>IF(US_CSC_source!L26="","",US_CSC_source!L26)</f>
        <v>1</v>
      </c>
      <c r="M8">
        <f>IF(US_CSC_source!M26="","",US_CSC_source!M26)</f>
        <v>1</v>
      </c>
      <c r="N8">
        <f>IF(US_CSC_source!N26="","",US_CSC_source!N26)</f>
        <v>1</v>
      </c>
      <c r="O8">
        <f>IF(US_CSC_source!O26="","",US_CSC_source!O26)</f>
        <v>1</v>
      </c>
      <c r="P8">
        <f>IF(US_CSC_source!P26="","",US_CSC_source!P26)</f>
        <v>1</v>
      </c>
      <c r="Q8">
        <f>IF(US_CSC_source!Q26="","",US_CSC_source!Q26)</f>
        <v>1</v>
      </c>
      <c r="R8">
        <f>IF(US_CSC_source!R26="","",US_CSC_source!R26)</f>
        <v>1</v>
      </c>
      <c r="S8">
        <f>IF(US_CSC_source!S26="","",US_CSC_source!S26)</f>
        <v>1</v>
      </c>
      <c r="T8">
        <f>IF(US_CSC_source!T26="","",US_CSC_source!T26)</f>
        <v>1</v>
      </c>
      <c r="U8">
        <f>IF(US_CSC_source!U26="","",US_CSC_source!U26)</f>
        <v>1</v>
      </c>
      <c r="V8">
        <f>IF(US_CSC_source!V26="","",US_CSC_source!V26)</f>
        <v>1</v>
      </c>
      <c r="W8">
        <f>IF(US_CSC_source!W26="","",US_CSC_source!W26)</f>
        <v>1</v>
      </c>
      <c r="X8">
        <f>IF(US_CSC_source!X26="","",US_CSC_source!X26)</f>
        <v>1</v>
      </c>
      <c r="Y8">
        <f>IF(US_CSC_source!Y26="","",US_CSC_source!Y26)</f>
        <v>1</v>
      </c>
      <c r="Z8">
        <f>IF(US_CSC_source!Z26="","",US_CSC_source!Z26)</f>
        <v>1</v>
      </c>
      <c r="AA8">
        <f>IF(US_CSC_source!AA26="","",US_CSC_source!AA26)</f>
        <v>1</v>
      </c>
      <c r="AB8">
        <f>IF(US_CSC_source!AB26="","",US_CSC_source!AB26)</f>
        <v>1</v>
      </c>
    </row>
    <row r="9" spans="1:28" x14ac:dyDescent="0.25">
      <c r="A9" t="str">
        <f>IF(US_CSC_source!A27="","",US_CSC_source!A27)</f>
        <v>solar thermal es</v>
      </c>
      <c r="B9">
        <f>IF(US_CSC_source!B27="","",US_CSC_source!B27)</f>
        <v>1</v>
      </c>
      <c r="C9">
        <f>IF(US_CSC_source!C27="","",US_CSC_source!C27)</f>
        <v>1</v>
      </c>
      <c r="D9">
        <f>IF(US_CSC_source!D27="","",US_CSC_source!D27)</f>
        <v>1</v>
      </c>
      <c r="E9">
        <f>IF(US_CSC_source!E27="","",US_CSC_source!E27)</f>
        <v>1</v>
      </c>
      <c r="F9">
        <f>IF(US_CSC_source!F27="","",US_CSC_source!F27)</f>
        <v>1</v>
      </c>
      <c r="G9">
        <f>IF(US_CSC_source!G27="","",US_CSC_source!G27)</f>
        <v>1</v>
      </c>
      <c r="H9">
        <f>IF(US_CSC_source!H27="","",US_CSC_source!H27)</f>
        <v>1</v>
      </c>
      <c r="I9">
        <f>IF(US_CSC_source!I27="","",US_CSC_source!I27)</f>
        <v>1</v>
      </c>
      <c r="J9">
        <f>IF(US_CSC_source!J27="","",US_CSC_source!J27)</f>
        <v>1</v>
      </c>
      <c r="K9">
        <f>IF(US_CSC_source!K27="","",US_CSC_source!K27)</f>
        <v>1</v>
      </c>
      <c r="L9">
        <f>IF(US_CSC_source!L27="","",US_CSC_source!L27)</f>
        <v>1</v>
      </c>
      <c r="M9">
        <f>IF(US_CSC_source!M27="","",US_CSC_source!M27)</f>
        <v>1</v>
      </c>
      <c r="N9">
        <f>IF(US_CSC_source!N27="","",US_CSC_source!N27)</f>
        <v>1</v>
      </c>
      <c r="O9">
        <f>IF(US_CSC_source!O27="","",US_CSC_source!O27)</f>
        <v>1</v>
      </c>
      <c r="P9">
        <f>IF(US_CSC_source!P27="","",US_CSC_source!P27)</f>
        <v>1</v>
      </c>
      <c r="Q9">
        <f>IF(US_CSC_source!Q27="","",US_CSC_source!Q27)</f>
        <v>1</v>
      </c>
      <c r="R9">
        <f>IF(US_CSC_source!R27="","",US_CSC_source!R27)</f>
        <v>1</v>
      </c>
      <c r="S9">
        <f>IF(US_CSC_source!S27="","",US_CSC_source!S27)</f>
        <v>1</v>
      </c>
      <c r="T9">
        <f>IF(US_CSC_source!T27="","",US_CSC_source!T27)</f>
        <v>1</v>
      </c>
      <c r="U9">
        <f>IF(US_CSC_source!U27="","",US_CSC_source!U27)</f>
        <v>1</v>
      </c>
      <c r="V9">
        <f>IF(US_CSC_source!V27="","",US_CSC_source!V27)</f>
        <v>1</v>
      </c>
      <c r="W9">
        <f>IF(US_CSC_source!W27="","",US_CSC_source!W27)</f>
        <v>1</v>
      </c>
      <c r="X9">
        <f>IF(US_CSC_source!X27="","",US_CSC_source!X27)</f>
        <v>1</v>
      </c>
      <c r="Y9">
        <f>IF(US_CSC_source!Y27="","",US_CSC_source!Y27)</f>
        <v>1</v>
      </c>
      <c r="Z9">
        <f>IF(US_CSC_source!Z27="","",US_CSC_source!Z27)</f>
        <v>1</v>
      </c>
      <c r="AA9">
        <f>IF(US_CSC_source!AA27="","",US_CSC_source!AA27)</f>
        <v>1</v>
      </c>
      <c r="AB9">
        <f>IF(US_CSC_source!AB27="","",US_CSC_source!AB27)</f>
        <v>1</v>
      </c>
    </row>
    <row r="10" spans="1:28" x14ac:dyDescent="0.25">
      <c r="A10" t="str">
        <f>IF(US_CSC_source!A28="","",US_CSC_source!A28)</f>
        <v>biomass es</v>
      </c>
      <c r="B10">
        <f>IF(US_CSC_source!B28="","",US_CSC_source!B28)</f>
        <v>1</v>
      </c>
      <c r="C10">
        <f>IF(US_CSC_source!C28="","",US_CSC_source!C28)</f>
        <v>1</v>
      </c>
      <c r="D10">
        <f>IF(US_CSC_source!D28="","",US_CSC_source!D28)</f>
        <v>1</v>
      </c>
      <c r="E10">
        <f>IF(US_CSC_source!E28="","",US_CSC_source!E28)</f>
        <v>1</v>
      </c>
      <c r="F10">
        <f>IF(US_CSC_source!F28="","",US_CSC_source!F28)</f>
        <v>1</v>
      </c>
      <c r="G10">
        <f>IF(US_CSC_source!G28="","",US_CSC_source!G28)</f>
        <v>1</v>
      </c>
      <c r="H10">
        <f>IF(US_CSC_source!H28="","",US_CSC_source!H28)</f>
        <v>1</v>
      </c>
      <c r="I10">
        <f>IF(US_CSC_source!I28="","",US_CSC_source!I28)</f>
        <v>1</v>
      </c>
      <c r="J10">
        <f>IF(US_CSC_source!J28="","",US_CSC_source!J28)</f>
        <v>1</v>
      </c>
      <c r="K10">
        <f>IF(US_CSC_source!K28="","",US_CSC_source!K28)</f>
        <v>1</v>
      </c>
      <c r="L10">
        <f>IF(US_CSC_source!L28="","",US_CSC_source!L28)</f>
        <v>1</v>
      </c>
      <c r="M10">
        <f>IF(US_CSC_source!M28="","",US_CSC_source!M28)</f>
        <v>1</v>
      </c>
      <c r="N10">
        <f>IF(US_CSC_source!N28="","",US_CSC_source!N28)</f>
        <v>1</v>
      </c>
      <c r="O10">
        <f>IF(US_CSC_source!O28="","",US_CSC_source!O28)</f>
        <v>1</v>
      </c>
      <c r="P10">
        <f>IF(US_CSC_source!P28="","",US_CSC_source!P28)</f>
        <v>1</v>
      </c>
      <c r="Q10">
        <f>IF(US_CSC_source!Q28="","",US_CSC_source!Q28)</f>
        <v>1</v>
      </c>
      <c r="R10">
        <f>IF(US_CSC_source!R28="","",US_CSC_source!R28)</f>
        <v>1</v>
      </c>
      <c r="S10">
        <f>IF(US_CSC_source!S28="","",US_CSC_source!S28)</f>
        <v>1</v>
      </c>
      <c r="T10">
        <f>IF(US_CSC_source!T28="","",US_CSC_source!T28)</f>
        <v>1</v>
      </c>
      <c r="U10">
        <f>IF(US_CSC_source!U28="","",US_CSC_source!U28)</f>
        <v>1</v>
      </c>
      <c r="V10">
        <f>IF(US_CSC_source!V28="","",US_CSC_source!V28)</f>
        <v>1</v>
      </c>
      <c r="W10">
        <f>IF(US_CSC_source!W28="","",US_CSC_source!W28)</f>
        <v>1</v>
      </c>
      <c r="X10">
        <f>IF(US_CSC_source!X28="","",US_CSC_source!X28)</f>
        <v>1</v>
      </c>
      <c r="Y10">
        <f>IF(US_CSC_source!Y28="","",US_CSC_source!Y28)</f>
        <v>1</v>
      </c>
      <c r="Z10">
        <f>IF(US_CSC_source!Z28="","",US_CSC_source!Z28)</f>
        <v>1</v>
      </c>
      <c r="AA10">
        <f>IF(US_CSC_source!AA28="","",US_CSC_source!AA28)</f>
        <v>1</v>
      </c>
      <c r="AB10">
        <f>IF(US_CSC_source!AB28="","",US_CSC_source!AB28)</f>
        <v>1</v>
      </c>
    </row>
    <row r="11" spans="1:28" x14ac:dyDescent="0.25">
      <c r="A11" t="str">
        <f>IF(US_CSC_source!A29="","",US_CSC_source!A29)</f>
        <v>geothermal es</v>
      </c>
      <c r="B11">
        <f>IF(US_CSC_source!B29="","",US_CSC_source!B29)</f>
        <v>1</v>
      </c>
      <c r="C11">
        <f>IF(US_CSC_source!C29="","",US_CSC_source!C29)</f>
        <v>1</v>
      </c>
      <c r="D11">
        <f>IF(US_CSC_source!D29="","",US_CSC_source!D29)</f>
        <v>1</v>
      </c>
      <c r="E11">
        <f>IF(US_CSC_source!E29="","",US_CSC_source!E29)</f>
        <v>1</v>
      </c>
      <c r="F11">
        <f>IF(US_CSC_source!F29="","",US_CSC_source!F29)</f>
        <v>1</v>
      </c>
      <c r="G11">
        <f>IF(US_CSC_source!G29="","",US_CSC_source!G29)</f>
        <v>1</v>
      </c>
      <c r="H11">
        <f>IF(US_CSC_source!H29="","",US_CSC_source!H29)</f>
        <v>1</v>
      </c>
      <c r="I11">
        <f>IF(US_CSC_source!I29="","",US_CSC_source!I29)</f>
        <v>1</v>
      </c>
      <c r="J11">
        <f>IF(US_CSC_source!J29="","",US_CSC_source!J29)</f>
        <v>1</v>
      </c>
      <c r="K11">
        <f>IF(US_CSC_source!K29="","",US_CSC_source!K29)</f>
        <v>1</v>
      </c>
      <c r="L11">
        <f>IF(US_CSC_source!L29="","",US_CSC_source!L29)</f>
        <v>1</v>
      </c>
      <c r="M11">
        <f>IF(US_CSC_source!M29="","",US_CSC_source!M29)</f>
        <v>1</v>
      </c>
      <c r="N11">
        <f>IF(US_CSC_source!N29="","",US_CSC_source!N29)</f>
        <v>1</v>
      </c>
      <c r="O11">
        <f>IF(US_CSC_source!O29="","",US_CSC_source!O29)</f>
        <v>1</v>
      </c>
      <c r="P11">
        <f>IF(US_CSC_source!P29="","",US_CSC_source!P29)</f>
        <v>1</v>
      </c>
      <c r="Q11">
        <f>IF(US_CSC_source!Q29="","",US_CSC_source!Q29)</f>
        <v>1</v>
      </c>
      <c r="R11">
        <f>IF(US_CSC_source!R29="","",US_CSC_source!R29)</f>
        <v>1</v>
      </c>
      <c r="S11">
        <f>IF(US_CSC_source!S29="","",US_CSC_source!S29)</f>
        <v>1</v>
      </c>
      <c r="T11">
        <f>IF(US_CSC_source!T29="","",US_CSC_source!T29)</f>
        <v>1</v>
      </c>
      <c r="U11">
        <f>IF(US_CSC_source!U29="","",US_CSC_source!U29)</f>
        <v>1</v>
      </c>
      <c r="V11">
        <f>IF(US_CSC_source!V29="","",US_CSC_source!V29)</f>
        <v>1</v>
      </c>
      <c r="W11">
        <f>IF(US_CSC_source!W29="","",US_CSC_source!W29)</f>
        <v>1</v>
      </c>
      <c r="X11">
        <f>IF(US_CSC_source!X29="","",US_CSC_source!X29)</f>
        <v>1</v>
      </c>
      <c r="Y11">
        <f>IF(US_CSC_source!Y29="","",US_CSC_source!Y29)</f>
        <v>1</v>
      </c>
      <c r="Z11">
        <f>IF(US_CSC_source!Z29="","",US_CSC_source!Z29)</f>
        <v>1</v>
      </c>
      <c r="AA11">
        <f>IF(US_CSC_source!AA29="","",US_CSC_source!AA29)</f>
        <v>1</v>
      </c>
      <c r="AB11">
        <f>IF(US_CSC_source!AB29="","",US_CSC_source!AB29)</f>
        <v>1</v>
      </c>
    </row>
    <row r="12" spans="1:28" x14ac:dyDescent="0.25">
      <c r="A12" t="str">
        <f>IF(US_CSC_source!A30="","",US_CSC_source!A30)</f>
        <v>petroleum es</v>
      </c>
      <c r="B12">
        <f>IF(US_CSC_source!B30="","",US_CSC_source!B30)</f>
        <v>1</v>
      </c>
      <c r="C12">
        <f>IF(US_CSC_source!C30="","",US_CSC_source!C30)</f>
        <v>1</v>
      </c>
      <c r="D12">
        <f>IF(US_CSC_source!D30="","",US_CSC_source!D30)</f>
        <v>1</v>
      </c>
      <c r="E12">
        <f>IF(US_CSC_source!E30="","",US_CSC_source!E30)</f>
        <v>1</v>
      </c>
      <c r="F12">
        <f>IF(US_CSC_source!F30="","",US_CSC_source!F30)</f>
        <v>1</v>
      </c>
      <c r="G12">
        <f>IF(US_CSC_source!G30="","",US_CSC_source!G30)</f>
        <v>1</v>
      </c>
      <c r="H12">
        <f>IF(US_CSC_source!H30="","",US_CSC_source!H30)</f>
        <v>1</v>
      </c>
      <c r="I12">
        <f>IF(US_CSC_source!I30="","",US_CSC_source!I30)</f>
        <v>1</v>
      </c>
      <c r="J12">
        <f>IF(US_CSC_source!J30="","",US_CSC_source!J30)</f>
        <v>1</v>
      </c>
      <c r="K12">
        <f>IF(US_CSC_source!K30="","",US_CSC_source!K30)</f>
        <v>1</v>
      </c>
      <c r="L12">
        <f>IF(US_CSC_source!L30="","",US_CSC_source!L30)</f>
        <v>1</v>
      </c>
      <c r="M12">
        <f>IF(US_CSC_source!M30="","",US_CSC_source!M30)</f>
        <v>1</v>
      </c>
      <c r="N12">
        <f>IF(US_CSC_source!N30="","",US_CSC_source!N30)</f>
        <v>1</v>
      </c>
      <c r="O12">
        <f>IF(US_CSC_source!O30="","",US_CSC_source!O30)</f>
        <v>1</v>
      </c>
      <c r="P12">
        <f>IF(US_CSC_source!P30="","",US_CSC_source!P30)</f>
        <v>1</v>
      </c>
      <c r="Q12">
        <f>IF(US_CSC_source!Q30="","",US_CSC_source!Q30)</f>
        <v>1</v>
      </c>
      <c r="R12">
        <f>IF(US_CSC_source!R30="","",US_CSC_source!R30)</f>
        <v>1</v>
      </c>
      <c r="S12">
        <f>IF(US_CSC_source!S30="","",US_CSC_source!S30)</f>
        <v>1</v>
      </c>
      <c r="T12">
        <f>IF(US_CSC_source!T30="","",US_CSC_source!T30)</f>
        <v>1</v>
      </c>
      <c r="U12">
        <f>IF(US_CSC_source!U30="","",US_CSC_source!U30)</f>
        <v>1</v>
      </c>
      <c r="V12">
        <f>IF(US_CSC_source!V30="","",US_CSC_source!V30)</f>
        <v>1</v>
      </c>
      <c r="W12">
        <f>IF(US_CSC_source!W30="","",US_CSC_source!W30)</f>
        <v>1</v>
      </c>
      <c r="X12">
        <f>IF(US_CSC_source!X30="","",US_CSC_source!X30)</f>
        <v>1</v>
      </c>
      <c r="Y12">
        <f>IF(US_CSC_source!Y30="","",US_CSC_source!Y30)</f>
        <v>1</v>
      </c>
      <c r="Z12">
        <f>IF(US_CSC_source!Z30="","",US_CSC_source!Z30)</f>
        <v>1</v>
      </c>
      <c r="AA12">
        <f>IF(US_CSC_source!AA30="","",US_CSC_source!AA30)</f>
        <v>1</v>
      </c>
      <c r="AB12">
        <f>IF(US_CSC_source!AB30="","",US_CSC_source!AB30)</f>
        <v>1</v>
      </c>
    </row>
    <row r="13" spans="1:28" x14ac:dyDescent="0.25">
      <c r="A13" t="str">
        <f>IF(US_CSC_source!A31="","",US_CSC_source!A31)</f>
        <v>natural gas peaker es</v>
      </c>
      <c r="B13">
        <f>IF(US_CSC_source!B31="","",US_CSC_source!B31)</f>
        <v>1</v>
      </c>
      <c r="C13">
        <f>IF(US_CSC_source!C31="","",US_CSC_source!C31)</f>
        <v>1</v>
      </c>
      <c r="D13">
        <f>IF(US_CSC_source!D31="","",US_CSC_source!D31)</f>
        <v>1</v>
      </c>
      <c r="E13">
        <f>IF(US_CSC_source!E31="","",US_CSC_source!E31)</f>
        <v>1</v>
      </c>
      <c r="F13">
        <f>IF(US_CSC_source!F31="","",US_CSC_source!F31)</f>
        <v>1</v>
      </c>
      <c r="G13">
        <f>IF(US_CSC_source!G31="","",US_CSC_source!G31)</f>
        <v>1</v>
      </c>
      <c r="H13">
        <f>IF(US_CSC_source!H31="","",US_CSC_source!H31)</f>
        <v>1</v>
      </c>
      <c r="I13">
        <f>IF(US_CSC_source!I31="","",US_CSC_source!I31)</f>
        <v>1</v>
      </c>
      <c r="J13">
        <f>IF(US_CSC_source!J31="","",US_CSC_source!J31)</f>
        <v>1</v>
      </c>
      <c r="K13">
        <f>IF(US_CSC_source!K31="","",US_CSC_source!K31)</f>
        <v>1</v>
      </c>
      <c r="L13">
        <f>IF(US_CSC_source!L31="","",US_CSC_source!L31)</f>
        <v>1</v>
      </c>
      <c r="M13">
        <f>IF(US_CSC_source!M31="","",US_CSC_source!M31)</f>
        <v>1</v>
      </c>
      <c r="N13">
        <f>IF(US_CSC_source!N31="","",US_CSC_source!N31)</f>
        <v>1</v>
      </c>
      <c r="O13">
        <f>IF(US_CSC_source!O31="","",US_CSC_source!O31)</f>
        <v>1</v>
      </c>
      <c r="P13">
        <f>IF(US_CSC_source!P31="","",US_CSC_source!P31)</f>
        <v>1</v>
      </c>
      <c r="Q13">
        <f>IF(US_CSC_source!Q31="","",US_CSC_source!Q31)</f>
        <v>1</v>
      </c>
      <c r="R13">
        <f>IF(US_CSC_source!R31="","",US_CSC_source!R31)</f>
        <v>1</v>
      </c>
      <c r="S13">
        <f>IF(US_CSC_source!S31="","",US_CSC_source!S31)</f>
        <v>1</v>
      </c>
      <c r="T13">
        <f>IF(US_CSC_source!T31="","",US_CSC_source!T31)</f>
        <v>1</v>
      </c>
      <c r="U13">
        <f>IF(US_CSC_source!U31="","",US_CSC_source!U31)</f>
        <v>1</v>
      </c>
      <c r="V13">
        <f>IF(US_CSC_source!V31="","",US_CSC_source!V31)</f>
        <v>1</v>
      </c>
      <c r="W13">
        <f>IF(US_CSC_source!W31="","",US_CSC_source!W31)</f>
        <v>1</v>
      </c>
      <c r="X13">
        <f>IF(US_CSC_source!X31="","",US_CSC_source!X31)</f>
        <v>1</v>
      </c>
      <c r="Y13">
        <f>IF(US_CSC_source!Y31="","",US_CSC_source!Y31)</f>
        <v>1</v>
      </c>
      <c r="Z13">
        <f>IF(US_CSC_source!Z31="","",US_CSC_source!Z31)</f>
        <v>1</v>
      </c>
      <c r="AA13">
        <f>IF(US_CSC_source!AA31="","",US_CSC_source!AA31)</f>
        <v>1</v>
      </c>
      <c r="AB13">
        <f>IF(US_CSC_source!AB31="","",US_CSC_source!AB31)</f>
        <v>1</v>
      </c>
    </row>
    <row r="14" spans="1:28" x14ac:dyDescent="0.25">
      <c r="A14" t="str">
        <f>IF(US_CSC_source!A32="","",US_CSC_source!A32)</f>
        <v>lignite es</v>
      </c>
      <c r="B14">
        <f>IF(US_CSC_source!B32="","",US_CSC_source!B32)</f>
        <v>1</v>
      </c>
      <c r="C14">
        <f>IF(US_CSC_source!C32="","",US_CSC_source!C32)</f>
        <v>1</v>
      </c>
      <c r="D14">
        <f>IF(US_CSC_source!D32="","",US_CSC_source!D32)</f>
        <v>1</v>
      </c>
      <c r="E14">
        <f>IF(US_CSC_source!E32="","",US_CSC_source!E32)</f>
        <v>1</v>
      </c>
      <c r="F14">
        <f>IF(US_CSC_source!F32="","",US_CSC_source!F32)</f>
        <v>1</v>
      </c>
      <c r="G14">
        <f>IF(US_CSC_source!G32="","",US_CSC_source!G32)</f>
        <v>1</v>
      </c>
      <c r="H14">
        <f>IF(US_CSC_source!H32="","",US_CSC_source!H32)</f>
        <v>1</v>
      </c>
      <c r="I14">
        <f>IF(US_CSC_source!I32="","",US_CSC_source!I32)</f>
        <v>1</v>
      </c>
      <c r="J14">
        <f>IF(US_CSC_source!J32="","",US_CSC_source!J32)</f>
        <v>1</v>
      </c>
      <c r="K14">
        <f>IF(US_CSC_source!K32="","",US_CSC_source!K32)</f>
        <v>1</v>
      </c>
      <c r="L14">
        <f>IF(US_CSC_source!L32="","",US_CSC_source!L32)</f>
        <v>1</v>
      </c>
      <c r="M14">
        <f>IF(US_CSC_source!M32="","",US_CSC_source!M32)</f>
        <v>1</v>
      </c>
      <c r="N14">
        <f>IF(US_CSC_source!N32="","",US_CSC_source!N32)</f>
        <v>1</v>
      </c>
      <c r="O14">
        <f>IF(US_CSC_source!O32="","",US_CSC_source!O32)</f>
        <v>1</v>
      </c>
      <c r="P14">
        <f>IF(US_CSC_source!P32="","",US_CSC_source!P32)</f>
        <v>1</v>
      </c>
      <c r="Q14">
        <f>IF(US_CSC_source!Q32="","",US_CSC_source!Q32)</f>
        <v>1</v>
      </c>
      <c r="R14">
        <f>IF(US_CSC_source!R32="","",US_CSC_source!R32)</f>
        <v>1</v>
      </c>
      <c r="S14">
        <f>IF(US_CSC_source!S32="","",US_CSC_source!S32)</f>
        <v>1</v>
      </c>
      <c r="T14">
        <f>IF(US_CSC_source!T32="","",US_CSC_source!T32)</f>
        <v>1</v>
      </c>
      <c r="U14">
        <f>IF(US_CSC_source!U32="","",US_CSC_source!U32)</f>
        <v>1</v>
      </c>
      <c r="V14">
        <f>IF(US_CSC_source!V32="","",US_CSC_source!V32)</f>
        <v>1</v>
      </c>
      <c r="W14">
        <f>IF(US_CSC_source!W32="","",US_CSC_source!W32)</f>
        <v>1</v>
      </c>
      <c r="X14">
        <f>IF(US_CSC_source!X32="","",US_CSC_source!X32)</f>
        <v>1</v>
      </c>
      <c r="Y14">
        <f>IF(US_CSC_source!Y32="","",US_CSC_source!Y32)</f>
        <v>1</v>
      </c>
      <c r="Z14">
        <f>IF(US_CSC_source!Z32="","",US_CSC_source!Z32)</f>
        <v>1</v>
      </c>
      <c r="AA14">
        <f>IF(US_CSC_source!AA32="","",US_CSC_source!AA32)</f>
        <v>1</v>
      </c>
      <c r="AB14">
        <f>IF(US_CSC_source!AB32="","",US_CSC_source!AB32)</f>
        <v>1</v>
      </c>
    </row>
    <row r="15" spans="1:28" x14ac:dyDescent="0.25">
      <c r="A15" t="str">
        <f>IF(US_CSC_source!A33="","",US_CSC_source!A33)</f>
        <v>offshore wind es</v>
      </c>
      <c r="B15">
        <f>IF(US_CSC_source!B33="","",US_CSC_source!B33)</f>
        <v>1</v>
      </c>
      <c r="C15">
        <f>IF(US_CSC_source!C33="","",US_CSC_source!C33)</f>
        <v>1</v>
      </c>
      <c r="D15">
        <f>IF(US_CSC_source!D33="","",US_CSC_source!D33)</f>
        <v>1</v>
      </c>
      <c r="E15">
        <f>IF(US_CSC_source!E33="","",US_CSC_source!E33)</f>
        <v>1</v>
      </c>
      <c r="F15">
        <f>IF(US_CSC_source!F33="","",US_CSC_source!F33)</f>
        <v>1</v>
      </c>
      <c r="G15">
        <f>IF(US_CSC_source!G33="","",US_CSC_source!G33)</f>
        <v>1</v>
      </c>
      <c r="H15">
        <f>IF(US_CSC_source!H33="","",US_CSC_source!H33)</f>
        <v>1</v>
      </c>
      <c r="I15">
        <f>IF(US_CSC_source!I33="","",US_CSC_source!I33)</f>
        <v>1</v>
      </c>
      <c r="J15">
        <f>IF(US_CSC_source!J33="","",US_CSC_source!J33)</f>
        <v>1</v>
      </c>
      <c r="K15">
        <f>IF(US_CSC_source!K33="","",US_CSC_source!K33)</f>
        <v>1</v>
      </c>
      <c r="L15">
        <f>IF(US_CSC_source!L33="","",US_CSC_source!L33)</f>
        <v>1</v>
      </c>
      <c r="M15">
        <f>IF(US_CSC_source!M33="","",US_CSC_source!M33)</f>
        <v>1</v>
      </c>
      <c r="N15">
        <f>IF(US_CSC_source!N33="","",US_CSC_source!N33)</f>
        <v>1</v>
      </c>
      <c r="O15">
        <f>IF(US_CSC_source!O33="","",US_CSC_source!O33)</f>
        <v>1</v>
      </c>
      <c r="P15">
        <f>IF(US_CSC_source!P33="","",US_CSC_source!P33)</f>
        <v>1</v>
      </c>
      <c r="Q15">
        <f>IF(US_CSC_source!Q33="","",US_CSC_source!Q33)</f>
        <v>1</v>
      </c>
      <c r="R15">
        <f>IF(US_CSC_source!R33="","",US_CSC_source!R33)</f>
        <v>1</v>
      </c>
      <c r="S15">
        <f>IF(US_CSC_source!S33="","",US_CSC_source!S33)</f>
        <v>1</v>
      </c>
      <c r="T15">
        <f>IF(US_CSC_source!T33="","",US_CSC_source!T33)</f>
        <v>1</v>
      </c>
      <c r="U15">
        <f>IF(US_CSC_source!U33="","",US_CSC_source!U33)</f>
        <v>1</v>
      </c>
      <c r="V15">
        <f>IF(US_CSC_source!V33="","",US_CSC_source!V33)</f>
        <v>1</v>
      </c>
      <c r="W15">
        <f>IF(US_CSC_source!W33="","",US_CSC_source!W33)</f>
        <v>1</v>
      </c>
      <c r="X15">
        <f>IF(US_CSC_source!X33="","",US_CSC_source!X33)</f>
        <v>1</v>
      </c>
      <c r="Y15">
        <f>IF(US_CSC_source!Y33="","",US_CSC_source!Y33)</f>
        <v>1</v>
      </c>
      <c r="Z15">
        <f>IF(US_CSC_source!Z33="","",US_CSC_source!Z33)</f>
        <v>1</v>
      </c>
      <c r="AA15">
        <f>IF(US_CSC_source!AA33="","",US_CSC_source!AA33)</f>
        <v>1</v>
      </c>
      <c r="AB15">
        <f>IF(US_CSC_source!AB33="","",US_CSC_source!AB33)</f>
        <v>1</v>
      </c>
    </row>
    <row r="16" spans="1:28" x14ac:dyDescent="0.25">
      <c r="A16" t="str">
        <f>IF(US_CSC_source!A34="","",US_CSC_source!A34)</f>
        <v>crude oil es</v>
      </c>
      <c r="B16">
        <f>IF(US_CSC_source!B34="","",US_CSC_source!B34)</f>
        <v>1</v>
      </c>
      <c r="C16">
        <f>IF(US_CSC_source!C34="","",US_CSC_source!C34)</f>
        <v>1</v>
      </c>
      <c r="D16">
        <f>IF(US_CSC_source!D34="","",US_CSC_source!D34)</f>
        <v>1</v>
      </c>
      <c r="E16">
        <f>IF(US_CSC_source!E34="","",US_CSC_source!E34)</f>
        <v>1</v>
      </c>
      <c r="F16">
        <f>IF(US_CSC_source!F34="","",US_CSC_source!F34)</f>
        <v>1</v>
      </c>
      <c r="G16">
        <f>IF(US_CSC_source!G34="","",US_CSC_source!G34)</f>
        <v>1</v>
      </c>
      <c r="H16">
        <f>IF(US_CSC_source!H34="","",US_CSC_source!H34)</f>
        <v>1</v>
      </c>
      <c r="I16">
        <f>IF(US_CSC_source!I34="","",US_CSC_source!I34)</f>
        <v>1</v>
      </c>
      <c r="J16">
        <f>IF(US_CSC_source!J34="","",US_CSC_source!J34)</f>
        <v>1</v>
      </c>
      <c r="K16">
        <f>IF(US_CSC_source!K34="","",US_CSC_source!K34)</f>
        <v>1</v>
      </c>
      <c r="L16">
        <f>IF(US_CSC_source!L34="","",US_CSC_source!L34)</f>
        <v>1</v>
      </c>
      <c r="M16">
        <f>IF(US_CSC_source!M34="","",US_CSC_source!M34)</f>
        <v>1</v>
      </c>
      <c r="N16">
        <f>IF(US_CSC_source!N34="","",US_CSC_source!N34)</f>
        <v>1</v>
      </c>
      <c r="O16">
        <f>IF(US_CSC_source!O34="","",US_CSC_source!O34)</f>
        <v>1</v>
      </c>
      <c r="P16">
        <f>IF(US_CSC_source!P34="","",US_CSC_source!P34)</f>
        <v>1</v>
      </c>
      <c r="Q16">
        <f>IF(US_CSC_source!Q34="","",US_CSC_source!Q34)</f>
        <v>1</v>
      </c>
      <c r="R16">
        <f>IF(US_CSC_source!R34="","",US_CSC_source!R34)</f>
        <v>1</v>
      </c>
      <c r="S16">
        <f>IF(US_CSC_source!S34="","",US_CSC_source!S34)</f>
        <v>1</v>
      </c>
      <c r="T16">
        <f>IF(US_CSC_source!T34="","",US_CSC_source!T34)</f>
        <v>1</v>
      </c>
      <c r="U16">
        <f>IF(US_CSC_source!U34="","",US_CSC_source!U34)</f>
        <v>1</v>
      </c>
      <c r="V16">
        <f>IF(US_CSC_source!V34="","",US_CSC_source!V34)</f>
        <v>1</v>
      </c>
      <c r="W16">
        <f>IF(US_CSC_source!W34="","",US_CSC_source!W34)</f>
        <v>1</v>
      </c>
      <c r="X16">
        <f>IF(US_CSC_source!X34="","",US_CSC_source!X34)</f>
        <v>1</v>
      </c>
      <c r="Y16">
        <f>IF(US_CSC_source!Y34="","",US_CSC_source!Y34)</f>
        <v>1</v>
      </c>
      <c r="Z16">
        <f>IF(US_CSC_source!Z34="","",US_CSC_source!Z34)</f>
        <v>1</v>
      </c>
      <c r="AA16">
        <f>IF(US_CSC_source!AA34="","",US_CSC_source!AA34)</f>
        <v>1</v>
      </c>
      <c r="AB16">
        <f>IF(US_CSC_source!AB34="","",US_CSC_source!AB34)</f>
        <v>1</v>
      </c>
    </row>
    <row r="17" spans="1:28" x14ac:dyDescent="0.25">
      <c r="A17" t="str">
        <f>IF(US_CSC_source!A35="","",US_CSC_source!A35)</f>
        <v>heavy or residual fuel oil es</v>
      </c>
      <c r="B17">
        <f>IF(US_CSC_source!B35="","",US_CSC_source!B35)</f>
        <v>1</v>
      </c>
      <c r="C17">
        <f>IF(US_CSC_source!C35="","",US_CSC_source!C35)</f>
        <v>1</v>
      </c>
      <c r="D17">
        <f>IF(US_CSC_source!D35="","",US_CSC_source!D35)</f>
        <v>1</v>
      </c>
      <c r="E17">
        <f>IF(US_CSC_source!E35="","",US_CSC_source!E35)</f>
        <v>1</v>
      </c>
      <c r="F17">
        <f>IF(US_CSC_source!F35="","",US_CSC_source!F35)</f>
        <v>1</v>
      </c>
      <c r="G17">
        <f>IF(US_CSC_source!G35="","",US_CSC_source!G35)</f>
        <v>1</v>
      </c>
      <c r="H17">
        <f>IF(US_CSC_source!H35="","",US_CSC_source!H35)</f>
        <v>1</v>
      </c>
      <c r="I17">
        <f>IF(US_CSC_source!I35="","",US_CSC_source!I35)</f>
        <v>1</v>
      </c>
      <c r="J17">
        <f>IF(US_CSC_source!J35="","",US_CSC_source!J35)</f>
        <v>1</v>
      </c>
      <c r="K17">
        <f>IF(US_CSC_source!K35="","",US_CSC_source!K35)</f>
        <v>1</v>
      </c>
      <c r="L17">
        <f>IF(US_CSC_source!L35="","",US_CSC_source!L35)</f>
        <v>1</v>
      </c>
      <c r="M17">
        <f>IF(US_CSC_source!M35="","",US_CSC_source!M35)</f>
        <v>1</v>
      </c>
      <c r="N17">
        <f>IF(US_CSC_source!N35="","",US_CSC_source!N35)</f>
        <v>1</v>
      </c>
      <c r="O17">
        <f>IF(US_CSC_source!O35="","",US_CSC_source!O35)</f>
        <v>1</v>
      </c>
      <c r="P17">
        <f>IF(US_CSC_source!P35="","",US_CSC_source!P35)</f>
        <v>1</v>
      </c>
      <c r="Q17">
        <f>IF(US_CSC_source!Q35="","",US_CSC_source!Q35)</f>
        <v>1</v>
      </c>
      <c r="R17">
        <f>IF(US_CSC_source!R35="","",US_CSC_source!R35)</f>
        <v>1</v>
      </c>
      <c r="S17">
        <f>IF(US_CSC_source!S35="","",US_CSC_source!S35)</f>
        <v>1</v>
      </c>
      <c r="T17">
        <f>IF(US_CSC_source!T35="","",US_CSC_source!T35)</f>
        <v>1</v>
      </c>
      <c r="U17">
        <f>IF(US_CSC_source!U35="","",US_CSC_source!U35)</f>
        <v>1</v>
      </c>
      <c r="V17">
        <f>IF(US_CSC_source!V35="","",US_CSC_source!V35)</f>
        <v>1</v>
      </c>
      <c r="W17">
        <f>IF(US_CSC_source!W35="","",US_CSC_source!W35)</f>
        <v>1</v>
      </c>
      <c r="X17">
        <f>IF(US_CSC_source!X35="","",US_CSC_source!X35)</f>
        <v>1</v>
      </c>
      <c r="Y17">
        <f>IF(US_CSC_source!Y35="","",US_CSC_source!Y35)</f>
        <v>1</v>
      </c>
      <c r="Z17">
        <f>IF(US_CSC_source!Z35="","",US_CSC_source!Z35)</f>
        <v>1</v>
      </c>
      <c r="AA17">
        <f>IF(US_CSC_source!AA35="","",US_CSC_source!AA35)</f>
        <v>1</v>
      </c>
      <c r="AB17">
        <f>IF(US_CSC_source!AB35="","",US_CSC_source!AB35)</f>
        <v>1</v>
      </c>
    </row>
    <row r="18" spans="1:28" x14ac:dyDescent="0.25">
      <c r="A18" t="str">
        <f>IF(US_CSC_source!A36="","",US_CSC_source!A36)</f>
        <v>municipal solid waste es</v>
      </c>
      <c r="B18">
        <f>IF(US_CSC_source!B36="","",US_CSC_source!B36)</f>
        <v>1</v>
      </c>
      <c r="C18">
        <f>IF(US_CSC_source!C36="","",US_CSC_source!C36)</f>
        <v>1</v>
      </c>
      <c r="D18">
        <f>IF(US_CSC_source!D36="","",US_CSC_source!D36)</f>
        <v>1</v>
      </c>
      <c r="E18">
        <f>IF(US_CSC_source!E36="","",US_CSC_source!E36)</f>
        <v>1</v>
      </c>
      <c r="F18">
        <f>IF(US_CSC_source!F36="","",US_CSC_source!F36)</f>
        <v>1</v>
      </c>
      <c r="G18">
        <f>IF(US_CSC_source!G36="","",US_CSC_source!G36)</f>
        <v>1</v>
      </c>
      <c r="H18">
        <f>IF(US_CSC_source!H36="","",US_CSC_source!H36)</f>
        <v>1</v>
      </c>
      <c r="I18">
        <f>IF(US_CSC_source!I36="","",US_CSC_source!I36)</f>
        <v>1</v>
      </c>
      <c r="J18">
        <f>IF(US_CSC_source!J36="","",US_CSC_source!J36)</f>
        <v>1</v>
      </c>
      <c r="K18">
        <f>IF(US_CSC_source!K36="","",US_CSC_source!K36)</f>
        <v>1</v>
      </c>
      <c r="L18">
        <f>IF(US_CSC_source!L36="","",US_CSC_source!L36)</f>
        <v>1</v>
      </c>
      <c r="M18">
        <f>IF(US_CSC_source!M36="","",US_CSC_source!M36)</f>
        <v>1</v>
      </c>
      <c r="N18">
        <f>IF(US_CSC_source!N36="","",US_CSC_source!N36)</f>
        <v>1</v>
      </c>
      <c r="O18">
        <f>IF(US_CSC_source!O36="","",US_CSC_source!O36)</f>
        <v>1</v>
      </c>
      <c r="P18">
        <f>IF(US_CSC_source!P36="","",US_CSC_source!P36)</f>
        <v>1</v>
      </c>
      <c r="Q18">
        <f>IF(US_CSC_source!Q36="","",US_CSC_source!Q36)</f>
        <v>1</v>
      </c>
      <c r="R18">
        <f>IF(US_CSC_source!R36="","",US_CSC_source!R36)</f>
        <v>1</v>
      </c>
      <c r="S18">
        <f>IF(US_CSC_source!S36="","",US_CSC_source!S36)</f>
        <v>1</v>
      </c>
      <c r="T18">
        <f>IF(US_CSC_source!T36="","",US_CSC_source!T36)</f>
        <v>1</v>
      </c>
      <c r="U18">
        <f>IF(US_CSC_source!U36="","",US_CSC_source!U36)</f>
        <v>1</v>
      </c>
      <c r="V18">
        <f>IF(US_CSC_source!V36="","",US_CSC_source!V36)</f>
        <v>1</v>
      </c>
      <c r="W18">
        <f>IF(US_CSC_source!W36="","",US_CSC_source!W36)</f>
        <v>1</v>
      </c>
      <c r="X18">
        <f>IF(US_CSC_source!X36="","",US_CSC_source!X36)</f>
        <v>1</v>
      </c>
      <c r="Y18">
        <f>IF(US_CSC_source!Y36="","",US_CSC_source!Y36)</f>
        <v>1</v>
      </c>
      <c r="Z18">
        <f>IF(US_CSC_source!Z36="","",US_CSC_source!Z36)</f>
        <v>1</v>
      </c>
      <c r="AA18">
        <f>IF(US_CSC_source!AA36="","",US_CSC_source!AA36)</f>
        <v>1</v>
      </c>
      <c r="AB18">
        <f>IF(US_CSC_source!AB36="","",US_CSC_source!AB36)</f>
        <v>1</v>
      </c>
    </row>
    <row r="19" spans="1:28" x14ac:dyDescent="0.25">
      <c r="A19" t="str">
        <f>IF(US_CSC_source!A37="","",US_CSC_source!A37)</f>
        <v>hard coal w CCS es</v>
      </c>
      <c r="B19">
        <f>IF(US_CSC_source!B37="","",US_CSC_source!B37)</f>
        <v>1</v>
      </c>
      <c r="C19">
        <f>IF(US_CSC_source!C37="","",US_CSC_source!C37)</f>
        <v>1</v>
      </c>
      <c r="D19">
        <f>IF(US_CSC_source!D37="","",US_CSC_source!D37)</f>
        <v>1</v>
      </c>
      <c r="E19">
        <f>IF(US_CSC_source!E37="","",US_CSC_source!E37)</f>
        <v>1</v>
      </c>
      <c r="F19">
        <f>IF(US_CSC_source!F37="","",US_CSC_source!F37)</f>
        <v>1</v>
      </c>
      <c r="G19">
        <f>IF(US_CSC_source!G37="","",US_CSC_source!G37)</f>
        <v>1</v>
      </c>
      <c r="H19">
        <f>IF(US_CSC_source!H37="","",US_CSC_source!H37)</f>
        <v>1</v>
      </c>
      <c r="I19">
        <f>IF(US_CSC_source!I37="","",US_CSC_source!I37)</f>
        <v>1</v>
      </c>
      <c r="J19">
        <f>IF(US_CSC_source!J37="","",US_CSC_source!J37)</f>
        <v>1</v>
      </c>
      <c r="K19">
        <f>IF(US_CSC_source!K37="","",US_CSC_source!K37)</f>
        <v>1</v>
      </c>
      <c r="L19">
        <f>IF(US_CSC_source!L37="","",US_CSC_source!L37)</f>
        <v>1</v>
      </c>
      <c r="M19">
        <f>IF(US_CSC_source!M37="","",US_CSC_source!M37)</f>
        <v>1</v>
      </c>
      <c r="N19">
        <f>IF(US_CSC_source!N37="","",US_CSC_source!N37)</f>
        <v>1</v>
      </c>
      <c r="O19">
        <f>IF(US_CSC_source!O37="","",US_CSC_source!O37)</f>
        <v>1</v>
      </c>
      <c r="P19">
        <f>IF(US_CSC_source!P37="","",US_CSC_source!P37)</f>
        <v>1</v>
      </c>
      <c r="Q19">
        <f>IF(US_CSC_source!Q37="","",US_CSC_source!Q37)</f>
        <v>1</v>
      </c>
      <c r="R19">
        <f>IF(US_CSC_source!R37="","",US_CSC_source!R37)</f>
        <v>1</v>
      </c>
      <c r="S19">
        <f>IF(US_CSC_source!S37="","",US_CSC_source!S37)</f>
        <v>1</v>
      </c>
      <c r="T19">
        <f>IF(US_CSC_source!T37="","",US_CSC_source!T37)</f>
        <v>1</v>
      </c>
      <c r="U19">
        <f>IF(US_CSC_source!U37="","",US_CSC_source!U37)</f>
        <v>1</v>
      </c>
      <c r="V19">
        <f>IF(US_CSC_source!V37="","",US_CSC_source!V37)</f>
        <v>1</v>
      </c>
      <c r="W19">
        <f>IF(US_CSC_source!W37="","",US_CSC_source!W37)</f>
        <v>1</v>
      </c>
      <c r="X19">
        <f>IF(US_CSC_source!X37="","",US_CSC_source!X37)</f>
        <v>1</v>
      </c>
      <c r="Y19">
        <f>IF(US_CSC_source!Y37="","",US_CSC_source!Y37)</f>
        <v>1</v>
      </c>
      <c r="Z19">
        <f>IF(US_CSC_source!Z37="","",US_CSC_source!Z37)</f>
        <v>1</v>
      </c>
      <c r="AA19">
        <f>IF(US_CSC_source!AA37="","",US_CSC_source!AA37)</f>
        <v>1</v>
      </c>
      <c r="AB19">
        <f>IF(US_CSC_source!AB37="","",US_CSC_source!AB37)</f>
        <v>1</v>
      </c>
    </row>
    <row r="20" spans="1:28" x14ac:dyDescent="0.25">
      <c r="A20" t="str">
        <f>IF(US_CSC_source!A38="","",US_CSC_source!A38)</f>
        <v>natural gas combined cycle w CCS es</v>
      </c>
      <c r="B20">
        <f>IF(US_CSC_source!B38="","",US_CSC_source!B38)</f>
        <v>1</v>
      </c>
      <c r="C20">
        <f>IF(US_CSC_source!C38="","",US_CSC_source!C38)</f>
        <v>1</v>
      </c>
      <c r="D20">
        <f>IF(US_CSC_source!D38="","",US_CSC_source!D38)</f>
        <v>1</v>
      </c>
      <c r="E20">
        <f>IF(US_CSC_source!E38="","",US_CSC_source!E38)</f>
        <v>1</v>
      </c>
      <c r="F20">
        <f>IF(US_CSC_source!F38="","",US_CSC_source!F38)</f>
        <v>1</v>
      </c>
      <c r="G20">
        <f>IF(US_CSC_source!G38="","",US_CSC_source!G38)</f>
        <v>1</v>
      </c>
      <c r="H20">
        <f>IF(US_CSC_source!H38="","",US_CSC_source!H38)</f>
        <v>1</v>
      </c>
      <c r="I20">
        <f>IF(US_CSC_source!I38="","",US_CSC_source!I38)</f>
        <v>1</v>
      </c>
      <c r="J20">
        <f>IF(US_CSC_source!J38="","",US_CSC_source!J38)</f>
        <v>1</v>
      </c>
      <c r="K20">
        <f>IF(US_CSC_source!K38="","",US_CSC_source!K38)</f>
        <v>1</v>
      </c>
      <c r="L20">
        <f>IF(US_CSC_source!L38="","",US_CSC_source!L38)</f>
        <v>1</v>
      </c>
      <c r="M20">
        <f>IF(US_CSC_source!M38="","",US_CSC_source!M38)</f>
        <v>1</v>
      </c>
      <c r="N20">
        <f>IF(US_CSC_source!N38="","",US_CSC_source!N38)</f>
        <v>1</v>
      </c>
      <c r="O20">
        <f>IF(US_CSC_source!O38="","",US_CSC_source!O38)</f>
        <v>1</v>
      </c>
      <c r="P20">
        <f>IF(US_CSC_source!P38="","",US_CSC_source!P38)</f>
        <v>1</v>
      </c>
      <c r="Q20">
        <f>IF(US_CSC_source!Q38="","",US_CSC_source!Q38)</f>
        <v>1</v>
      </c>
      <c r="R20">
        <f>IF(US_CSC_source!R38="","",US_CSC_source!R38)</f>
        <v>1</v>
      </c>
      <c r="S20">
        <f>IF(US_CSC_source!S38="","",US_CSC_source!S38)</f>
        <v>1</v>
      </c>
      <c r="T20">
        <f>IF(US_CSC_source!T38="","",US_CSC_source!T38)</f>
        <v>1</v>
      </c>
      <c r="U20">
        <f>IF(US_CSC_source!U38="","",US_CSC_source!U38)</f>
        <v>1</v>
      </c>
      <c r="V20">
        <f>IF(US_CSC_source!V38="","",US_CSC_source!V38)</f>
        <v>1</v>
      </c>
      <c r="W20">
        <f>IF(US_CSC_source!W38="","",US_CSC_source!W38)</f>
        <v>1</v>
      </c>
      <c r="X20">
        <f>IF(US_CSC_source!X38="","",US_CSC_source!X38)</f>
        <v>1</v>
      </c>
      <c r="Y20">
        <f>IF(US_CSC_source!Y38="","",US_CSC_source!Y38)</f>
        <v>1</v>
      </c>
      <c r="Z20">
        <f>IF(US_CSC_source!Z38="","",US_CSC_source!Z38)</f>
        <v>1</v>
      </c>
      <c r="AA20">
        <f>IF(US_CSC_source!AA38="","",US_CSC_source!AA38)</f>
        <v>1</v>
      </c>
      <c r="AB20">
        <f>IF(US_CSC_source!AB38="","",US_CSC_source!AB38)</f>
        <v>1</v>
      </c>
    </row>
    <row r="21" spans="1:28" x14ac:dyDescent="0.25">
      <c r="A21" t="str">
        <f>IF(US_CSC_source!A39="","",US_CSC_source!A39)</f>
        <v>biomass w CCS es</v>
      </c>
      <c r="B21">
        <f>IF(US_CSC_source!B39="","",US_CSC_source!B39)</f>
        <v>1</v>
      </c>
      <c r="C21">
        <f>IF(US_CSC_source!C39="","",US_CSC_source!C39)</f>
        <v>1</v>
      </c>
      <c r="D21">
        <f>IF(US_CSC_source!D39="","",US_CSC_source!D39)</f>
        <v>1</v>
      </c>
      <c r="E21">
        <f>IF(US_CSC_source!E39="","",US_CSC_source!E39)</f>
        <v>1</v>
      </c>
      <c r="F21">
        <f>IF(US_CSC_source!F39="","",US_CSC_source!F39)</f>
        <v>1</v>
      </c>
      <c r="G21">
        <f>IF(US_CSC_source!G39="","",US_CSC_source!G39)</f>
        <v>1</v>
      </c>
      <c r="H21">
        <f>IF(US_CSC_source!H39="","",US_CSC_source!H39)</f>
        <v>1</v>
      </c>
      <c r="I21">
        <f>IF(US_CSC_source!I39="","",US_CSC_source!I39)</f>
        <v>1</v>
      </c>
      <c r="J21">
        <f>IF(US_CSC_source!J39="","",US_CSC_source!J39)</f>
        <v>1</v>
      </c>
      <c r="K21">
        <f>IF(US_CSC_source!K39="","",US_CSC_source!K39)</f>
        <v>1</v>
      </c>
      <c r="L21">
        <f>IF(US_CSC_source!L39="","",US_CSC_source!L39)</f>
        <v>1</v>
      </c>
      <c r="M21">
        <f>IF(US_CSC_source!M39="","",US_CSC_source!M39)</f>
        <v>1</v>
      </c>
      <c r="N21">
        <f>IF(US_CSC_source!N39="","",US_CSC_source!N39)</f>
        <v>1</v>
      </c>
      <c r="O21">
        <f>IF(US_CSC_source!O39="","",US_CSC_source!O39)</f>
        <v>1</v>
      </c>
      <c r="P21">
        <f>IF(US_CSC_source!P39="","",US_CSC_source!P39)</f>
        <v>1</v>
      </c>
      <c r="Q21">
        <f>IF(US_CSC_source!Q39="","",US_CSC_source!Q39)</f>
        <v>1</v>
      </c>
      <c r="R21">
        <f>IF(US_CSC_source!R39="","",US_CSC_source!R39)</f>
        <v>1</v>
      </c>
      <c r="S21">
        <f>IF(US_CSC_source!S39="","",US_CSC_source!S39)</f>
        <v>1</v>
      </c>
      <c r="T21">
        <f>IF(US_CSC_source!T39="","",US_CSC_source!T39)</f>
        <v>1</v>
      </c>
      <c r="U21">
        <f>IF(US_CSC_source!U39="","",US_CSC_source!U39)</f>
        <v>1</v>
      </c>
      <c r="V21">
        <f>IF(US_CSC_source!V39="","",US_CSC_source!V39)</f>
        <v>1</v>
      </c>
      <c r="W21">
        <f>IF(US_CSC_source!W39="","",US_CSC_source!W39)</f>
        <v>1</v>
      </c>
      <c r="X21">
        <f>IF(US_CSC_source!X39="","",US_CSC_source!X39)</f>
        <v>1</v>
      </c>
      <c r="Y21">
        <f>IF(US_CSC_source!Y39="","",US_CSC_source!Y39)</f>
        <v>1</v>
      </c>
      <c r="Z21">
        <f>IF(US_CSC_source!Z39="","",US_CSC_source!Z39)</f>
        <v>1</v>
      </c>
      <c r="AA21">
        <f>IF(US_CSC_source!AA39="","",US_CSC_source!AA39)</f>
        <v>1</v>
      </c>
      <c r="AB21">
        <f>IF(US_CSC_source!AB39="","",US_CSC_source!AB39)</f>
        <v>1</v>
      </c>
    </row>
    <row r="22" spans="1:28" x14ac:dyDescent="0.25">
      <c r="A22" t="str">
        <f>IF(US_CSC_source!A40="","",US_CSC_source!A40)</f>
        <v>lignite w CCS es</v>
      </c>
      <c r="B22">
        <f>IF(US_CSC_source!B40="","",US_CSC_source!B40)</f>
        <v>1</v>
      </c>
      <c r="C22">
        <f>IF(US_CSC_source!C40="","",US_CSC_source!C40)</f>
        <v>1</v>
      </c>
      <c r="D22">
        <f>IF(US_CSC_source!D40="","",US_CSC_source!D40)</f>
        <v>1</v>
      </c>
      <c r="E22">
        <f>IF(US_CSC_source!E40="","",US_CSC_source!E40)</f>
        <v>1</v>
      </c>
      <c r="F22">
        <f>IF(US_CSC_source!F40="","",US_CSC_source!F40)</f>
        <v>1</v>
      </c>
      <c r="G22">
        <f>IF(US_CSC_source!G40="","",US_CSC_source!G40)</f>
        <v>1</v>
      </c>
      <c r="H22">
        <f>IF(US_CSC_source!H40="","",US_CSC_source!H40)</f>
        <v>1</v>
      </c>
      <c r="I22">
        <f>IF(US_CSC_source!I40="","",US_CSC_source!I40)</f>
        <v>1</v>
      </c>
      <c r="J22">
        <f>IF(US_CSC_source!J40="","",US_CSC_source!J40)</f>
        <v>1</v>
      </c>
      <c r="K22">
        <f>IF(US_CSC_source!K40="","",US_CSC_source!K40)</f>
        <v>1</v>
      </c>
      <c r="L22">
        <f>IF(US_CSC_source!L40="","",US_CSC_source!L40)</f>
        <v>1</v>
      </c>
      <c r="M22">
        <f>IF(US_CSC_source!M40="","",US_CSC_source!M40)</f>
        <v>1</v>
      </c>
      <c r="N22">
        <f>IF(US_CSC_source!N40="","",US_CSC_source!N40)</f>
        <v>1</v>
      </c>
      <c r="O22">
        <f>IF(US_CSC_source!O40="","",US_CSC_source!O40)</f>
        <v>1</v>
      </c>
      <c r="P22">
        <f>IF(US_CSC_source!P40="","",US_CSC_source!P40)</f>
        <v>1</v>
      </c>
      <c r="Q22">
        <f>IF(US_CSC_source!Q40="","",US_CSC_source!Q40)</f>
        <v>1</v>
      </c>
      <c r="R22">
        <f>IF(US_CSC_source!R40="","",US_CSC_source!R40)</f>
        <v>1</v>
      </c>
      <c r="S22">
        <f>IF(US_CSC_source!S40="","",US_CSC_source!S40)</f>
        <v>1</v>
      </c>
      <c r="T22">
        <f>IF(US_CSC_source!T40="","",US_CSC_source!T40)</f>
        <v>1</v>
      </c>
      <c r="U22">
        <f>IF(US_CSC_source!U40="","",US_CSC_source!U40)</f>
        <v>1</v>
      </c>
      <c r="V22">
        <f>IF(US_CSC_source!V40="","",US_CSC_source!V40)</f>
        <v>1</v>
      </c>
      <c r="W22">
        <f>IF(US_CSC_source!W40="","",US_CSC_source!W40)</f>
        <v>1</v>
      </c>
      <c r="X22">
        <f>IF(US_CSC_source!X40="","",US_CSC_source!X40)</f>
        <v>1</v>
      </c>
      <c r="Y22">
        <f>IF(US_CSC_source!Y40="","",US_CSC_source!Y40)</f>
        <v>1</v>
      </c>
      <c r="Z22">
        <f>IF(US_CSC_source!Z40="","",US_CSC_source!Z40)</f>
        <v>1</v>
      </c>
      <c r="AA22">
        <f>IF(US_CSC_source!AA40="","",US_CSC_source!AA40)</f>
        <v>1</v>
      </c>
      <c r="AB22">
        <f>IF(US_CSC_source!AB40="","",US_CSC_source!AB40)</f>
        <v>1</v>
      </c>
    </row>
    <row r="23" spans="1:28" x14ac:dyDescent="0.25">
      <c r="A23" t="str">
        <f>IF(US_CSC_source!A41="","",US_CSC_source!A41)</f>
        <v>small modular reactor es</v>
      </c>
      <c r="B23">
        <f>IF(US_CSC_source!B41="","",US_CSC_source!B41)</f>
        <v>1</v>
      </c>
      <c r="C23">
        <f>IF(US_CSC_source!C41="","",US_CSC_source!C41)</f>
        <v>1</v>
      </c>
      <c r="D23">
        <f>IF(US_CSC_source!D41="","",US_CSC_source!D41)</f>
        <v>1</v>
      </c>
      <c r="E23">
        <f>IF(US_CSC_source!E41="","",US_CSC_source!E41)</f>
        <v>1</v>
      </c>
      <c r="F23">
        <f>IF(US_CSC_source!F41="","",US_CSC_source!F41)</f>
        <v>1</v>
      </c>
      <c r="G23">
        <f>IF(US_CSC_source!G41="","",US_CSC_source!G41)</f>
        <v>1</v>
      </c>
      <c r="H23">
        <f>IF(US_CSC_source!H41="","",US_CSC_source!H41)</f>
        <v>1</v>
      </c>
      <c r="I23">
        <f>IF(US_CSC_source!I41="","",US_CSC_source!I41)</f>
        <v>1</v>
      </c>
      <c r="J23">
        <f>IF(US_CSC_source!J41="","",US_CSC_source!J41)</f>
        <v>1</v>
      </c>
      <c r="K23">
        <f>IF(US_CSC_source!K41="","",US_CSC_source!K41)</f>
        <v>1</v>
      </c>
      <c r="L23">
        <f>IF(US_CSC_source!L41="","",US_CSC_source!L41)</f>
        <v>1</v>
      </c>
      <c r="M23">
        <f>IF(US_CSC_source!M41="","",US_CSC_source!M41)</f>
        <v>1</v>
      </c>
      <c r="N23">
        <f>IF(US_CSC_source!N41="","",US_CSC_source!N41)</f>
        <v>1</v>
      </c>
      <c r="O23">
        <f>IF(US_CSC_source!O41="","",US_CSC_source!O41)</f>
        <v>1</v>
      </c>
      <c r="P23">
        <f>IF(US_CSC_source!P41="","",US_CSC_source!P41)</f>
        <v>1</v>
      </c>
      <c r="Q23">
        <f>IF(US_CSC_source!Q41="","",US_CSC_source!Q41)</f>
        <v>1</v>
      </c>
      <c r="R23">
        <f>IF(US_CSC_source!R41="","",US_CSC_source!R41)</f>
        <v>1</v>
      </c>
      <c r="S23">
        <f>IF(US_CSC_source!S41="","",US_CSC_source!S41)</f>
        <v>1</v>
      </c>
      <c r="T23">
        <f>IF(US_CSC_source!T41="","",US_CSC_source!T41)</f>
        <v>1</v>
      </c>
      <c r="U23">
        <f>IF(US_CSC_source!U41="","",US_CSC_source!U41)</f>
        <v>1</v>
      </c>
      <c r="V23">
        <f>IF(US_CSC_source!V41="","",US_CSC_source!V41)</f>
        <v>1</v>
      </c>
      <c r="W23">
        <f>IF(US_CSC_source!W41="","",US_CSC_source!W41)</f>
        <v>1</v>
      </c>
      <c r="X23">
        <f>IF(US_CSC_source!X41="","",US_CSC_source!X41)</f>
        <v>1</v>
      </c>
      <c r="Y23">
        <f>IF(US_CSC_source!Y41="","",US_CSC_source!Y41)</f>
        <v>1</v>
      </c>
      <c r="Z23">
        <f>IF(US_CSC_source!Z41="","",US_CSC_source!Z41)</f>
        <v>1</v>
      </c>
      <c r="AA23">
        <f>IF(US_CSC_source!AA41="","",US_CSC_source!AA41)</f>
        <v>1</v>
      </c>
      <c r="AB23">
        <f>IF(US_CSC_source!AB41="","",US_CSC_source!AB41)</f>
        <v>1</v>
      </c>
    </row>
    <row r="24" spans="1:28" x14ac:dyDescent="0.25">
      <c r="A24" t="str">
        <f>IF(US_CSC_source!A42="","",US_CSC_source!A42)</f>
        <v>hydrogen combustion turbine es</v>
      </c>
      <c r="B24">
        <f>IF(US_CSC_source!B42="","",US_CSC_source!B42)</f>
        <v>1</v>
      </c>
      <c r="C24">
        <f>IF(US_CSC_source!C42="","",US_CSC_source!C42)</f>
        <v>1</v>
      </c>
      <c r="D24">
        <f>IF(US_CSC_source!D42="","",US_CSC_source!D42)</f>
        <v>1</v>
      </c>
      <c r="E24">
        <f>IF(US_CSC_source!E42="","",US_CSC_source!E42)</f>
        <v>1</v>
      </c>
      <c r="F24">
        <f>IF(US_CSC_source!F42="","",US_CSC_source!F42)</f>
        <v>1</v>
      </c>
      <c r="G24">
        <f>IF(US_CSC_source!G42="","",US_CSC_source!G42)</f>
        <v>1</v>
      </c>
      <c r="H24">
        <f>IF(US_CSC_source!H42="","",US_CSC_source!H42)</f>
        <v>1</v>
      </c>
      <c r="I24">
        <f>IF(US_CSC_source!I42="","",US_CSC_source!I42)</f>
        <v>1</v>
      </c>
      <c r="J24">
        <f>IF(US_CSC_source!J42="","",US_CSC_source!J42)</f>
        <v>1</v>
      </c>
      <c r="K24">
        <f>IF(US_CSC_source!K42="","",US_CSC_source!K42)</f>
        <v>1</v>
      </c>
      <c r="L24">
        <f>IF(US_CSC_source!L42="","",US_CSC_source!L42)</f>
        <v>1</v>
      </c>
      <c r="M24">
        <f>IF(US_CSC_source!M42="","",US_CSC_source!M42)</f>
        <v>1</v>
      </c>
      <c r="N24">
        <f>IF(US_CSC_source!N42="","",US_CSC_source!N42)</f>
        <v>1</v>
      </c>
      <c r="O24">
        <f>IF(US_CSC_source!O42="","",US_CSC_source!O42)</f>
        <v>1</v>
      </c>
      <c r="P24">
        <f>IF(US_CSC_source!P42="","",US_CSC_source!P42)</f>
        <v>1</v>
      </c>
      <c r="Q24">
        <f>IF(US_CSC_source!Q42="","",US_CSC_source!Q42)</f>
        <v>1</v>
      </c>
      <c r="R24">
        <f>IF(US_CSC_source!R42="","",US_CSC_source!R42)</f>
        <v>1</v>
      </c>
      <c r="S24">
        <f>IF(US_CSC_source!S42="","",US_CSC_source!S42)</f>
        <v>1</v>
      </c>
      <c r="T24">
        <f>IF(US_CSC_source!T42="","",US_CSC_source!T42)</f>
        <v>1</v>
      </c>
      <c r="U24">
        <f>IF(US_CSC_source!U42="","",US_CSC_source!U42)</f>
        <v>1</v>
      </c>
      <c r="V24">
        <f>IF(US_CSC_source!V42="","",US_CSC_source!V42)</f>
        <v>1</v>
      </c>
      <c r="W24">
        <f>IF(US_CSC_source!W42="","",US_CSC_source!W42)</f>
        <v>1</v>
      </c>
      <c r="X24">
        <f>IF(US_CSC_source!X42="","",US_CSC_source!X42)</f>
        <v>1</v>
      </c>
      <c r="Y24">
        <f>IF(US_CSC_source!Y42="","",US_CSC_source!Y42)</f>
        <v>1</v>
      </c>
      <c r="Z24">
        <f>IF(US_CSC_source!Z42="","",US_CSC_source!Z42)</f>
        <v>1</v>
      </c>
      <c r="AA24">
        <f>IF(US_CSC_source!AA42="","",US_CSC_source!AA42)</f>
        <v>1</v>
      </c>
      <c r="AB24">
        <f>IF(US_CSC_source!AB42="","",US_CSC_source!AB42)</f>
        <v>1</v>
      </c>
    </row>
    <row r="25" spans="1:28" x14ac:dyDescent="0.25">
      <c r="A25" t="str">
        <f>IF(US_CSC_source!A43="","",US_CSC_source!A43)</f>
        <v>hydrogen combined cycle es</v>
      </c>
      <c r="B25">
        <f>IF(US_CSC_source!B43="","",US_CSC_source!B43)</f>
        <v>1</v>
      </c>
      <c r="C25">
        <f>IF(US_CSC_source!C43="","",US_CSC_source!C43)</f>
        <v>1</v>
      </c>
      <c r="D25">
        <f>IF(US_CSC_source!D43="","",US_CSC_source!D43)</f>
        <v>1</v>
      </c>
      <c r="E25">
        <f>IF(US_CSC_source!E43="","",US_CSC_source!E43)</f>
        <v>1</v>
      </c>
      <c r="F25">
        <f>IF(US_CSC_source!F43="","",US_CSC_source!F43)</f>
        <v>1</v>
      </c>
      <c r="G25">
        <f>IF(US_CSC_source!G43="","",US_CSC_source!G43)</f>
        <v>1</v>
      </c>
      <c r="H25">
        <f>IF(US_CSC_source!H43="","",US_CSC_source!H43)</f>
        <v>1</v>
      </c>
      <c r="I25">
        <f>IF(US_CSC_source!I43="","",US_CSC_source!I43)</f>
        <v>1</v>
      </c>
      <c r="J25">
        <f>IF(US_CSC_source!J43="","",US_CSC_source!J43)</f>
        <v>1</v>
      </c>
      <c r="K25">
        <f>IF(US_CSC_source!K43="","",US_CSC_source!K43)</f>
        <v>1</v>
      </c>
      <c r="L25">
        <f>IF(US_CSC_source!L43="","",US_CSC_source!L43)</f>
        <v>1</v>
      </c>
      <c r="M25">
        <f>IF(US_CSC_source!M43="","",US_CSC_source!M43)</f>
        <v>1</v>
      </c>
      <c r="N25">
        <f>IF(US_CSC_source!N43="","",US_CSC_source!N43)</f>
        <v>1</v>
      </c>
      <c r="O25">
        <f>IF(US_CSC_source!O43="","",US_CSC_source!O43)</f>
        <v>1</v>
      </c>
      <c r="P25">
        <f>IF(US_CSC_source!P43="","",US_CSC_source!P43)</f>
        <v>1</v>
      </c>
      <c r="Q25">
        <f>IF(US_CSC_source!Q43="","",US_CSC_source!Q43)</f>
        <v>1</v>
      </c>
      <c r="R25">
        <f>IF(US_CSC_source!R43="","",US_CSC_source!R43)</f>
        <v>1</v>
      </c>
      <c r="S25">
        <f>IF(US_CSC_source!S43="","",US_CSC_source!S43)</f>
        <v>1</v>
      </c>
      <c r="T25">
        <f>IF(US_CSC_source!T43="","",US_CSC_source!T43)</f>
        <v>1</v>
      </c>
      <c r="U25">
        <f>IF(US_CSC_source!U43="","",US_CSC_source!U43)</f>
        <v>1</v>
      </c>
      <c r="V25">
        <f>IF(US_CSC_source!V43="","",US_CSC_source!V43)</f>
        <v>1</v>
      </c>
      <c r="W25">
        <f>IF(US_CSC_source!W43="","",US_CSC_source!W43)</f>
        <v>1</v>
      </c>
      <c r="X25">
        <f>IF(US_CSC_source!X43="","",US_CSC_source!X43)</f>
        <v>1</v>
      </c>
      <c r="Y25">
        <f>IF(US_CSC_source!Y43="","",US_CSC_source!Y43)</f>
        <v>1</v>
      </c>
      <c r="Z25">
        <f>IF(US_CSC_source!Z43="","",US_CSC_source!Z43)</f>
        <v>1</v>
      </c>
      <c r="AA25">
        <f>IF(US_CSC_source!AA43="","",US_CSC_source!AA43)</f>
        <v>1</v>
      </c>
      <c r="AB25">
        <f>IF(US_CSC_source!AB43="","",US_CSC_source!AB43)</f>
        <v>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1F3864"/>
  </sheetPr>
  <dimension ref="A1:B25"/>
  <sheetViews>
    <sheetView workbookViewId="0"/>
  </sheetViews>
  <sheetFormatPr defaultRowHeight="15" x14ac:dyDescent="0.25"/>
  <cols>
    <col min="1" max="1" width="34" customWidth="1"/>
    <col min="2" max="2" width="18" customWidth="1"/>
  </cols>
  <sheetData>
    <row r="1" spans="1:2" x14ac:dyDescent="0.25">
      <c r="B1" t="s">
        <v>326</v>
      </c>
    </row>
    <row r="2" spans="1:2" x14ac:dyDescent="0.25">
      <c r="A2" t="s">
        <v>81</v>
      </c>
      <c r="B2">
        <f>INDEX(Calcs!B$64:B$111,MATCH(About!$B$2,Keys!$B$64:$B$111,0))</f>
        <v>250</v>
      </c>
    </row>
    <row r="3" spans="1:2" x14ac:dyDescent="0.25">
      <c r="A3" t="s">
        <v>83</v>
      </c>
      <c r="B3">
        <f>INDEX(Calcs!C$64:C$111,MATCH(About!$B$2,Keys!$B$64:$B$111,0))</f>
        <v>250</v>
      </c>
    </row>
    <row r="4" spans="1:2" x14ac:dyDescent="0.25">
      <c r="A4" t="s">
        <v>84</v>
      </c>
      <c r="B4">
        <f>INDEX(Calcs!D$64:D$111,MATCH(About!$B$2,Keys!$B$64:$B$111,0))</f>
        <v>1388</v>
      </c>
    </row>
    <row r="5" spans="1:2" x14ac:dyDescent="0.25">
      <c r="A5" t="s">
        <v>85</v>
      </c>
      <c r="B5">
        <f>INDEX(Calcs!E$64:E$111,MATCH(About!$B$2,Keys!$B$64:$B$111,0))</f>
        <v>500</v>
      </c>
    </row>
    <row r="6" spans="1:2" x14ac:dyDescent="0.25">
      <c r="A6" t="s">
        <v>86</v>
      </c>
      <c r="B6">
        <f>INDEX(Calcs!F$64:F$111,MATCH(About!$B$2,Keys!$B$64:$B$111,0))</f>
        <v>250</v>
      </c>
    </row>
    <row r="7" spans="1:2" x14ac:dyDescent="0.25">
      <c r="A7" t="s">
        <v>87</v>
      </c>
      <c r="B7">
        <f>INDEX(Calcs!G$64:G$111,MATCH(About!$B$2,Keys!$B$64:$B$111,0))</f>
        <v>806</v>
      </c>
    </row>
    <row r="8" spans="1:2" x14ac:dyDescent="0.25">
      <c r="A8" t="s">
        <v>88</v>
      </c>
      <c r="B8">
        <f>INDEX(Calcs!H$64:H$111,MATCH(About!$B$2,Keys!$B$64:$B$111,0))</f>
        <v>2102.1999999999998</v>
      </c>
    </row>
    <row r="9" spans="1:2" x14ac:dyDescent="0.25">
      <c r="A9" t="s">
        <v>89</v>
      </c>
      <c r="B9">
        <f>INDEX(Calcs!I$64:I$111,MATCH(About!$B$2,Keys!$B$64:$B$111,0))</f>
        <v>250</v>
      </c>
    </row>
    <row r="10" spans="1:2" x14ac:dyDescent="0.25">
      <c r="A10" t="s">
        <v>90</v>
      </c>
      <c r="B10">
        <f>INDEX(Calcs!J$64:J$111,MATCH(About!$B$2,Keys!$B$64:$B$111,0))</f>
        <v>250</v>
      </c>
    </row>
    <row r="11" spans="1:2" x14ac:dyDescent="0.25">
      <c r="A11" t="s">
        <v>91</v>
      </c>
      <c r="B11">
        <f>INDEX(Calcs!K$64:K$111,MATCH(About!$B$2,Keys!$B$64:$B$111,0))</f>
        <v>250</v>
      </c>
    </row>
    <row r="12" spans="1:2" x14ac:dyDescent="0.25">
      <c r="A12" t="s">
        <v>92</v>
      </c>
      <c r="B12">
        <f>INDEX(Calcs!L$64:L$111,MATCH(About!$B$2,Keys!$B$64:$B$111,0))</f>
        <v>250</v>
      </c>
    </row>
    <row r="13" spans="1:2" x14ac:dyDescent="0.25">
      <c r="A13" t="s">
        <v>93</v>
      </c>
      <c r="B13">
        <f>INDEX(Calcs!M$64:M$111,MATCH(About!$B$2,Keys!$B$64:$B$111,0))</f>
        <v>1424.7</v>
      </c>
    </row>
    <row r="14" spans="1:2" x14ac:dyDescent="0.25">
      <c r="A14" t="s">
        <v>94</v>
      </c>
      <c r="B14">
        <f>INDEX(Calcs!N$64:N$111,MATCH(About!$B$2,Keys!$B$64:$B$111,0))</f>
        <v>250</v>
      </c>
    </row>
    <row r="15" spans="1:2" x14ac:dyDescent="0.25">
      <c r="A15" t="s">
        <v>95</v>
      </c>
      <c r="B15">
        <f>INDEX(Calcs!O$64:O$111,MATCH(About!$B$2,Keys!$B$64:$B$111,0))</f>
        <v>250</v>
      </c>
    </row>
    <row r="16" spans="1:2" x14ac:dyDescent="0.25">
      <c r="A16" t="s">
        <v>96</v>
      </c>
      <c r="B16">
        <f>INDEX(Calcs!P$64:P$111,MATCH(About!$B$2,Keys!$B$64:$B$111,0))</f>
        <v>250</v>
      </c>
    </row>
    <row r="17" spans="1:2" x14ac:dyDescent="0.25">
      <c r="A17" t="s">
        <v>97</v>
      </c>
      <c r="B17">
        <f>INDEX(Calcs!Q$64:Q$111,MATCH(About!$B$2,Keys!$B$64:$B$111,0))</f>
        <v>250</v>
      </c>
    </row>
    <row r="18" spans="1:2" x14ac:dyDescent="0.25">
      <c r="A18" t="s">
        <v>98</v>
      </c>
      <c r="B18">
        <f>INDEX(Calcs!R$64:R$111,MATCH(About!$B$2,Keys!$B$64:$B$111,0))</f>
        <v>250</v>
      </c>
    </row>
    <row r="19" spans="1:2" x14ac:dyDescent="0.25">
      <c r="A19" t="s">
        <v>99</v>
      </c>
      <c r="B19">
        <f>INDEX(Calcs!S$64:S$111,MATCH(About!$B$2,Keys!$B$64:$B$111,0))</f>
        <v>250</v>
      </c>
    </row>
    <row r="20" spans="1:2" x14ac:dyDescent="0.25">
      <c r="A20" t="s">
        <v>100</v>
      </c>
      <c r="B20">
        <f>INDEX(Calcs!T$64:T$111,MATCH(About!$B$2,Keys!$B$64:$B$111,0))</f>
        <v>250</v>
      </c>
    </row>
    <row r="21" spans="1:2" x14ac:dyDescent="0.25">
      <c r="A21" t="s">
        <v>101</v>
      </c>
      <c r="B21">
        <f>INDEX(Calcs!U$64:U$111,MATCH(About!$B$2,Keys!$B$64:$B$111,0))</f>
        <v>250</v>
      </c>
    </row>
    <row r="22" spans="1:2" x14ac:dyDescent="0.25">
      <c r="A22" t="s">
        <v>102</v>
      </c>
      <c r="B22">
        <f>INDEX(Calcs!V$64:V$111,MATCH(About!$B$2,Keys!$B$64:$B$111,0))</f>
        <v>250</v>
      </c>
    </row>
    <row r="23" spans="1:2" x14ac:dyDescent="0.25">
      <c r="A23" t="s">
        <v>103</v>
      </c>
      <c r="B23">
        <f>INDEX(Calcs!W$64:W$111,MATCH(About!$B$2,Keys!$B$64:$B$111,0))</f>
        <v>250</v>
      </c>
    </row>
    <row r="24" spans="1:2" x14ac:dyDescent="0.25">
      <c r="A24" t="s">
        <v>104</v>
      </c>
      <c r="B24">
        <f>INDEX(Calcs!X$64:X$111,MATCH(About!$B$2,Keys!$B$64:$B$111,0))</f>
        <v>250</v>
      </c>
    </row>
    <row r="25" spans="1:2" x14ac:dyDescent="0.25">
      <c r="A25" t="s">
        <v>105</v>
      </c>
      <c r="B25">
        <f>INDEX(Calcs!Y$64:Y$111,MATCH(About!$B$2,Keys!$B$64:$B$111,0))</f>
        <v>250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About</vt:lpstr>
      <vt:lpstr>Keys</vt:lpstr>
      <vt:lpstr>Methodology</vt:lpstr>
      <vt:lpstr>Provenance</vt:lpstr>
      <vt:lpstr>EIA860_additions</vt:lpstr>
      <vt:lpstr>MPPC_ref</vt:lpstr>
      <vt:lpstr>US_CSC_source</vt:lpstr>
      <vt:lpstr>Calcs</vt:lpstr>
      <vt:lpstr>Checks</vt:lpstr>
      <vt:lpstr>CSC-CSCPH</vt:lpstr>
      <vt:lpstr>CSC-CSCP</vt:lpstr>
      <vt:lpstr>CSC-CSCSoCECBiaSY</vt:lpstr>
      <vt:lpstr>CSC-CSCSCbPT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2026-08-21T21:46:10Z</dcterms:created>
  <dcterms:modified xsi:type="dcterms:W3CDTF">2026-08-21T21:56:35Z</dcterms:modified>
</cp:coreProperties>
</file>