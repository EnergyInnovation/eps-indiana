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N\add-outputs\HOIpTP\"/>
    </mc:Choice>
  </mc:AlternateContent>
  <xr:revisionPtr revIDLastSave="0" documentId="8_{69D2B17E-B773-4DEF-BDD5-7A70B054028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K8" i="19"/>
  <c r="B8" i="19"/>
  <c r="L8" i="19" s="1"/>
  <c r="U7" i="19"/>
  <c r="B7" i="19"/>
  <c r="AA7" i="19" s="1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Q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Y14" i="18"/>
  <c r="U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X8" i="18"/>
  <c r="V8" i="18"/>
  <c r="U8" i="18"/>
  <c r="R8" i="18"/>
  <c r="Q8" i="18"/>
  <c r="N8" i="18"/>
  <c r="M8" i="18"/>
  <c r="F8" i="18"/>
  <c r="E8" i="18"/>
  <c r="B8" i="18"/>
  <c r="Y8" i="18" s="1"/>
  <c r="AB7" i="18"/>
  <c r="H7" i="18"/>
  <c r="D7" i="18"/>
  <c r="C7" i="18"/>
  <c r="B7" i="18"/>
  <c r="AA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I3" i="18"/>
  <c r="B3" i="18"/>
  <c r="Z3" i="18" s="1"/>
  <c r="Z2" i="18"/>
  <c r="V2" i="18"/>
  <c r="U2" i="18"/>
  <c r="K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S13" i="17"/>
  <c r="R13" i="17"/>
  <c r="D13" i="17"/>
  <c r="C13" i="17"/>
  <c r="B13" i="17"/>
  <c r="X13" i="17" s="1"/>
  <c r="Z12" i="17"/>
  <c r="Y12" i="17"/>
  <c r="H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B7" i="17"/>
  <c r="U7" i="17" s="1"/>
  <c r="Q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H17" i="16"/>
  <c r="G17" i="16"/>
  <c r="B17" i="16"/>
  <c r="B16" i="16"/>
  <c r="AA15" i="16"/>
  <c r="X15" i="16"/>
  <c r="K15" i="16"/>
  <c r="B15" i="16"/>
  <c r="Y15" i="16" s="1"/>
  <c r="G14" i="16"/>
  <c r="F14" i="16"/>
  <c r="C14" i="16"/>
  <c r="B14" i="16"/>
  <c r="AB14" i="16" s="1"/>
  <c r="W13" i="16"/>
  <c r="B13" i="16"/>
  <c r="J13" i="16" s="1"/>
  <c r="I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S7" i="16"/>
  <c r="R7" i="16"/>
  <c r="O7" i="16"/>
  <c r="M7" i="16"/>
  <c r="L7" i="16"/>
  <c r="H7" i="16"/>
  <c r="G7" i="16"/>
  <c r="F7" i="16"/>
  <c r="E7" i="16"/>
  <c r="D7" i="16"/>
  <c r="C7" i="16"/>
  <c r="B7" i="16"/>
  <c r="Z7" i="16" s="1"/>
  <c r="W6" i="16"/>
  <c r="V6" i="16"/>
  <c r="T6" i="16"/>
  <c r="S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X2" i="16"/>
  <c r="T2" i="16"/>
  <c r="Q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S15" i="15"/>
  <c r="I15" i="15"/>
  <c r="G15" i="15"/>
  <c r="E15" i="15"/>
  <c r="C15" i="15"/>
  <c r="B15" i="15"/>
  <c r="K15" i="15" s="1"/>
  <c r="B14" i="15"/>
  <c r="E14" i="15" s="1"/>
  <c r="AB13" i="15"/>
  <c r="W13" i="15"/>
  <c r="V13" i="15"/>
  <c r="Q13" i="15"/>
  <c r="N13" i="15"/>
  <c r="M13" i="15"/>
  <c r="L13" i="15"/>
  <c r="K13" i="15"/>
  <c r="G13" i="15"/>
  <c r="F13" i="15"/>
  <c r="B13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Y8" i="15"/>
  <c r="X8" i="15"/>
  <c r="R8" i="15"/>
  <c r="O8" i="15"/>
  <c r="G8" i="15"/>
  <c r="F8" i="15"/>
  <c r="B8" i="15"/>
  <c r="AB7" i="15"/>
  <c r="AA7" i="15"/>
  <c r="Y7" i="15"/>
  <c r="W7" i="15"/>
  <c r="V7" i="15"/>
  <c r="R7" i="15"/>
  <c r="N7" i="15"/>
  <c r="L7" i="15"/>
  <c r="K7" i="15"/>
  <c r="J7" i="15"/>
  <c r="I7" i="15"/>
  <c r="G7" i="15"/>
  <c r="F7" i="15"/>
  <c r="E7" i="15"/>
  <c r="B7" i="15"/>
  <c r="S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T3" i="15" s="1"/>
  <c r="AA2" i="15"/>
  <c r="Y2" i="15"/>
  <c r="S2" i="15"/>
  <c r="R2" i="15"/>
  <c r="Q2" i="15"/>
  <c r="N2" i="15"/>
  <c r="L2" i="15"/>
  <c r="I2" i="15"/>
  <c r="G2" i="15"/>
  <c r="B2" i="15"/>
  <c r="Z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Z15" i="14"/>
  <c r="W15" i="14"/>
  <c r="U15" i="14"/>
  <c r="T15" i="14"/>
  <c r="S15" i="14"/>
  <c r="R15" i="14"/>
  <c r="P15" i="14"/>
  <c r="O15" i="14"/>
  <c r="N15" i="14"/>
  <c r="M15" i="14"/>
  <c r="K15" i="14"/>
  <c r="J15" i="14"/>
  <c r="I15" i="14"/>
  <c r="F15" i="14"/>
  <c r="E15" i="14"/>
  <c r="D15" i="14"/>
  <c r="C15" i="14"/>
  <c r="B15" i="14"/>
  <c r="X15" i="14" s="1"/>
  <c r="B14" i="14"/>
  <c r="AB14" i="14" s="1"/>
  <c r="B13" i="14"/>
  <c r="G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V7" i="14"/>
  <c r="S7" i="14"/>
  <c r="R7" i="14"/>
  <c r="P7" i="14"/>
  <c r="N7" i="14"/>
  <c r="M7" i="14"/>
  <c r="L7" i="14"/>
  <c r="I7" i="14"/>
  <c r="H7" i="14"/>
  <c r="G7" i="14"/>
  <c r="E7" i="14"/>
  <c r="D7" i="14"/>
  <c r="C7" i="14"/>
  <c r="B7" i="14"/>
  <c r="Z7" i="14" s="1"/>
  <c r="AA6" i="14"/>
  <c r="Z6" i="14"/>
  <c r="X6" i="14"/>
  <c r="W6" i="14"/>
  <c r="S6" i="14"/>
  <c r="R6" i="14"/>
  <c r="Q6" i="14"/>
  <c r="P6" i="14"/>
  <c r="N6" i="14"/>
  <c r="M6" i="14"/>
  <c r="L6" i="14"/>
  <c r="H6" i="14"/>
  <c r="G6" i="14"/>
  <c r="F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V3" i="14"/>
  <c r="U3" i="14"/>
  <c r="T3" i="14"/>
  <c r="S3" i="14"/>
  <c r="P3" i="14"/>
  <c r="M3" i="14"/>
  <c r="B3" i="14"/>
  <c r="W3" i="14" s="1"/>
  <c r="AB2" i="14"/>
  <c r="AA2" i="14"/>
  <c r="X2" i="14"/>
  <c r="V2" i="14"/>
  <c r="U2" i="14"/>
  <c r="R2" i="14"/>
  <c r="P2" i="14"/>
  <c r="O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B15" i="13"/>
  <c r="AA14" i="13"/>
  <c r="W14" i="13"/>
  <c r="V14" i="13"/>
  <c r="T14" i="13"/>
  <c r="Q14" i="13"/>
  <c r="P14" i="13"/>
  <c r="O14" i="13"/>
  <c r="N14" i="13"/>
  <c r="M14" i="13"/>
  <c r="L14" i="13"/>
  <c r="K14" i="13"/>
  <c r="J14" i="13"/>
  <c r="H14" i="13"/>
  <c r="F14" i="13"/>
  <c r="E14" i="13"/>
  <c r="B14" i="13"/>
  <c r="U14" i="13" s="1"/>
  <c r="Z13" i="13"/>
  <c r="Y13" i="13"/>
  <c r="X13" i="13"/>
  <c r="V13" i="13"/>
  <c r="T13" i="13"/>
  <c r="S13" i="13"/>
  <c r="R13" i="13"/>
  <c r="O13" i="13"/>
  <c r="K13" i="13"/>
  <c r="H13" i="13"/>
  <c r="B13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B7" i="13"/>
  <c r="F7" i="13" s="1"/>
  <c r="AA6" i="13"/>
  <c r="J6" i="13"/>
  <c r="H6" i="13"/>
  <c r="G6" i="13"/>
  <c r="B6" i="13"/>
  <c r="O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N3" i="13"/>
  <c r="M3" i="13"/>
  <c r="L3" i="13"/>
  <c r="K3" i="13"/>
  <c r="J3" i="13"/>
  <c r="I3" i="13"/>
  <c r="F3" i="13"/>
  <c r="E3" i="13"/>
  <c r="D3" i="13"/>
  <c r="B3" i="13"/>
  <c r="B2" i="13"/>
  <c r="C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B17" i="12"/>
  <c r="G17" i="12" s="1"/>
  <c r="AB16" i="12"/>
  <c r="AA16" i="12"/>
  <c r="Z16" i="12"/>
  <c r="J16" i="12"/>
  <c r="C16" i="12"/>
  <c r="B16" i="12"/>
  <c r="Y15" i="12"/>
  <c r="W15" i="12"/>
  <c r="V15" i="12"/>
  <c r="S15" i="12"/>
  <c r="R15" i="12"/>
  <c r="Q15" i="12"/>
  <c r="P15" i="12"/>
  <c r="O15" i="12"/>
  <c r="N15" i="12"/>
  <c r="M15" i="12"/>
  <c r="L15" i="12"/>
  <c r="K15" i="12"/>
  <c r="G15" i="12"/>
  <c r="F15" i="12"/>
  <c r="E15" i="12"/>
  <c r="B15" i="12"/>
  <c r="Z15" i="12" s="1"/>
  <c r="R14" i="12"/>
  <c r="L14" i="12"/>
  <c r="K14" i="12"/>
  <c r="B14" i="12"/>
  <c r="AB14" i="12" s="1"/>
  <c r="B13" i="12"/>
  <c r="AA12" i="12"/>
  <c r="Z12" i="12"/>
  <c r="H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B8" i="12"/>
  <c r="H8" i="12" s="1"/>
  <c r="AB7" i="12"/>
  <c r="AA7" i="12"/>
  <c r="Z7" i="12"/>
  <c r="X7" i="12"/>
  <c r="W7" i="12"/>
  <c r="V7" i="12"/>
  <c r="K7" i="12"/>
  <c r="J7" i="12"/>
  <c r="F7" i="12"/>
  <c r="E7" i="12"/>
  <c r="D7" i="12"/>
  <c r="B7" i="12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B14" i="11"/>
  <c r="AB13" i="11"/>
  <c r="AA13" i="11"/>
  <c r="Z13" i="11"/>
  <c r="Y13" i="11"/>
  <c r="X13" i="11"/>
  <c r="V13" i="11"/>
  <c r="U13" i="11"/>
  <c r="R13" i="11"/>
  <c r="M13" i="11"/>
  <c r="L13" i="11"/>
  <c r="K13" i="11"/>
  <c r="B13" i="11"/>
  <c r="Q13" i="11" s="1"/>
  <c r="AB12" i="11"/>
  <c r="Y12" i="11"/>
  <c r="X12" i="11"/>
  <c r="U12" i="11"/>
  <c r="T12" i="11"/>
  <c r="P12" i="11"/>
  <c r="O12" i="11"/>
  <c r="M12" i="11"/>
  <c r="L12" i="11"/>
  <c r="K12" i="11"/>
  <c r="G12" i="11"/>
  <c r="F12" i="11"/>
  <c r="B12" i="11"/>
  <c r="C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C8" i="11" s="1"/>
  <c r="B7" i="11"/>
  <c r="AB7" i="11" s="1"/>
  <c r="X6" i="11"/>
  <c r="T6" i="11"/>
  <c r="K6" i="11"/>
  <c r="H6" i="11"/>
  <c r="G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Q3" i="11"/>
  <c r="L3" i="11"/>
  <c r="B3" i="11"/>
  <c r="Q2" i="11"/>
  <c r="N2" i="11"/>
  <c r="I2" i="11"/>
  <c r="G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B14" i="10"/>
  <c r="AB14" i="10" s="1"/>
  <c r="AA13" i="10"/>
  <c r="B13" i="10"/>
  <c r="Z13" i="10" s="1"/>
  <c r="B12" i="10"/>
  <c r="C11" i="10"/>
  <c r="B11" i="10"/>
  <c r="B10" i="10"/>
  <c r="B9" i="10"/>
  <c r="AB8" i="10"/>
  <c r="Z8" i="10"/>
  <c r="N8" i="10"/>
  <c r="K8" i="10"/>
  <c r="I8" i="10"/>
  <c r="G8" i="10"/>
  <c r="C8" i="10"/>
  <c r="B8" i="10"/>
  <c r="Q8" i="10" s="1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Y2" i="10"/>
  <c r="U2" i="10"/>
  <c r="N2" i="10"/>
  <c r="M2" i="10"/>
  <c r="L2" i="10"/>
  <c r="K2" i="10"/>
  <c r="J2" i="10"/>
  <c r="H2" i="10"/>
  <c r="G2" i="10"/>
  <c r="F2" i="10"/>
  <c r="E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B15" i="9"/>
  <c r="AA14" i="9"/>
  <c r="Y14" i="9"/>
  <c r="W14" i="9"/>
  <c r="V14" i="9"/>
  <c r="U14" i="9"/>
  <c r="T14" i="9"/>
  <c r="S14" i="9"/>
  <c r="R14" i="9"/>
  <c r="Q14" i="9"/>
  <c r="P14" i="9"/>
  <c r="E14" i="9"/>
  <c r="B14" i="9"/>
  <c r="Z14" i="9" s="1"/>
  <c r="AA13" i="9"/>
  <c r="Z13" i="9"/>
  <c r="Y13" i="9"/>
  <c r="X13" i="9"/>
  <c r="W13" i="9"/>
  <c r="S13" i="9"/>
  <c r="Q13" i="9"/>
  <c r="M13" i="9"/>
  <c r="D13" i="9"/>
  <c r="C13" i="9"/>
  <c r="B13" i="9"/>
  <c r="Z12" i="9"/>
  <c r="W12" i="9"/>
  <c r="S12" i="9"/>
  <c r="O12" i="9"/>
  <c r="J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G8" i="9"/>
  <c r="F8" i="9"/>
  <c r="B8" i="9"/>
  <c r="AB7" i="9"/>
  <c r="AA7" i="9"/>
  <c r="X7" i="9"/>
  <c r="B7" i="9"/>
  <c r="P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F3" i="9"/>
  <c r="C3" i="9"/>
  <c r="B3" i="9"/>
  <c r="Z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M15" i="8"/>
  <c r="L15" i="8"/>
  <c r="K15" i="8"/>
  <c r="G15" i="8"/>
  <c r="B15" i="8"/>
  <c r="AB14" i="8"/>
  <c r="Z14" i="8"/>
  <c r="Y14" i="8"/>
  <c r="W14" i="8"/>
  <c r="U14" i="8"/>
  <c r="T14" i="8"/>
  <c r="S14" i="8"/>
  <c r="R14" i="8"/>
  <c r="O14" i="8"/>
  <c r="N14" i="8"/>
  <c r="M14" i="8"/>
  <c r="L14" i="8"/>
  <c r="K14" i="8"/>
  <c r="H14" i="8"/>
  <c r="G14" i="8"/>
  <c r="E14" i="8"/>
  <c r="D14" i="8"/>
  <c r="C14" i="8"/>
  <c r="B14" i="8"/>
  <c r="V14" i="8" s="1"/>
  <c r="AB13" i="8"/>
  <c r="AA13" i="8"/>
  <c r="X13" i="8"/>
  <c r="V13" i="8"/>
  <c r="U13" i="8"/>
  <c r="R13" i="8"/>
  <c r="Q13" i="8"/>
  <c r="P13" i="8"/>
  <c r="O13" i="8"/>
  <c r="N13" i="8"/>
  <c r="M13" i="8"/>
  <c r="L13" i="8"/>
  <c r="H13" i="8"/>
  <c r="F13" i="8"/>
  <c r="E13" i="8"/>
  <c r="C13" i="8"/>
  <c r="B13" i="8"/>
  <c r="W13" i="8" s="1"/>
  <c r="Z12" i="8"/>
  <c r="V12" i="8"/>
  <c r="U12" i="8"/>
  <c r="T12" i="8"/>
  <c r="S12" i="8"/>
  <c r="R12" i="8"/>
  <c r="Q12" i="8"/>
  <c r="O12" i="8"/>
  <c r="N12" i="8"/>
  <c r="H12" i="8"/>
  <c r="B12" i="8"/>
  <c r="D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Y7" i="8"/>
  <c r="W7" i="8"/>
  <c r="U7" i="8"/>
  <c r="T7" i="8"/>
  <c r="S7" i="8"/>
  <c r="Q7" i="8"/>
  <c r="P7" i="8"/>
  <c r="O7" i="8"/>
  <c r="M7" i="8"/>
  <c r="B7" i="8"/>
  <c r="K7" i="8" s="1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O3" i="8"/>
  <c r="M3" i="8"/>
  <c r="L3" i="8"/>
  <c r="K3" i="8"/>
  <c r="I3" i="8"/>
  <c r="H3" i="8"/>
  <c r="D3" i="8"/>
  <c r="C3" i="8"/>
  <c r="B3" i="8"/>
  <c r="AA2" i="8"/>
  <c r="Z2" i="8"/>
  <c r="W2" i="8"/>
  <c r="V2" i="8"/>
  <c r="U2" i="8"/>
  <c r="T2" i="8"/>
  <c r="S2" i="8"/>
  <c r="R2" i="8"/>
  <c r="Q2" i="8"/>
  <c r="L2" i="8"/>
  <c r="H2" i="8"/>
  <c r="G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E17" i="7"/>
  <c r="B17" i="7"/>
  <c r="N16" i="7"/>
  <c r="M16" i="7"/>
  <c r="L16" i="7"/>
  <c r="J16" i="7"/>
  <c r="H16" i="7"/>
  <c r="G16" i="7"/>
  <c r="B16" i="7"/>
  <c r="AA16" i="7" s="1"/>
  <c r="B15" i="7"/>
  <c r="AB14" i="7"/>
  <c r="AA14" i="7"/>
  <c r="D14" i="7"/>
  <c r="B14" i="7"/>
  <c r="AB13" i="7"/>
  <c r="AA13" i="7"/>
  <c r="X13" i="7"/>
  <c r="W13" i="7"/>
  <c r="V13" i="7"/>
  <c r="T13" i="7"/>
  <c r="B13" i="7"/>
  <c r="E13" i="7" s="1"/>
  <c r="AB12" i="7"/>
  <c r="X12" i="7"/>
  <c r="W12" i="7"/>
  <c r="V12" i="7"/>
  <c r="T12" i="7"/>
  <c r="S12" i="7"/>
  <c r="R12" i="7"/>
  <c r="P12" i="7"/>
  <c r="M12" i="7"/>
  <c r="L12" i="7"/>
  <c r="B12" i="7"/>
  <c r="J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Z8" i="7"/>
  <c r="Y8" i="7"/>
  <c r="W8" i="7"/>
  <c r="V8" i="7"/>
  <c r="U8" i="7"/>
  <c r="T8" i="7"/>
  <c r="R8" i="7"/>
  <c r="P8" i="7"/>
  <c r="N8" i="7"/>
  <c r="M8" i="7"/>
  <c r="L8" i="7"/>
  <c r="K8" i="7"/>
  <c r="H8" i="7"/>
  <c r="G8" i="7"/>
  <c r="F8" i="7"/>
  <c r="E8" i="7"/>
  <c r="B8" i="7"/>
  <c r="C8" i="7" s="1"/>
  <c r="AB7" i="7"/>
  <c r="Y7" i="7"/>
  <c r="W7" i="7"/>
  <c r="V7" i="7"/>
  <c r="U7" i="7"/>
  <c r="S7" i="7"/>
  <c r="R7" i="7"/>
  <c r="P7" i="7"/>
  <c r="O7" i="7"/>
  <c r="N7" i="7"/>
  <c r="K7" i="7"/>
  <c r="J7" i="7"/>
  <c r="I7" i="7"/>
  <c r="H7" i="7"/>
  <c r="F7" i="7"/>
  <c r="E7" i="7"/>
  <c r="B7" i="7"/>
  <c r="AA7" i="7" s="1"/>
  <c r="I6" i="7"/>
  <c r="H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S3" i="7"/>
  <c r="P3" i="7"/>
  <c r="O3" i="7"/>
  <c r="N3" i="7"/>
  <c r="M3" i="7"/>
  <c r="L3" i="7"/>
  <c r="K3" i="7"/>
  <c r="J3" i="7"/>
  <c r="H3" i="7"/>
  <c r="B3" i="7"/>
  <c r="T3" i="7" s="1"/>
  <c r="B2" i="7"/>
  <c r="R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Z17" i="6"/>
  <c r="X17" i="6"/>
  <c r="W17" i="6"/>
  <c r="D17" i="6"/>
  <c r="C17" i="6"/>
  <c r="B17" i="6"/>
  <c r="E16" i="6"/>
  <c r="D16" i="6"/>
  <c r="C16" i="6"/>
  <c r="B16" i="6"/>
  <c r="AB15" i="6"/>
  <c r="Z15" i="6"/>
  <c r="Y15" i="6"/>
  <c r="W15" i="6"/>
  <c r="V15" i="6"/>
  <c r="U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E14" i="6"/>
  <c r="D14" i="6"/>
  <c r="B14" i="6"/>
  <c r="Q13" i="6"/>
  <c r="O13" i="6"/>
  <c r="N13" i="6"/>
  <c r="M13" i="6"/>
  <c r="K13" i="6"/>
  <c r="I13" i="6"/>
  <c r="H13" i="6"/>
  <c r="G13" i="6"/>
  <c r="B13" i="6"/>
  <c r="AB12" i="6"/>
  <c r="Y12" i="6"/>
  <c r="W12" i="6"/>
  <c r="V12" i="6"/>
  <c r="U12" i="6"/>
  <c r="T12" i="6"/>
  <c r="S12" i="6"/>
  <c r="R12" i="6"/>
  <c r="P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O6" i="6"/>
  <c r="N6" i="6"/>
  <c r="J6" i="6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P17" i="5"/>
  <c r="O17" i="5"/>
  <c r="L17" i="5"/>
  <c r="K17" i="5"/>
  <c r="B17" i="5"/>
  <c r="J17" i="5" s="1"/>
  <c r="B16" i="5"/>
  <c r="T15" i="5"/>
  <c r="R15" i="5"/>
  <c r="Q15" i="5"/>
  <c r="P15" i="5"/>
  <c r="O15" i="5"/>
  <c r="N15" i="5"/>
  <c r="M15" i="5"/>
  <c r="L15" i="5"/>
  <c r="K15" i="5"/>
  <c r="J15" i="5"/>
  <c r="B15" i="5"/>
  <c r="X15" i="5" s="1"/>
  <c r="B14" i="5"/>
  <c r="D14" i="5" s="1"/>
  <c r="Z13" i="5"/>
  <c r="Y13" i="5"/>
  <c r="X13" i="5"/>
  <c r="R13" i="5"/>
  <c r="M13" i="5"/>
  <c r="K13" i="5"/>
  <c r="G13" i="5"/>
  <c r="B13" i="5"/>
  <c r="AB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Z6" i="5"/>
  <c r="M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D2" i="5"/>
  <c r="B2" i="5"/>
  <c r="F2" i="5" s="1"/>
  <c r="B2" i="1"/>
  <c r="AB12" i="13" l="1"/>
  <c r="M12" i="13"/>
  <c r="H12" i="13"/>
  <c r="D12" i="13"/>
  <c r="O12" i="13"/>
  <c r="T12" i="13"/>
  <c r="X12" i="13"/>
  <c r="W12" i="13"/>
  <c r="V12" i="13"/>
  <c r="U12" i="13"/>
  <c r="R12" i="13"/>
  <c r="S12" i="13"/>
  <c r="L12" i="13"/>
  <c r="J12" i="13"/>
  <c r="I12" i="13"/>
  <c r="U14" i="6"/>
  <c r="X14" i="6"/>
  <c r="W14" i="6"/>
  <c r="Y14" i="6"/>
  <c r="AB14" i="6"/>
  <c r="AA14" i="6"/>
  <c r="T14" i="6"/>
  <c r="R14" i="6"/>
  <c r="Q14" i="6"/>
  <c r="S14" i="6"/>
  <c r="K14" i="6"/>
  <c r="P14" i="6"/>
  <c r="O14" i="6"/>
  <c r="N14" i="6"/>
  <c r="M14" i="6"/>
  <c r="I14" i="6"/>
  <c r="L14" i="6"/>
  <c r="J14" i="6"/>
  <c r="H14" i="6"/>
  <c r="F14" i="6"/>
  <c r="C14" i="6"/>
  <c r="AB8" i="11"/>
  <c r="T8" i="11"/>
  <c r="S8" i="11"/>
  <c r="X8" i="11"/>
  <c r="R8" i="11"/>
  <c r="J8" i="11"/>
  <c r="Q8" i="11"/>
  <c r="O8" i="11"/>
  <c r="P8" i="11"/>
  <c r="K8" i="11"/>
  <c r="N8" i="11"/>
  <c r="I8" i="11"/>
  <c r="E8" i="11"/>
  <c r="D8" i="11"/>
  <c r="S14" i="11"/>
  <c r="P14" i="11"/>
  <c r="L14" i="11"/>
  <c r="K14" i="11"/>
  <c r="AA14" i="11"/>
  <c r="N14" i="11"/>
  <c r="AB14" i="11"/>
  <c r="X14" i="11"/>
  <c r="W14" i="11"/>
  <c r="V14" i="11"/>
  <c r="U14" i="11"/>
  <c r="T14" i="11"/>
  <c r="I14" i="11"/>
  <c r="R14" i="11"/>
  <c r="Q14" i="11"/>
  <c r="O14" i="11"/>
  <c r="J14" i="11"/>
  <c r="M14" i="11"/>
  <c r="H14" i="11"/>
  <c r="G14" i="11"/>
  <c r="F14" i="11"/>
  <c r="X15" i="13"/>
  <c r="E15" i="13"/>
  <c r="W15" i="13"/>
  <c r="R15" i="13"/>
  <c r="Q15" i="13"/>
  <c r="AB15" i="13"/>
  <c r="AA15" i="13"/>
  <c r="Z15" i="13"/>
  <c r="Y15" i="13"/>
  <c r="V15" i="13"/>
  <c r="H15" i="13"/>
  <c r="T15" i="13"/>
  <c r="S15" i="13"/>
  <c r="P15" i="13"/>
  <c r="C15" i="13"/>
  <c r="O15" i="13"/>
  <c r="N15" i="13"/>
  <c r="M15" i="13"/>
  <c r="L15" i="13"/>
  <c r="K15" i="13"/>
  <c r="I15" i="13"/>
  <c r="J15" i="13"/>
  <c r="G15" i="13"/>
  <c r="F15" i="13"/>
  <c r="D15" i="13"/>
  <c r="D7" i="5"/>
  <c r="Z7" i="5"/>
  <c r="X7" i="5"/>
  <c r="U7" i="5"/>
  <c r="Y7" i="5"/>
  <c r="AB7" i="5"/>
  <c r="AA7" i="5"/>
  <c r="V7" i="5"/>
  <c r="D14" i="10"/>
  <c r="C14" i="11"/>
  <c r="AB13" i="14"/>
  <c r="R13" i="14"/>
  <c r="E13" i="14"/>
  <c r="K13" i="14"/>
  <c r="X13" i="14"/>
  <c r="S13" i="14"/>
  <c r="Q13" i="14"/>
  <c r="N13" i="14"/>
  <c r="X15" i="10"/>
  <c r="I15" i="10"/>
  <c r="E15" i="10"/>
  <c r="D15" i="10"/>
  <c r="AB15" i="10"/>
  <c r="AA15" i="10"/>
  <c r="Y15" i="10"/>
  <c r="Z15" i="10"/>
  <c r="N15" i="10"/>
  <c r="W15" i="10"/>
  <c r="V15" i="10"/>
  <c r="U15" i="10"/>
  <c r="T15" i="10"/>
  <c r="R15" i="10"/>
  <c r="Q15" i="10"/>
  <c r="K15" i="10"/>
  <c r="P15" i="10"/>
  <c r="O15" i="10"/>
  <c r="L15" i="10"/>
  <c r="M15" i="10"/>
  <c r="H15" i="10"/>
  <c r="G15" i="10"/>
  <c r="F15" i="10"/>
  <c r="E14" i="11"/>
  <c r="M3" i="12"/>
  <c r="I3" i="12"/>
  <c r="G3" i="12"/>
  <c r="N3" i="12"/>
  <c r="AA3" i="12"/>
  <c r="Z3" i="12"/>
  <c r="L3" i="12"/>
  <c r="Y3" i="12"/>
  <c r="T3" i="12"/>
  <c r="U3" i="12"/>
  <c r="P3" i="12"/>
  <c r="K3" i="12"/>
  <c r="J3" i="12"/>
  <c r="F3" i="12"/>
  <c r="X14" i="10"/>
  <c r="M14" i="10"/>
  <c r="I14" i="10"/>
  <c r="H14" i="10"/>
  <c r="AA14" i="10"/>
  <c r="Z14" i="10"/>
  <c r="W14" i="10"/>
  <c r="Y14" i="10"/>
  <c r="V14" i="10"/>
  <c r="U14" i="10"/>
  <c r="K14" i="10"/>
  <c r="T14" i="10"/>
  <c r="S14" i="10"/>
  <c r="R14" i="10"/>
  <c r="J14" i="10"/>
  <c r="Q14" i="10"/>
  <c r="P14" i="10"/>
  <c r="O14" i="10"/>
  <c r="N14" i="10"/>
  <c r="L14" i="10"/>
  <c r="G14" i="10"/>
  <c r="F14" i="10"/>
  <c r="E14" i="10"/>
  <c r="C15" i="10"/>
  <c r="N7" i="5"/>
  <c r="Q7" i="11"/>
  <c r="W7" i="11"/>
  <c r="S7" i="11"/>
  <c r="R7" i="11"/>
  <c r="AA7" i="11"/>
  <c r="Z7" i="11"/>
  <c r="V7" i="11"/>
  <c r="X7" i="11"/>
  <c r="U7" i="11"/>
  <c r="T7" i="11"/>
  <c r="P7" i="11"/>
  <c r="O7" i="11"/>
  <c r="N7" i="11"/>
  <c r="J7" i="11"/>
  <c r="G7" i="11"/>
  <c r="M7" i="11"/>
  <c r="L7" i="11"/>
  <c r="K7" i="11"/>
  <c r="H7" i="11"/>
  <c r="I7" i="11"/>
  <c r="F7" i="11"/>
  <c r="E7" i="11"/>
  <c r="D7" i="11"/>
  <c r="U12" i="15"/>
  <c r="Q12" i="15"/>
  <c r="L12" i="15"/>
  <c r="G12" i="15"/>
  <c r="AA12" i="15"/>
  <c r="Z12" i="15"/>
  <c r="V12" i="15"/>
  <c r="T12" i="15"/>
  <c r="S12" i="15"/>
  <c r="O12" i="15"/>
  <c r="K12" i="15"/>
  <c r="X12" i="15"/>
  <c r="W12" i="15"/>
  <c r="R12" i="15"/>
  <c r="M12" i="15"/>
  <c r="P12" i="15"/>
  <c r="N12" i="15"/>
  <c r="J12" i="15"/>
  <c r="I12" i="15"/>
  <c r="D12" i="15"/>
  <c r="H12" i="15"/>
  <c r="C12" i="15"/>
  <c r="S2" i="13"/>
  <c r="U2" i="13"/>
  <c r="O2" i="13"/>
  <c r="N2" i="13"/>
  <c r="L2" i="13"/>
  <c r="H2" i="13"/>
  <c r="AB2" i="13"/>
  <c r="Z2" i="13"/>
  <c r="Y2" i="13"/>
  <c r="D2" i="13"/>
  <c r="X2" i="13"/>
  <c r="I2" i="13"/>
  <c r="V2" i="13"/>
  <c r="R2" i="13"/>
  <c r="Q2" i="13"/>
  <c r="P2" i="13"/>
  <c r="M2" i="13"/>
  <c r="J2" i="13"/>
  <c r="G2" i="13"/>
  <c r="F2" i="13"/>
  <c r="E2" i="13"/>
  <c r="I7" i="5"/>
  <c r="X15" i="7"/>
  <c r="S15" i="7"/>
  <c r="R15" i="7"/>
  <c r="Y15" i="7"/>
  <c r="W15" i="7"/>
  <c r="U15" i="7"/>
  <c r="N15" i="7"/>
  <c r="V15" i="7"/>
  <c r="T15" i="7"/>
  <c r="Q15" i="7"/>
  <c r="P15" i="7"/>
  <c r="O15" i="7"/>
  <c r="M15" i="7"/>
  <c r="K15" i="7"/>
  <c r="J15" i="7"/>
  <c r="L15" i="7"/>
  <c r="I15" i="7"/>
  <c r="H15" i="7"/>
  <c r="G15" i="7"/>
  <c r="F15" i="7"/>
  <c r="E15" i="7"/>
  <c r="D15" i="7"/>
  <c r="C7" i="11"/>
  <c r="C15" i="7"/>
  <c r="Z15" i="7"/>
  <c r="X17" i="18"/>
  <c r="U17" i="18"/>
  <c r="T17" i="18"/>
  <c r="S17" i="18"/>
  <c r="R17" i="18"/>
  <c r="P17" i="18"/>
  <c r="O17" i="18"/>
  <c r="L17" i="18"/>
  <c r="J17" i="18"/>
  <c r="I17" i="18"/>
  <c r="G17" i="18"/>
  <c r="E17" i="18"/>
  <c r="D17" i="18"/>
  <c r="C17" i="18"/>
  <c r="AB17" i="18"/>
  <c r="AA17" i="18"/>
  <c r="Y17" i="18"/>
  <c r="W17" i="18"/>
  <c r="N17" i="18"/>
  <c r="V17" i="18"/>
  <c r="Q17" i="18"/>
  <c r="M17" i="18"/>
  <c r="C14" i="10"/>
  <c r="AA15" i="7"/>
  <c r="AB15" i="7"/>
  <c r="AA6" i="7"/>
  <c r="N6" i="7"/>
  <c r="K6" i="7"/>
  <c r="W8" i="9"/>
  <c r="Y8" i="9"/>
  <c r="X8" i="9"/>
  <c r="AB12" i="12"/>
  <c r="K6" i="13"/>
  <c r="G7" i="17"/>
  <c r="O3" i="19"/>
  <c r="I3" i="19"/>
  <c r="H3" i="19"/>
  <c r="G3" i="19"/>
  <c r="F3" i="19"/>
  <c r="D3" i="19"/>
  <c r="AB3" i="19"/>
  <c r="C3" i="19"/>
  <c r="Y3" i="19"/>
  <c r="W3" i="19"/>
  <c r="V3" i="19"/>
  <c r="U3" i="19"/>
  <c r="T3" i="19"/>
  <c r="S3" i="19"/>
  <c r="R3" i="19"/>
  <c r="P3" i="19"/>
  <c r="N3" i="19"/>
  <c r="M3" i="19"/>
  <c r="K3" i="19"/>
  <c r="Q17" i="5"/>
  <c r="R17" i="5"/>
  <c r="C8" i="6"/>
  <c r="N17" i="6"/>
  <c r="M17" i="6"/>
  <c r="L17" i="6"/>
  <c r="F6" i="7"/>
  <c r="C8" i="9"/>
  <c r="M6" i="13"/>
  <c r="H7" i="17"/>
  <c r="E3" i="19"/>
  <c r="Z14" i="7"/>
  <c r="V14" i="7"/>
  <c r="U14" i="7"/>
  <c r="E8" i="9"/>
  <c r="U17" i="16"/>
  <c r="R17" i="16"/>
  <c r="J17" i="16"/>
  <c r="D17" i="16"/>
  <c r="C17" i="16"/>
  <c r="AB17" i="16"/>
  <c r="Z17" i="16"/>
  <c r="Y17" i="16"/>
  <c r="K7" i="17"/>
  <c r="J3" i="19"/>
  <c r="S17" i="5"/>
  <c r="F14" i="7"/>
  <c r="P7" i="17"/>
  <c r="W14" i="5"/>
  <c r="S15" i="5"/>
  <c r="V17" i="5"/>
  <c r="H8" i="6"/>
  <c r="AB13" i="6"/>
  <c r="T13" i="6"/>
  <c r="S13" i="6"/>
  <c r="F17" i="6"/>
  <c r="H2" i="7"/>
  <c r="P6" i="7"/>
  <c r="Q7" i="7"/>
  <c r="Q8" i="7"/>
  <c r="Y12" i="7"/>
  <c r="H14" i="7"/>
  <c r="J3" i="8"/>
  <c r="G3" i="8"/>
  <c r="E3" i="8"/>
  <c r="Z7" i="8"/>
  <c r="Y12" i="8"/>
  <c r="G3" i="9"/>
  <c r="D7" i="9"/>
  <c r="I8" i="9"/>
  <c r="Y12" i="9"/>
  <c r="X12" i="9"/>
  <c r="P2" i="10"/>
  <c r="Z12" i="11"/>
  <c r="C17" i="11"/>
  <c r="C8" i="12"/>
  <c r="Q14" i="12"/>
  <c r="T15" i="12"/>
  <c r="C7" i="13"/>
  <c r="R14" i="14"/>
  <c r="C3" i="15"/>
  <c r="D14" i="15"/>
  <c r="V17" i="16"/>
  <c r="T7" i="17"/>
  <c r="AA3" i="19"/>
  <c r="E17" i="6"/>
  <c r="D3" i="15"/>
  <c r="Z14" i="5"/>
  <c r="U15" i="5"/>
  <c r="X17" i="5"/>
  <c r="H17" i="6"/>
  <c r="K2" i="7"/>
  <c r="AB17" i="7"/>
  <c r="H17" i="7"/>
  <c r="G17" i="7"/>
  <c r="AA12" i="8"/>
  <c r="O3" i="9"/>
  <c r="G7" i="9"/>
  <c r="L8" i="9"/>
  <c r="X14" i="9"/>
  <c r="M14" i="9"/>
  <c r="I14" i="9"/>
  <c r="H14" i="9"/>
  <c r="AB14" i="9"/>
  <c r="AB12" i="10"/>
  <c r="Z12" i="10"/>
  <c r="AA6" i="11"/>
  <c r="U6" i="11"/>
  <c r="P6" i="11"/>
  <c r="O6" i="11"/>
  <c r="O17" i="11"/>
  <c r="F8" i="12"/>
  <c r="V14" i="12"/>
  <c r="E3" i="15"/>
  <c r="N14" i="15"/>
  <c r="Z2" i="17"/>
  <c r="W2" i="17"/>
  <c r="I2" i="17"/>
  <c r="G2" i="17"/>
  <c r="F2" i="17"/>
  <c r="Y7" i="17"/>
  <c r="Y7" i="13"/>
  <c r="D7" i="13"/>
  <c r="W17" i="5"/>
  <c r="Q6" i="7"/>
  <c r="K3" i="9"/>
  <c r="K8" i="9"/>
  <c r="D17" i="11"/>
  <c r="D8" i="12"/>
  <c r="J8" i="6"/>
  <c r="R6" i="7"/>
  <c r="AA14" i="5"/>
  <c r="V15" i="5"/>
  <c r="Y17" i="5"/>
  <c r="U8" i="6"/>
  <c r="J17" i="6"/>
  <c r="N2" i="7"/>
  <c r="S6" i="7"/>
  <c r="L14" i="7"/>
  <c r="C17" i="7"/>
  <c r="O2" i="8"/>
  <c r="F2" i="8"/>
  <c r="D2" i="8"/>
  <c r="AB12" i="8"/>
  <c r="S3" i="9"/>
  <c r="I7" i="9"/>
  <c r="M8" i="9"/>
  <c r="C14" i="9"/>
  <c r="AA15" i="9"/>
  <c r="Y15" i="9"/>
  <c r="M15" i="9"/>
  <c r="Z2" i="10"/>
  <c r="G12" i="10"/>
  <c r="C6" i="11"/>
  <c r="P17" i="11"/>
  <c r="G8" i="12"/>
  <c r="W14" i="12"/>
  <c r="G7" i="13"/>
  <c r="G3" i="15"/>
  <c r="O14" i="15"/>
  <c r="AB12" i="16"/>
  <c r="W12" i="16"/>
  <c r="K12" i="16"/>
  <c r="J2" i="17"/>
  <c r="O14" i="5"/>
  <c r="T17" i="5"/>
  <c r="E8" i="6"/>
  <c r="Z13" i="7"/>
  <c r="S13" i="7"/>
  <c r="R13" i="7"/>
  <c r="J14" i="7"/>
  <c r="AB14" i="5"/>
  <c r="W15" i="5"/>
  <c r="K17" i="6"/>
  <c r="O2" i="7"/>
  <c r="U6" i="7"/>
  <c r="F13" i="7"/>
  <c r="M14" i="7"/>
  <c r="D17" i="7"/>
  <c r="C2" i="8"/>
  <c r="T13" i="8"/>
  <c r="S13" i="8"/>
  <c r="X14" i="8"/>
  <c r="Q14" i="8"/>
  <c r="P14" i="8"/>
  <c r="AA14" i="8"/>
  <c r="Y3" i="9"/>
  <c r="J7" i="9"/>
  <c r="N8" i="9"/>
  <c r="H12" i="9"/>
  <c r="D14" i="9"/>
  <c r="K15" i="9"/>
  <c r="AA12" i="10"/>
  <c r="E6" i="11"/>
  <c r="AB17" i="11"/>
  <c r="X14" i="12"/>
  <c r="H7" i="13"/>
  <c r="I3" i="15"/>
  <c r="AB14" i="15"/>
  <c r="C12" i="16"/>
  <c r="L2" i="17"/>
  <c r="O7" i="17"/>
  <c r="Z8" i="12"/>
  <c r="V8" i="12"/>
  <c r="U8" i="12"/>
  <c r="E7" i="13"/>
  <c r="Y15" i="5"/>
  <c r="Z17" i="9"/>
  <c r="G17" i="9"/>
  <c r="U3" i="11"/>
  <c r="P3" i="11"/>
  <c r="M3" i="11"/>
  <c r="I8" i="12"/>
  <c r="Y14" i="12"/>
  <c r="I7" i="13"/>
  <c r="N3" i="14"/>
  <c r="I3" i="14"/>
  <c r="C3" i="14"/>
  <c r="Y3" i="14"/>
  <c r="X3" i="14"/>
  <c r="X2" i="15"/>
  <c r="M2" i="15"/>
  <c r="H2" i="15"/>
  <c r="AB2" i="15"/>
  <c r="C2" i="15"/>
  <c r="V2" i="15"/>
  <c r="U2" i="15"/>
  <c r="P2" i="15"/>
  <c r="O2" i="15"/>
  <c r="J3" i="15"/>
  <c r="Z6" i="16"/>
  <c r="Q6" i="16"/>
  <c r="O6" i="16"/>
  <c r="K6" i="16"/>
  <c r="G6" i="16"/>
  <c r="F6" i="16"/>
  <c r="V14" i="5"/>
  <c r="G8" i="6"/>
  <c r="Y14" i="14"/>
  <c r="S14" i="14"/>
  <c r="M14" i="15"/>
  <c r="H13" i="7"/>
  <c r="N14" i="7"/>
  <c r="C15" i="5"/>
  <c r="Z15" i="5"/>
  <c r="C12" i="7"/>
  <c r="O14" i="7"/>
  <c r="F17" i="7"/>
  <c r="Z15" i="8"/>
  <c r="O15" i="8"/>
  <c r="N15" i="8"/>
  <c r="AA3" i="9"/>
  <c r="M7" i="9"/>
  <c r="P8" i="9"/>
  <c r="F14" i="9"/>
  <c r="E17" i="9"/>
  <c r="D13" i="10"/>
  <c r="C3" i="11"/>
  <c r="J8" i="12"/>
  <c r="L7" i="13"/>
  <c r="W13" i="13"/>
  <c r="U13" i="13"/>
  <c r="Q13" i="13"/>
  <c r="P13" i="13"/>
  <c r="D3" i="14"/>
  <c r="D2" i="15"/>
  <c r="K3" i="15"/>
  <c r="J8" i="15"/>
  <c r="D8" i="15"/>
  <c r="AA8" i="15"/>
  <c r="W8" i="15"/>
  <c r="T8" i="15"/>
  <c r="N8" i="15"/>
  <c r="M8" i="15"/>
  <c r="L8" i="15"/>
  <c r="P13" i="15"/>
  <c r="O13" i="15"/>
  <c r="J13" i="15"/>
  <c r="E13" i="15"/>
  <c r="AA13" i="15"/>
  <c r="Z13" i="15"/>
  <c r="T13" i="15"/>
  <c r="S13" i="15"/>
  <c r="R13" i="15"/>
  <c r="E6" i="16"/>
  <c r="X12" i="16"/>
  <c r="X12" i="17"/>
  <c r="M12" i="17"/>
  <c r="J12" i="17"/>
  <c r="I12" i="17"/>
  <c r="F12" i="17"/>
  <c r="E12" i="17"/>
  <c r="AB12" i="17"/>
  <c r="W12" i="17"/>
  <c r="V12" i="17"/>
  <c r="U12" i="17"/>
  <c r="S12" i="17"/>
  <c r="R12" i="17"/>
  <c r="Q12" i="17"/>
  <c r="P12" i="17"/>
  <c r="G2" i="7"/>
  <c r="O17" i="6"/>
  <c r="P2" i="7"/>
  <c r="I6" i="5"/>
  <c r="I13" i="7"/>
  <c r="J6" i="5"/>
  <c r="D13" i="5"/>
  <c r="D15" i="5"/>
  <c r="AA15" i="5"/>
  <c r="Q17" i="6"/>
  <c r="X6" i="7"/>
  <c r="Z7" i="7"/>
  <c r="E12" i="7"/>
  <c r="J13" i="7"/>
  <c r="I17" i="7"/>
  <c r="I2" i="8"/>
  <c r="E15" i="8"/>
  <c r="AB3" i="9"/>
  <c r="N7" i="9"/>
  <c r="Q8" i="9"/>
  <c r="G14" i="9"/>
  <c r="F17" i="9"/>
  <c r="F13" i="10"/>
  <c r="D3" i="11"/>
  <c r="I6" i="11"/>
  <c r="Y7" i="12"/>
  <c r="S7" i="12"/>
  <c r="P7" i="12"/>
  <c r="M8" i="12"/>
  <c r="X15" i="12"/>
  <c r="H15" i="12"/>
  <c r="AB15" i="12"/>
  <c r="D15" i="12"/>
  <c r="AA15" i="12"/>
  <c r="C15" i="12"/>
  <c r="M7" i="13"/>
  <c r="F13" i="13"/>
  <c r="E3" i="14"/>
  <c r="E2" i="15"/>
  <c r="M3" i="15"/>
  <c r="C8" i="15"/>
  <c r="C13" i="15"/>
  <c r="AB2" i="16"/>
  <c r="W2" i="16"/>
  <c r="U2" i="16"/>
  <c r="P2" i="16"/>
  <c r="K2" i="16"/>
  <c r="D2" i="16"/>
  <c r="H6" i="16"/>
  <c r="Y12" i="16"/>
  <c r="C12" i="17"/>
  <c r="Y2" i="7"/>
  <c r="M2" i="7"/>
  <c r="L2" i="7"/>
  <c r="C7" i="9"/>
  <c r="G17" i="6"/>
  <c r="I2" i="7"/>
  <c r="I14" i="7"/>
  <c r="L7" i="9"/>
  <c r="O8" i="9"/>
  <c r="AA6" i="6"/>
  <c r="P6" i="6"/>
  <c r="P17" i="6"/>
  <c r="Q2" i="7"/>
  <c r="W6" i="7"/>
  <c r="Q14" i="7"/>
  <c r="O6" i="8"/>
  <c r="C2" i="5"/>
  <c r="K6" i="5"/>
  <c r="F13" i="5"/>
  <c r="E15" i="5"/>
  <c r="AB15" i="5"/>
  <c r="I6" i="6"/>
  <c r="X12" i="6"/>
  <c r="O12" i="6"/>
  <c r="N12" i="6"/>
  <c r="P13" i="6"/>
  <c r="R17" i="6"/>
  <c r="S2" i="7"/>
  <c r="Z6" i="7"/>
  <c r="AA8" i="7"/>
  <c r="F12" i="7"/>
  <c r="K13" i="7"/>
  <c r="R14" i="7"/>
  <c r="J17" i="7"/>
  <c r="K2" i="8"/>
  <c r="N3" i="8"/>
  <c r="P6" i="8"/>
  <c r="G13" i="8"/>
  <c r="F14" i="8"/>
  <c r="F15" i="8"/>
  <c r="R8" i="9"/>
  <c r="U12" i="9"/>
  <c r="J14" i="9"/>
  <c r="J17" i="9"/>
  <c r="H13" i="10"/>
  <c r="E3" i="11"/>
  <c r="J6" i="11"/>
  <c r="E12" i="11"/>
  <c r="P8" i="12"/>
  <c r="N7" i="13"/>
  <c r="G13" i="13"/>
  <c r="F3" i="14"/>
  <c r="F2" i="15"/>
  <c r="E8" i="15"/>
  <c r="D13" i="15"/>
  <c r="I6" i="16"/>
  <c r="D12" i="17"/>
  <c r="Y7" i="9"/>
  <c r="W7" i="9"/>
  <c r="V7" i="9"/>
  <c r="O6" i="7"/>
  <c r="P3" i="15"/>
  <c r="L3" i="15"/>
  <c r="F3" i="15"/>
  <c r="Y3" i="15"/>
  <c r="X3" i="15"/>
  <c r="Q3" i="15"/>
  <c r="N3" i="15"/>
  <c r="I8" i="6"/>
  <c r="F7" i="9"/>
  <c r="V6" i="7"/>
  <c r="Z2" i="7"/>
  <c r="G12" i="7"/>
  <c r="M13" i="7"/>
  <c r="S14" i="7"/>
  <c r="K17" i="7"/>
  <c r="K14" i="9"/>
  <c r="K17" i="9"/>
  <c r="M13" i="10"/>
  <c r="H3" i="11"/>
  <c r="Q8" i="12"/>
  <c r="R7" i="13"/>
  <c r="G3" i="14"/>
  <c r="U3" i="15"/>
  <c r="J6" i="16"/>
  <c r="G12" i="17"/>
  <c r="W2" i="18"/>
  <c r="Y2" i="18"/>
  <c r="X2" i="18"/>
  <c r="S2" i="18"/>
  <c r="R2" i="18"/>
  <c r="N2" i="18"/>
  <c r="M2" i="18"/>
  <c r="L2" i="18"/>
  <c r="J2" i="18"/>
  <c r="G2" i="18"/>
  <c r="F2" i="18"/>
  <c r="D2" i="18"/>
  <c r="G7" i="7"/>
  <c r="M7" i="7"/>
  <c r="L7" i="7"/>
  <c r="H15" i="8"/>
  <c r="R7" i="9"/>
  <c r="T8" i="9"/>
  <c r="L14" i="9"/>
  <c r="M17" i="9"/>
  <c r="S7" i="13"/>
  <c r="J3" i="14"/>
  <c r="W3" i="15"/>
  <c r="L6" i="16"/>
  <c r="S17" i="6"/>
  <c r="AB6" i="7"/>
  <c r="Q7" i="9"/>
  <c r="S8" i="9"/>
  <c r="E2" i="5"/>
  <c r="R6" i="5"/>
  <c r="H13" i="5"/>
  <c r="G15" i="5"/>
  <c r="X3" i="7"/>
  <c r="V3" i="7"/>
  <c r="U3" i="7"/>
  <c r="G7" i="8"/>
  <c r="W2" i="10"/>
  <c r="X2" i="10"/>
  <c r="V2" i="10"/>
  <c r="P13" i="10"/>
  <c r="W6" i="5"/>
  <c r="I13" i="5"/>
  <c r="H15" i="5"/>
  <c r="D17" i="5"/>
  <c r="T2" i="6"/>
  <c r="L6" i="6"/>
  <c r="K12" i="6"/>
  <c r="V13" i="6"/>
  <c r="U17" i="6"/>
  <c r="F3" i="7"/>
  <c r="C7" i="7"/>
  <c r="O13" i="7"/>
  <c r="X14" i="7"/>
  <c r="M17" i="7"/>
  <c r="N2" i="8"/>
  <c r="Q3" i="8"/>
  <c r="J7" i="8"/>
  <c r="J13" i="8"/>
  <c r="I14" i="8"/>
  <c r="I15" i="8"/>
  <c r="S7" i="9"/>
  <c r="U8" i="9"/>
  <c r="AA12" i="9"/>
  <c r="N14" i="9"/>
  <c r="O17" i="9"/>
  <c r="C2" i="10"/>
  <c r="Y13" i="10"/>
  <c r="J3" i="11"/>
  <c r="Q6" i="11"/>
  <c r="I12" i="11"/>
  <c r="G7" i="12"/>
  <c r="S8" i="12"/>
  <c r="I15" i="12"/>
  <c r="AA3" i="13"/>
  <c r="V3" i="13"/>
  <c r="P3" i="13"/>
  <c r="U7" i="13"/>
  <c r="M13" i="13"/>
  <c r="K3" i="14"/>
  <c r="J2" i="15"/>
  <c r="Z3" i="15"/>
  <c r="X7" i="15"/>
  <c r="M7" i="15"/>
  <c r="H7" i="15"/>
  <c r="Z7" i="15"/>
  <c r="C7" i="15"/>
  <c r="U7" i="15"/>
  <c r="T7" i="15"/>
  <c r="Q7" i="15"/>
  <c r="P7" i="15"/>
  <c r="O7" i="15"/>
  <c r="H8" i="15"/>
  <c r="H13" i="15"/>
  <c r="Y2" i="16"/>
  <c r="M6" i="16"/>
  <c r="O12" i="17"/>
  <c r="O2" i="18"/>
  <c r="X7" i="17"/>
  <c r="W7" i="17"/>
  <c r="V7" i="17"/>
  <c r="S7" i="17"/>
  <c r="R7" i="17"/>
  <c r="J7" i="17"/>
  <c r="F7" i="17"/>
  <c r="E7" i="17"/>
  <c r="D7" i="17"/>
  <c r="Z7" i="17"/>
  <c r="D8" i="6"/>
  <c r="U17" i="5"/>
  <c r="Y14" i="5"/>
  <c r="O12" i="7"/>
  <c r="N12" i="7"/>
  <c r="F15" i="5"/>
  <c r="X12" i="8"/>
  <c r="W12" i="8"/>
  <c r="K6" i="6"/>
  <c r="R13" i="6"/>
  <c r="T17" i="6"/>
  <c r="X8" i="7"/>
  <c r="J8" i="7"/>
  <c r="I8" i="7"/>
  <c r="H12" i="7"/>
  <c r="N13" i="7"/>
  <c r="T14" i="7"/>
  <c r="L17" i="7"/>
  <c r="M2" i="8"/>
  <c r="P3" i="8"/>
  <c r="C12" i="8"/>
  <c r="I13" i="8"/>
  <c r="I3" i="11"/>
  <c r="L6" i="11"/>
  <c r="R8" i="12"/>
  <c r="X6" i="5"/>
  <c r="J13" i="5"/>
  <c r="I15" i="5"/>
  <c r="Z2" i="6"/>
  <c r="M6" i="6"/>
  <c r="L12" i="6"/>
  <c r="Y13" i="6"/>
  <c r="X15" i="6"/>
  <c r="T15" i="6"/>
  <c r="S15" i="6"/>
  <c r="AA15" i="6"/>
  <c r="V17" i="6"/>
  <c r="G3" i="7"/>
  <c r="D7" i="7"/>
  <c r="D8" i="7"/>
  <c r="K12" i="7"/>
  <c r="Q13" i="7"/>
  <c r="Y14" i="7"/>
  <c r="Q17" i="7"/>
  <c r="P2" i="8"/>
  <c r="R3" i="8"/>
  <c r="E12" i="8"/>
  <c r="K13" i="8"/>
  <c r="J14" i="8"/>
  <c r="J15" i="8"/>
  <c r="T7" i="9"/>
  <c r="AB8" i="9"/>
  <c r="AB12" i="9"/>
  <c r="O14" i="9"/>
  <c r="P17" i="9"/>
  <c r="D2" i="10"/>
  <c r="K3" i="11"/>
  <c r="R6" i="11"/>
  <c r="J12" i="11"/>
  <c r="I7" i="12"/>
  <c r="W8" i="12"/>
  <c r="J15" i="12"/>
  <c r="C3" i="13"/>
  <c r="W7" i="13"/>
  <c r="N13" i="13"/>
  <c r="L3" i="14"/>
  <c r="K2" i="15"/>
  <c r="AA3" i="15"/>
  <c r="D7" i="15"/>
  <c r="K8" i="15"/>
  <c r="I13" i="15"/>
  <c r="AA2" i="16"/>
  <c r="N6" i="16"/>
  <c r="T12" i="17"/>
  <c r="P2" i="18"/>
  <c r="U7" i="9"/>
  <c r="X8" i="12"/>
  <c r="AB6" i="13"/>
  <c r="Z6" i="13"/>
  <c r="P6" i="13"/>
  <c r="X7" i="13"/>
  <c r="Y15" i="14"/>
  <c r="T15" i="15"/>
  <c r="X13" i="16"/>
  <c r="G6" i="17"/>
  <c r="J3" i="18"/>
  <c r="AB8" i="18"/>
  <c r="Y12" i="18"/>
  <c r="E15" i="18"/>
  <c r="H2" i="19"/>
  <c r="N6" i="19"/>
  <c r="M8" i="19"/>
  <c r="C12" i="19"/>
  <c r="K13" i="19"/>
  <c r="T14" i="19"/>
  <c r="L6" i="17"/>
  <c r="K3" i="18"/>
  <c r="C8" i="18"/>
  <c r="Z12" i="18"/>
  <c r="J15" i="18"/>
  <c r="M2" i="19"/>
  <c r="O6" i="19"/>
  <c r="N8" i="19"/>
  <c r="E12" i="19"/>
  <c r="L13" i="19"/>
  <c r="U14" i="19"/>
  <c r="M6" i="17"/>
  <c r="M3" i="18"/>
  <c r="D8" i="18"/>
  <c r="K15" i="18"/>
  <c r="N2" i="19"/>
  <c r="R6" i="19"/>
  <c r="O8" i="19"/>
  <c r="F12" i="19"/>
  <c r="M13" i="19"/>
  <c r="V14" i="19"/>
  <c r="N3" i="18"/>
  <c r="M15" i="18"/>
  <c r="O2" i="19"/>
  <c r="W6" i="19"/>
  <c r="P8" i="19"/>
  <c r="G12" i="19"/>
  <c r="O13" i="19"/>
  <c r="AB14" i="19"/>
  <c r="Q8" i="19"/>
  <c r="H12" i="19"/>
  <c r="R14" i="13"/>
  <c r="Y2" i="14"/>
  <c r="J6" i="14"/>
  <c r="J7" i="14"/>
  <c r="G15" i="14"/>
  <c r="W6" i="15"/>
  <c r="AA15" i="15"/>
  <c r="I7" i="16"/>
  <c r="J14" i="16"/>
  <c r="H8" i="17"/>
  <c r="H15" i="17"/>
  <c r="L17" i="17"/>
  <c r="Q3" i="18"/>
  <c r="I6" i="18"/>
  <c r="G8" i="18"/>
  <c r="H13" i="18"/>
  <c r="S15" i="18"/>
  <c r="R2" i="19"/>
  <c r="C7" i="19"/>
  <c r="R8" i="19"/>
  <c r="I12" i="19"/>
  <c r="Q13" i="19"/>
  <c r="C15" i="19"/>
  <c r="J13" i="11"/>
  <c r="S14" i="13"/>
  <c r="Z2" i="14"/>
  <c r="K6" i="14"/>
  <c r="K7" i="14"/>
  <c r="H15" i="14"/>
  <c r="X6" i="15"/>
  <c r="J7" i="16"/>
  <c r="Y14" i="16"/>
  <c r="J8" i="17"/>
  <c r="I15" i="17"/>
  <c r="M17" i="17"/>
  <c r="R3" i="18"/>
  <c r="J6" i="18"/>
  <c r="J8" i="18"/>
  <c r="P13" i="18"/>
  <c r="W15" i="18"/>
  <c r="S2" i="19"/>
  <c r="F7" i="19"/>
  <c r="S8" i="19"/>
  <c r="J12" i="19"/>
  <c r="T13" i="19"/>
  <c r="E15" i="19"/>
  <c r="N8" i="17"/>
  <c r="N15" i="17"/>
  <c r="O17" i="17"/>
  <c r="S3" i="18"/>
  <c r="K6" i="18"/>
  <c r="K8" i="18"/>
  <c r="X15" i="18"/>
  <c r="U2" i="19"/>
  <c r="G7" i="19"/>
  <c r="T8" i="19"/>
  <c r="L12" i="19"/>
  <c r="V13" i="19"/>
  <c r="F15" i="19"/>
  <c r="Y15" i="18"/>
  <c r="V2" i="19"/>
  <c r="H7" i="19"/>
  <c r="V8" i="19"/>
  <c r="P12" i="19"/>
  <c r="W13" i="19"/>
  <c r="G15" i="19"/>
  <c r="H14" i="18"/>
  <c r="L7" i="19"/>
  <c r="W8" i="19"/>
  <c r="Q12" i="19"/>
  <c r="J15" i="19"/>
  <c r="Y14" i="13"/>
  <c r="O6" i="14"/>
  <c r="O7" i="14"/>
  <c r="L15" i="14"/>
  <c r="P7" i="16"/>
  <c r="Q8" i="17"/>
  <c r="U17" i="17"/>
  <c r="Y3" i="18"/>
  <c r="Q6" i="18"/>
  <c r="O8" i="18"/>
  <c r="L14" i="18"/>
  <c r="AA15" i="18"/>
  <c r="X2" i="19"/>
  <c r="M7" i="19"/>
  <c r="Y8" i="19"/>
  <c r="R12" i="19"/>
  <c r="Z13" i="19"/>
  <c r="L15" i="19"/>
  <c r="C17" i="19"/>
  <c r="W17" i="17"/>
  <c r="W6" i="18"/>
  <c r="P8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U7" i="16"/>
  <c r="U8" i="17"/>
  <c r="N13" i="17"/>
  <c r="Z17" i="17"/>
  <c r="S8" i="18"/>
  <c r="V14" i="18"/>
  <c r="C8" i="19"/>
  <c r="Y12" i="19"/>
  <c r="G14" i="19"/>
  <c r="Q15" i="19"/>
  <c r="M17" i="19"/>
  <c r="T6" i="14"/>
  <c r="W7" i="14"/>
  <c r="Q15" i="14"/>
  <c r="L17" i="15"/>
  <c r="V7" i="16"/>
  <c r="V8" i="17"/>
  <c r="Q13" i="17"/>
  <c r="T8" i="18"/>
  <c r="X14" i="18"/>
  <c r="D8" i="19"/>
  <c r="AA12" i="19"/>
  <c r="H14" i="19"/>
  <c r="W15" i="19"/>
  <c r="O17" i="19"/>
  <c r="E8" i="19"/>
  <c r="AB12" i="19"/>
  <c r="J14" i="19"/>
  <c r="Y15" i="19"/>
  <c r="Q17" i="19"/>
  <c r="AA14" i="18"/>
  <c r="D6" i="19"/>
  <c r="F8" i="19"/>
  <c r="K14" i="19"/>
  <c r="AA15" i="19"/>
  <c r="R17" i="19"/>
  <c r="AA8" i="17"/>
  <c r="U13" i="17"/>
  <c r="D3" i="18"/>
  <c r="G7" i="18"/>
  <c r="W8" i="18"/>
  <c r="E6" i="19"/>
  <c r="G8" i="19"/>
  <c r="C13" i="19"/>
  <c r="L14" i="19"/>
  <c r="AB15" i="19"/>
  <c r="V17" i="19"/>
  <c r="D13" i="16"/>
  <c r="W13" i="17"/>
  <c r="E3" i="18"/>
  <c r="G6" i="19"/>
  <c r="H8" i="19"/>
  <c r="D13" i="19"/>
  <c r="O14" i="19"/>
  <c r="Y17" i="19"/>
  <c r="M2" i="14"/>
  <c r="V15" i="14"/>
  <c r="H3" i="18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<sst xmlns="http://schemas.openxmlformats.org/spreadsheetml/2006/main" count="3113" uniqueCount="587">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</sst>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74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IN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2.8701777018154458E-2</v>
      </c>
      <c r="C2" s="7">
        <f>$B2 * IFERROR(VLOOKUP("transport|PM25|Premature mortality", US_national_yearly!$D:$AM, 11, FALSE) / VLOOKUP("transport|PM25|Premature mortality", US_national_yearly!$D:$AM, 10, FALSE), 1)</f>
        <v>2.9057616153633219E-2</v>
      </c>
      <c r="D2" s="7">
        <f>$B2 * IFERROR(VLOOKUP("transport|PM25|Premature mortality", US_national_yearly!$D:$AM, 12, FALSE) / VLOOKUP("transport|PM25|Premature mortality", US_national_yearly!$D:$AM, 10, FALSE), 1)</f>
        <v>2.9413455289111972E-2</v>
      </c>
      <c r="E2" s="7">
        <f>$B2 * IFERROR(VLOOKUP("transport|PM25|Premature mortality", US_national_yearly!$D:$AM, 13, FALSE) / VLOOKUP("transport|PM25|Premature mortality", US_national_yearly!$D:$AM, 10, FALSE), 1)</f>
        <v>2.9769294424590729E-2</v>
      </c>
      <c r="F2" s="7">
        <f>$B2 * IFERROR(VLOOKUP("transport|PM25|Premature mortality", US_national_yearly!$D:$AM, 14, FALSE) / VLOOKUP("transport|PM25|Premature mortality", US_national_yearly!$D:$AM, 10, FALSE), 1)</f>
        <v>3.0125133560069482E-2</v>
      </c>
      <c r="G2" s="7">
        <f>$B2 * IFERROR(VLOOKUP("transport|PM25|Premature mortality", US_national_yearly!$D:$AM, 15, FALSE) / VLOOKUP("transport|PM25|Premature mortality", US_national_yearly!$D:$AM, 10, FALSE), 1)</f>
        <v>3.0818127592739129E-2</v>
      </c>
      <c r="H2" s="7">
        <f>$B2 * IFERROR(VLOOKUP("transport|PM25|Premature mortality", US_national_yearly!$D:$AM, 16, FALSE) / VLOOKUP("transport|PM25|Premature mortality", US_national_yearly!$D:$AM, 10, FALSE), 1)</f>
        <v>3.1511121625408776E-2</v>
      </c>
      <c r="I2" s="7">
        <f>$B2 * IFERROR(VLOOKUP("transport|PM25|Premature mortality", US_national_yearly!$D:$AM, 17, FALSE) / VLOOKUP("transport|PM25|Premature mortality", US_national_yearly!$D:$AM, 10, FALSE), 1)</f>
        <v>3.1966309277743854E-2</v>
      </c>
      <c r="J2" s="7">
        <f>$B2 * IFERROR(VLOOKUP("transport|PM25|Premature mortality", US_national_yearly!$D:$AM, 18, FALSE) / VLOOKUP("transport|PM25|Premature mortality", US_national_yearly!$D:$AM, 10, FALSE), 1)</f>
        <v>3.2421496930078952E-2</v>
      </c>
      <c r="K2" s="7">
        <f>$B2 * IFERROR(VLOOKUP("transport|PM25|Premature mortality", US_national_yearly!$D:$AM, 19, FALSE) / VLOOKUP("transport|PM25|Premature mortality", US_national_yearly!$D:$AM, 10, FALSE), 1)</f>
        <v>3.2876684582414037E-2</v>
      </c>
      <c r="L2" s="7">
        <f>$B2 * IFERROR(VLOOKUP("transport|PM25|Premature mortality", US_national_yearly!$D:$AM, 20, FALSE) / VLOOKUP("transport|PM25|Premature mortality", US_national_yearly!$D:$AM, 10, FALSE), 1)</f>
        <v>3.3331872234749135E-2</v>
      </c>
      <c r="M2" s="7">
        <f>$B2 * IFERROR(VLOOKUP("transport|PM25|Premature mortality", US_national_yearly!$D:$AM, 21, FALSE) / VLOOKUP("transport|PM25|Premature mortality", US_national_yearly!$D:$AM, 10, FALSE), 1)</f>
        <v>3.378705988708422E-2</v>
      </c>
      <c r="N2" s="7">
        <f>$B2 * IFERROR(VLOOKUP("transport|PM25|Premature mortality", US_national_yearly!$D:$AM, 22, FALSE) / VLOOKUP("transport|PM25|Premature mortality", US_national_yearly!$D:$AM, 10, FALSE), 1)</f>
        <v>3.414048412914153E-2</v>
      </c>
      <c r="O2" s="7">
        <f>$B2 * IFERROR(VLOOKUP("transport|PM25|Premature mortality", US_national_yearly!$D:$AM, 23, FALSE) / VLOOKUP("transport|PM25|Premature mortality", US_national_yearly!$D:$AM, 10, FALSE), 1)</f>
        <v>3.4493908371198846E-2</v>
      </c>
      <c r="P2" s="7">
        <f>$B2 * IFERROR(VLOOKUP("transport|PM25|Premature mortality", US_national_yearly!$D:$AM, 24, FALSE) / VLOOKUP("transport|PM25|Premature mortality", US_national_yearly!$D:$AM, 10, FALSE), 1)</f>
        <v>3.4847332613256156E-2</v>
      </c>
      <c r="Q2" s="7">
        <f>$B2 * IFERROR(VLOOKUP("transport|PM25|Premature mortality", US_national_yearly!$D:$AM, 25, FALSE) / VLOOKUP("transport|PM25|Premature mortality", US_national_yearly!$D:$AM, 10, FALSE), 1)</f>
        <v>3.5200756855313473E-2</v>
      </c>
      <c r="R2" s="7">
        <f>$B2 * IFERROR(VLOOKUP("transport|PM25|Premature mortality", US_national_yearly!$D:$AM, 26, FALSE) / VLOOKUP("transport|PM25|Premature mortality", US_national_yearly!$D:$AM, 10, FALSE), 1)</f>
        <v>3.5554181097370789E-2</v>
      </c>
      <c r="S2" s="7">
        <f>$B2 * IFERROR(VLOOKUP("transport|PM25|Premature mortality", US_national_yearly!$D:$AM, 27, FALSE) / VLOOKUP("transport|PM25|Premature mortality", US_national_yearly!$D:$AM, 10, FALSE), 1)</f>
        <v>3.5741414760228532E-2</v>
      </c>
      <c r="T2" s="7">
        <f>$B2 * IFERROR(VLOOKUP("transport|PM25|Premature mortality", US_national_yearly!$D:$AM, 28, FALSE) / VLOOKUP("transport|PM25|Premature mortality", US_national_yearly!$D:$AM, 10, FALSE), 1)</f>
        <v>3.5928648423086268E-2</v>
      </c>
      <c r="U2" s="7">
        <f>$B2 * IFERROR(VLOOKUP("transport|PM25|Premature mortality", US_national_yearly!$D:$AM, 29, FALSE) / VLOOKUP("transport|PM25|Premature mortality", US_national_yearly!$D:$AM, 10, FALSE), 1)</f>
        <v>3.6115882085944004E-2</v>
      </c>
      <c r="V2" s="7">
        <f>$B2 * IFERROR(VLOOKUP("transport|PM25|Premature mortality", US_national_yearly!$D:$AM, 30, FALSE) / VLOOKUP("transport|PM25|Premature mortality", US_national_yearly!$D:$AM, 10, FALSE), 1)</f>
        <v>3.630311574880174E-2</v>
      </c>
      <c r="W2" s="7">
        <f>$B2 * IFERROR(VLOOKUP("transport|PM25|Premature mortality", US_national_yearly!$D:$AM, 31, FALSE) / VLOOKUP("transport|PM25|Premature mortality", US_national_yearly!$D:$AM, 10, FALSE), 1)</f>
        <v>3.6490349411659476E-2</v>
      </c>
      <c r="X2" s="7">
        <f>$B2 * IFERROR(VLOOKUP("transport|PM25|Premature mortality", US_national_yearly!$D:$AM, 32, FALSE) / VLOOKUP("transport|PM25|Premature mortality", US_national_yearly!$D:$AM, 10, FALSE), 1)</f>
        <v>3.6523088665962863E-2</v>
      </c>
      <c r="Y2" s="7">
        <f>$B2 * IFERROR(VLOOKUP("transport|PM25|Premature mortality", US_national_yearly!$D:$AM, 33, FALSE) / VLOOKUP("transport|PM25|Premature mortality", US_national_yearly!$D:$AM, 10, FALSE), 1)</f>
        <v>3.6555827920266265E-2</v>
      </c>
      <c r="Z2" s="7">
        <f>$B2 * IFERROR(VLOOKUP("transport|PM25|Premature mortality", US_national_yearly!$D:$AM, 34, FALSE) / VLOOKUP("transport|PM25|Premature mortality", US_national_yearly!$D:$AM, 10, FALSE), 1)</f>
        <v>3.6588567174569653E-2</v>
      </c>
      <c r="AA2" s="7">
        <f>$B2 * IFERROR(VLOOKUP("transport|PM25|Premature mortality", US_national_yearly!$D:$AM, 35, FALSE) / VLOOKUP("transport|PM25|Premature mortality", US_national_yearly!$D:$AM, 10, FALSE), 1)</f>
        <v>3.6621306428873054E-2</v>
      </c>
      <c r="AB2" s="7">
        <f>$B2 * IFERROR(VLOOKUP("transport|PM25|Premature mortality", US_national_yearly!$D:$AM, 36, FALSE) / VLOOKUP("transport|PM25|Premature mortality", US_national_yearly!$D:$AM, 10, FALSE), 1)</f>
        <v>3.6654045683176442E-2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9.1724379237604256E-5</v>
      </c>
      <c r="C3" s="7">
        <f>$B3 * IFERROR(VLOOKUP("transport|PM25|Infant mortality", US_national_yearly!$D:$AM, 11, FALSE) / VLOOKUP("transport|PM25|Infant mortality", US_national_yearly!$D:$AM, 10, FALSE), 1)</f>
        <v>9.0924626349744991E-5</v>
      </c>
      <c r="D3" s="7">
        <f>$B3 * IFERROR(VLOOKUP("transport|PM25|Infant mortality", US_national_yearly!$D:$AM, 12, FALSE) / VLOOKUP("transport|PM25|Infant mortality", US_national_yearly!$D:$AM, 10, FALSE), 1)</f>
        <v>9.0124873461885726E-5</v>
      </c>
      <c r="E3" s="7">
        <f>$B3 * IFERROR(VLOOKUP("transport|PM25|Infant mortality", US_national_yearly!$D:$AM, 13, FALSE) / VLOOKUP("transport|PM25|Infant mortality", US_national_yearly!$D:$AM, 10, FALSE), 1)</f>
        <v>8.932512057402646E-5</v>
      </c>
      <c r="F3" s="7">
        <f>$B3 * IFERROR(VLOOKUP("transport|PM25|Infant mortality", US_national_yearly!$D:$AM, 14, FALSE) / VLOOKUP("transport|PM25|Infant mortality", US_national_yearly!$D:$AM, 10, FALSE), 1)</f>
        <v>8.8525367686167182E-5</v>
      </c>
      <c r="G3" s="7">
        <f>$B3 * IFERROR(VLOOKUP("transport|PM25|Infant mortality", US_national_yearly!$D:$AM, 15, FALSE) / VLOOKUP("transport|PM25|Infant mortality", US_national_yearly!$D:$AM, 10, FALSE), 1)</f>
        <v>5.8874104906381758E-5</v>
      </c>
      <c r="H3" s="7">
        <f>$B3 * IFERROR(VLOOKUP("transport|PM25|Infant mortality", US_national_yearly!$D:$AM, 16, FALSE) / VLOOKUP("transport|PM25|Infant mortality", US_national_yearly!$D:$AM, 10, FALSE), 1)</f>
        <v>2.9222842126596317E-5</v>
      </c>
      <c r="I3" s="7">
        <f>$B3 * IFERROR(VLOOKUP("transport|PM25|Infant mortality", US_national_yearly!$D:$AM, 17, FALSE) / VLOOKUP("transport|PM25|Infant mortality", US_national_yearly!$D:$AM, 10, FALSE), 1)</f>
        <v>2.9031822581468703E-5</v>
      </c>
      <c r="J3" s="7">
        <f>$B3 * IFERROR(VLOOKUP("transport|PM25|Infant mortality", US_national_yearly!$D:$AM, 18, FALSE) / VLOOKUP("transport|PM25|Infant mortality", US_national_yearly!$D:$AM, 10, FALSE), 1)</f>
        <v>2.8840803036341083E-5</v>
      </c>
      <c r="K3" s="7">
        <f>$B3 * IFERROR(VLOOKUP("transport|PM25|Infant mortality", US_national_yearly!$D:$AM, 19, FALSE) / VLOOKUP("transport|PM25|Infant mortality", US_national_yearly!$D:$AM, 10, FALSE), 1)</f>
        <v>2.8649783491213463E-5</v>
      </c>
      <c r="L3" s="7">
        <f>$B3 * IFERROR(VLOOKUP("transport|PM25|Infant mortality", US_national_yearly!$D:$AM, 20, FALSE) / VLOOKUP("transport|PM25|Infant mortality", US_national_yearly!$D:$AM, 10, FALSE), 1)</f>
        <v>2.8458763946085849E-5</v>
      </c>
      <c r="M3" s="7">
        <f>$B3 * IFERROR(VLOOKUP("transport|PM25|Infant mortality", US_national_yearly!$D:$AM, 21, FALSE) / VLOOKUP("transport|PM25|Infant mortality", US_national_yearly!$D:$AM, 10, FALSE), 1)</f>
        <v>2.8267744400958235E-5</v>
      </c>
      <c r="N3" s="7">
        <f>$B3 * IFERROR(VLOOKUP("transport|PM25|Infant mortality", US_national_yearly!$D:$AM, 22, FALSE) / VLOOKUP("transport|PM25|Infant mortality", US_national_yearly!$D:$AM, 10, FALSE), 1)</f>
        <v>2.8147762978689045E-5</v>
      </c>
      <c r="O3" s="7">
        <f>$B3 * IFERROR(VLOOKUP("transport|PM25|Infant mortality", US_national_yearly!$D:$AM, 23, FALSE) / VLOOKUP("transport|PM25|Infant mortality", US_national_yearly!$D:$AM, 10, FALSE), 1)</f>
        <v>2.8027781556419857E-5</v>
      </c>
      <c r="P3" s="7">
        <f>$B3 * IFERROR(VLOOKUP("transport|PM25|Infant mortality", US_national_yearly!$D:$AM, 24, FALSE) / VLOOKUP("transport|PM25|Infant mortality", US_national_yearly!$D:$AM, 10, FALSE), 1)</f>
        <v>2.790780013415066E-5</v>
      </c>
      <c r="Q3" s="7">
        <f>$B3 * IFERROR(VLOOKUP("transport|PM25|Infant mortality", US_national_yearly!$D:$AM, 25, FALSE) / VLOOKUP("transport|PM25|Infant mortality", US_national_yearly!$D:$AM, 10, FALSE), 1)</f>
        <v>2.7787818711881476E-5</v>
      </c>
      <c r="R3" s="7">
        <f>$B3 * IFERROR(VLOOKUP("transport|PM25|Infant mortality", US_national_yearly!$D:$AM, 26, FALSE) / VLOOKUP("transport|PM25|Infant mortality", US_national_yearly!$D:$AM, 10, FALSE), 1)</f>
        <v>2.7667837289612285E-5</v>
      </c>
      <c r="S3" s="7">
        <f>$B3 * IFERROR(VLOOKUP("transport|PM25|Infant mortality", US_national_yearly!$D:$AM, 27, FALSE) / VLOOKUP("transport|PM25|Infant mortality", US_national_yearly!$D:$AM, 10, FALSE), 1)</f>
        <v>2.7518277993541754E-5</v>
      </c>
      <c r="T3" s="7">
        <f>$B3 * IFERROR(VLOOKUP("transport|PM25|Infant mortality", US_national_yearly!$D:$AM, 28, FALSE) / VLOOKUP("transport|PM25|Infant mortality", US_national_yearly!$D:$AM, 10, FALSE), 1)</f>
        <v>2.7368718697471219E-5</v>
      </c>
      <c r="U3" s="7">
        <f>$B3 * IFERROR(VLOOKUP("transport|PM25|Infant mortality", US_national_yearly!$D:$AM, 29, FALSE) / VLOOKUP("transport|PM25|Infant mortality", US_national_yearly!$D:$AM, 10, FALSE), 1)</f>
        <v>2.721915940140069E-5</v>
      </c>
      <c r="V3" s="7">
        <f>$B3 * IFERROR(VLOOKUP("transport|PM25|Infant mortality", US_national_yearly!$D:$AM, 30, FALSE) / VLOOKUP("transport|PM25|Infant mortality", US_national_yearly!$D:$AM, 10, FALSE), 1)</f>
        <v>2.7069600105330159E-5</v>
      </c>
      <c r="W3" s="7">
        <f>$B3 * IFERROR(VLOOKUP("transport|PM25|Infant mortality", US_national_yearly!$D:$AM, 31, FALSE) / VLOOKUP("transport|PM25|Infant mortality", US_national_yearly!$D:$AM, 10, FALSE), 1)</f>
        <v>2.6920040809259624E-5</v>
      </c>
      <c r="X3" s="7">
        <f>$B3 * IFERROR(VLOOKUP("transport|PM25|Infant mortality", US_national_yearly!$D:$AM, 32, FALSE) / VLOOKUP("transport|PM25|Infant mortality", US_national_yearly!$D:$AM, 10, FALSE), 1)</f>
        <v>2.6758797090464176E-5</v>
      </c>
      <c r="Y3" s="7">
        <f>$B3 * IFERROR(VLOOKUP("transport|PM25|Infant mortality", US_national_yearly!$D:$AM, 33, FALSE) / VLOOKUP("transport|PM25|Infant mortality", US_national_yearly!$D:$AM, 10, FALSE), 1)</f>
        <v>2.6597553371668715E-5</v>
      </c>
      <c r="Z3" s="7">
        <f>$B3 * IFERROR(VLOOKUP("transport|PM25|Infant mortality", US_national_yearly!$D:$AM, 34, FALSE) / VLOOKUP("transport|PM25|Infant mortality", US_national_yearly!$D:$AM, 10, FALSE), 1)</f>
        <v>2.6436309652873268E-5</v>
      </c>
      <c r="AA3" s="7">
        <f>$B3 * IFERROR(VLOOKUP("transport|PM25|Infant mortality", US_national_yearly!$D:$AM, 35, FALSE) / VLOOKUP("transport|PM25|Infant mortality", US_national_yearly!$D:$AM, 10, FALSE), 1)</f>
        <v>2.6275065934077813E-5</v>
      </c>
      <c r="AB3" s="7">
        <f>$B3 * IFERROR(VLOOKUP("transport|PM25|Infant mortality", US_national_yearly!$D:$AM, 36, FALSE) / VLOOKUP("transport|PM25|Infant mortality", US_national_yearly!$D:$AM, 10, FALSE), 1)</f>
        <v>2.6113822215282362E-5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7.7283767666891559E-2</v>
      </c>
      <c r="C6" s="7">
        <f>$B6 * IFERROR(VLOOKUP("transport|PM25|Asthma symptoms cough", US_national_yearly!$D:$AM, 11, FALSE) / VLOOKUP("transport|PM25|Asthma symptoms cough", US_national_yearly!$D:$AM, 10, FALSE), 1)</f>
        <v>7.7283767666891559E-2</v>
      </c>
      <c r="D6" s="7">
        <f>$B6 * IFERROR(VLOOKUP("transport|PM25|Asthma symptoms cough", US_national_yearly!$D:$AM, 12, FALSE) / VLOOKUP("transport|PM25|Asthma symptoms cough", US_national_yearly!$D:$AM, 10, FALSE), 1)</f>
        <v>7.7283767666891559E-2</v>
      </c>
      <c r="E6" s="7">
        <f>$B6 * IFERROR(VLOOKUP("transport|PM25|Asthma symptoms cough", US_national_yearly!$D:$AM, 13, FALSE) / VLOOKUP("transport|PM25|Asthma symptoms cough", US_national_yearly!$D:$AM, 10, FALSE), 1)</f>
        <v>7.7283767666891559E-2</v>
      </c>
      <c r="F6" s="7">
        <f>$B6 * IFERROR(VLOOKUP("transport|PM25|Asthma symptoms cough", US_national_yearly!$D:$AM, 14, FALSE) / VLOOKUP("transport|PM25|Asthma symptoms cough", US_national_yearly!$D:$AM, 10, FALSE), 1)</f>
        <v>7.7283767666891559E-2</v>
      </c>
      <c r="G6" s="7">
        <f>$B6 * IFERROR(VLOOKUP("transport|PM25|Asthma symptoms cough", US_national_yearly!$D:$AM, 15, FALSE) / VLOOKUP("transport|PM25|Asthma symptoms cough", US_national_yearly!$D:$AM, 10, FALSE), 1)</f>
        <v>7.7283767666891559E-2</v>
      </c>
      <c r="H6" s="7">
        <f>$B6 * IFERROR(VLOOKUP("transport|PM25|Asthma symptoms cough", US_national_yearly!$D:$AM, 16, FALSE) / VLOOKUP("transport|PM25|Asthma symptoms cough", US_national_yearly!$D:$AM, 10, FALSE), 1)</f>
        <v>7.7283767666891559E-2</v>
      </c>
      <c r="I6" s="7">
        <f>$B6 * IFERROR(VLOOKUP("transport|PM25|Asthma symptoms cough", US_national_yearly!$D:$AM, 17, FALSE) / VLOOKUP("transport|PM25|Asthma symptoms cough", US_national_yearly!$D:$AM, 10, FALSE), 1)</f>
        <v>7.7283767666891559E-2</v>
      </c>
      <c r="J6" s="7">
        <f>$B6 * IFERROR(VLOOKUP("transport|PM25|Asthma symptoms cough", US_national_yearly!$D:$AM, 18, FALSE) / VLOOKUP("transport|PM25|Asthma symptoms cough", US_national_yearly!$D:$AM, 10, FALSE), 1)</f>
        <v>7.7283767666891559E-2</v>
      </c>
      <c r="K6" s="7">
        <f>$B6 * IFERROR(VLOOKUP("transport|PM25|Asthma symptoms cough", US_national_yearly!$D:$AM, 19, FALSE) / VLOOKUP("transport|PM25|Asthma symptoms cough", US_national_yearly!$D:$AM, 10, FALSE), 1)</f>
        <v>7.7283767666891559E-2</v>
      </c>
      <c r="L6" s="7">
        <f>$B6 * IFERROR(VLOOKUP("transport|PM25|Asthma symptoms cough", US_national_yearly!$D:$AM, 20, FALSE) / VLOOKUP("transport|PM25|Asthma symptoms cough", US_national_yearly!$D:$AM, 10, FALSE), 1)</f>
        <v>7.7283767666891559E-2</v>
      </c>
      <c r="M6" s="7">
        <f>$B6 * IFERROR(VLOOKUP("transport|PM25|Asthma symptoms cough", US_national_yearly!$D:$AM, 21, FALSE) / VLOOKUP("transport|PM25|Asthma symptoms cough", US_national_yearly!$D:$AM, 10, FALSE), 1)</f>
        <v>7.7283767666891559E-2</v>
      </c>
      <c r="N6" s="7">
        <f>$B6 * IFERROR(VLOOKUP("transport|PM25|Asthma symptoms cough", US_national_yearly!$D:$AM, 22, FALSE) / VLOOKUP("transport|PM25|Asthma symptoms cough", US_national_yearly!$D:$AM, 10, FALSE), 1)</f>
        <v>7.7283767666891559E-2</v>
      </c>
      <c r="O6" s="7">
        <f>$B6 * IFERROR(VLOOKUP("transport|PM25|Asthma symptoms cough", US_national_yearly!$D:$AM, 23, FALSE) / VLOOKUP("transport|PM25|Asthma symptoms cough", US_national_yearly!$D:$AM, 10, FALSE), 1)</f>
        <v>7.7283767666891559E-2</v>
      </c>
      <c r="P6" s="7">
        <f>$B6 * IFERROR(VLOOKUP("transport|PM25|Asthma symptoms cough", US_national_yearly!$D:$AM, 24, FALSE) / VLOOKUP("transport|PM25|Asthma symptoms cough", US_national_yearly!$D:$AM, 10, FALSE), 1)</f>
        <v>7.7283767666891559E-2</v>
      </c>
      <c r="Q6" s="7">
        <f>$B6 * IFERROR(VLOOKUP("transport|PM25|Asthma symptoms cough", US_national_yearly!$D:$AM, 25, FALSE) / VLOOKUP("transport|PM25|Asthma symptoms cough", US_national_yearly!$D:$AM, 10, FALSE), 1)</f>
        <v>7.7283767666891559E-2</v>
      </c>
      <c r="R6" s="7">
        <f>$B6 * IFERROR(VLOOKUP("transport|PM25|Asthma symptoms cough", US_national_yearly!$D:$AM, 26, FALSE) / VLOOKUP("transport|PM25|Asthma symptoms cough", US_national_yearly!$D:$AM, 10, FALSE), 1)</f>
        <v>7.7283767666891559E-2</v>
      </c>
      <c r="S6" s="7">
        <f>$B6 * IFERROR(VLOOKUP("transport|PM25|Asthma symptoms cough", US_national_yearly!$D:$AM, 27, FALSE) / VLOOKUP("transport|PM25|Asthma symptoms cough", US_national_yearly!$D:$AM, 10, FALSE), 1)</f>
        <v>7.7283767666891559E-2</v>
      </c>
      <c r="T6" s="7">
        <f>$B6 * IFERROR(VLOOKUP("transport|PM25|Asthma symptoms cough", US_national_yearly!$D:$AM, 28, FALSE) / VLOOKUP("transport|PM25|Asthma symptoms cough", US_national_yearly!$D:$AM, 10, FALSE), 1)</f>
        <v>7.7283767666891559E-2</v>
      </c>
      <c r="U6" s="7">
        <f>$B6 * IFERROR(VLOOKUP("transport|PM25|Asthma symptoms cough", US_national_yearly!$D:$AM, 29, FALSE) / VLOOKUP("transport|PM25|Asthma symptoms cough", US_national_yearly!$D:$AM, 10, FALSE), 1)</f>
        <v>7.7283767666891559E-2</v>
      </c>
      <c r="V6" s="7">
        <f>$B6 * IFERROR(VLOOKUP("transport|PM25|Asthma symptoms cough", US_national_yearly!$D:$AM, 30, FALSE) / VLOOKUP("transport|PM25|Asthma symptoms cough", US_national_yearly!$D:$AM, 10, FALSE), 1)</f>
        <v>7.7283767666891559E-2</v>
      </c>
      <c r="W6" s="7">
        <f>$B6 * IFERROR(VLOOKUP("transport|PM25|Asthma symptoms cough", US_national_yearly!$D:$AM, 31, FALSE) / VLOOKUP("transport|PM25|Asthma symptoms cough", US_national_yearly!$D:$AM, 10, FALSE), 1)</f>
        <v>7.7283767666891559E-2</v>
      </c>
      <c r="X6" s="7">
        <f>$B6 * IFERROR(VLOOKUP("transport|PM25|Asthma symptoms cough", US_national_yearly!$D:$AM, 32, FALSE) / VLOOKUP("transport|PM25|Asthma symptoms cough", US_national_yearly!$D:$AM, 10, FALSE), 1)</f>
        <v>7.7283767666891559E-2</v>
      </c>
      <c r="Y6" s="7">
        <f>$B6 * IFERROR(VLOOKUP("transport|PM25|Asthma symptoms cough", US_national_yearly!$D:$AM, 33, FALSE) / VLOOKUP("transport|PM25|Asthma symptoms cough", US_national_yearly!$D:$AM, 10, FALSE), 1)</f>
        <v>7.7283767666891559E-2</v>
      </c>
      <c r="Z6" s="7">
        <f>$B6 * IFERROR(VLOOKUP("transport|PM25|Asthma symptoms cough", US_national_yearly!$D:$AM, 34, FALSE) / VLOOKUP("transport|PM25|Asthma symptoms cough", US_national_yearly!$D:$AM, 10, FALSE), 1)</f>
        <v>7.7283767666891559E-2</v>
      </c>
      <c r="AA6" s="7">
        <f>$B6 * IFERROR(VLOOKUP("transport|PM25|Asthma symptoms cough", US_national_yearly!$D:$AM, 35, FALSE) / VLOOKUP("transport|PM25|Asthma symptoms cough", US_national_yearly!$D:$AM, 10, FALSE), 1)</f>
        <v>7.7283767666891559E-2</v>
      </c>
      <c r="AB6" s="7">
        <f>$B6 * IFERROR(VLOOKUP("transport|PM25|Asthma symptoms cough", US_national_yearly!$D:$AM, 36, FALSE) / VLOOKUP("transport|PM25|Asthma symptoms cough", US_national_yearly!$D:$AM, 10, FALSE), 1)</f>
        <v>7.7283767666891559E-2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0.10407003121064801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0.10407003121064801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0.10407003121064801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0.10407003121064801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0.10407003121064801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0.10407003121064801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0.10407003121064801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0.10407003121064801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0.10407003121064801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0.10407003121064801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0.10407003121064801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0.10407003121064801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0.10407003121064801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0.10407003121064801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0.10407003121064801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0.10407003121064801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0.10407003121064801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0.10407003121064801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0.10407003121064801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0.10407003121064801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0.10407003121064801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0.10407003121064801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0.10407003121064801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0.10407003121064801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0.10407003121064801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0.10407003121064801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0.10407003121064801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0.15901483198059363</v>
      </c>
      <c r="C8" s="7">
        <f>$B8 * IFERROR(VLOOKUP("transport|PM25|Asthma symptoms wheeze", US_national_yearly!$D:$AM, 11, FALSE) / VLOOKUP("transport|PM25|Asthma symptoms wheeze", US_national_yearly!$D:$AM, 10, FALSE), 1)</f>
        <v>0.15901483198059363</v>
      </c>
      <c r="D8" s="7">
        <f>$B8 * IFERROR(VLOOKUP("transport|PM25|Asthma symptoms wheeze", US_national_yearly!$D:$AM, 12, FALSE) / VLOOKUP("transport|PM25|Asthma symptoms wheeze", US_national_yearly!$D:$AM, 10, FALSE), 1)</f>
        <v>0.15901483198059363</v>
      </c>
      <c r="E8" s="7">
        <f>$B8 * IFERROR(VLOOKUP("transport|PM25|Asthma symptoms wheeze", US_national_yearly!$D:$AM, 13, FALSE) / VLOOKUP("transport|PM25|Asthma symptoms wheeze", US_national_yearly!$D:$AM, 10, FALSE), 1)</f>
        <v>0.15901483198059363</v>
      </c>
      <c r="F8" s="7">
        <f>$B8 * IFERROR(VLOOKUP("transport|PM25|Asthma symptoms wheeze", US_national_yearly!$D:$AM, 14, FALSE) / VLOOKUP("transport|PM25|Asthma symptoms wheeze", US_national_yearly!$D:$AM, 10, FALSE), 1)</f>
        <v>0.15901483198059363</v>
      </c>
      <c r="G8" s="7">
        <f>$B8 * IFERROR(VLOOKUP("transport|PM25|Asthma symptoms wheeze", US_national_yearly!$D:$AM, 15, FALSE) / VLOOKUP("transport|PM25|Asthma symptoms wheeze", US_national_yearly!$D:$AM, 10, FALSE), 1)</f>
        <v>0.15901483198059363</v>
      </c>
      <c r="H8" s="7">
        <f>$B8 * IFERROR(VLOOKUP("transport|PM25|Asthma symptoms wheeze", US_national_yearly!$D:$AM, 16, FALSE) / VLOOKUP("transport|PM25|Asthma symptoms wheeze", US_national_yearly!$D:$AM, 10, FALSE), 1)</f>
        <v>0.15901483198059363</v>
      </c>
      <c r="I8" s="7">
        <f>$B8 * IFERROR(VLOOKUP("transport|PM25|Asthma symptoms wheeze", US_national_yearly!$D:$AM, 17, FALSE) / VLOOKUP("transport|PM25|Asthma symptoms wheeze", US_national_yearly!$D:$AM, 10, FALSE), 1)</f>
        <v>0.15901483198059363</v>
      </c>
      <c r="J8" s="7">
        <f>$B8 * IFERROR(VLOOKUP("transport|PM25|Asthma symptoms wheeze", US_national_yearly!$D:$AM, 18, FALSE) / VLOOKUP("transport|PM25|Asthma symptoms wheeze", US_national_yearly!$D:$AM, 10, FALSE), 1)</f>
        <v>0.15901483198059363</v>
      </c>
      <c r="K8" s="7">
        <f>$B8 * IFERROR(VLOOKUP("transport|PM25|Asthma symptoms wheeze", US_national_yearly!$D:$AM, 19, FALSE) / VLOOKUP("transport|PM25|Asthma symptoms wheeze", US_national_yearly!$D:$AM, 10, FALSE), 1)</f>
        <v>0.15901483198059363</v>
      </c>
      <c r="L8" s="7">
        <f>$B8 * IFERROR(VLOOKUP("transport|PM25|Asthma symptoms wheeze", US_national_yearly!$D:$AM, 20, FALSE) / VLOOKUP("transport|PM25|Asthma symptoms wheeze", US_national_yearly!$D:$AM, 10, FALSE), 1)</f>
        <v>0.15901483198059363</v>
      </c>
      <c r="M8" s="7">
        <f>$B8 * IFERROR(VLOOKUP("transport|PM25|Asthma symptoms wheeze", US_national_yearly!$D:$AM, 21, FALSE) / VLOOKUP("transport|PM25|Asthma symptoms wheeze", US_national_yearly!$D:$AM, 10, FALSE), 1)</f>
        <v>0.15901483198059363</v>
      </c>
      <c r="N8" s="7">
        <f>$B8 * IFERROR(VLOOKUP("transport|PM25|Asthma symptoms wheeze", US_national_yearly!$D:$AM, 22, FALSE) / VLOOKUP("transport|PM25|Asthma symptoms wheeze", US_national_yearly!$D:$AM, 10, FALSE), 1)</f>
        <v>0.15901483198059363</v>
      </c>
      <c r="O8" s="7">
        <f>$B8 * IFERROR(VLOOKUP("transport|PM25|Asthma symptoms wheeze", US_national_yearly!$D:$AM, 23, FALSE) / VLOOKUP("transport|PM25|Asthma symptoms wheeze", US_national_yearly!$D:$AM, 10, FALSE), 1)</f>
        <v>0.15901483198059363</v>
      </c>
      <c r="P8" s="7">
        <f>$B8 * IFERROR(VLOOKUP("transport|PM25|Asthma symptoms wheeze", US_national_yearly!$D:$AM, 24, FALSE) / VLOOKUP("transport|PM25|Asthma symptoms wheeze", US_national_yearly!$D:$AM, 10, FALSE), 1)</f>
        <v>0.15901483198059363</v>
      </c>
      <c r="Q8" s="7">
        <f>$B8 * IFERROR(VLOOKUP("transport|PM25|Asthma symptoms wheeze", US_national_yearly!$D:$AM, 25, FALSE) / VLOOKUP("transport|PM25|Asthma symptoms wheeze", US_national_yearly!$D:$AM, 10, FALSE), 1)</f>
        <v>0.15901483198059363</v>
      </c>
      <c r="R8" s="7">
        <f>$B8 * IFERROR(VLOOKUP("transport|PM25|Asthma symptoms wheeze", US_national_yearly!$D:$AM, 26, FALSE) / VLOOKUP("transport|PM25|Asthma symptoms wheeze", US_national_yearly!$D:$AM, 10, FALSE), 1)</f>
        <v>0.15901483198059363</v>
      </c>
      <c r="S8" s="7">
        <f>$B8 * IFERROR(VLOOKUP("transport|PM25|Asthma symptoms wheeze", US_national_yearly!$D:$AM, 27, FALSE) / VLOOKUP("transport|PM25|Asthma symptoms wheeze", US_national_yearly!$D:$AM, 10, FALSE), 1)</f>
        <v>0.15901483198059363</v>
      </c>
      <c r="T8" s="7">
        <f>$B8 * IFERROR(VLOOKUP("transport|PM25|Asthma symptoms wheeze", US_national_yearly!$D:$AM, 28, FALSE) / VLOOKUP("transport|PM25|Asthma symptoms wheeze", US_national_yearly!$D:$AM, 10, FALSE), 1)</f>
        <v>0.15901483198059363</v>
      </c>
      <c r="U8" s="7">
        <f>$B8 * IFERROR(VLOOKUP("transport|PM25|Asthma symptoms wheeze", US_national_yearly!$D:$AM, 29, FALSE) / VLOOKUP("transport|PM25|Asthma symptoms wheeze", US_national_yearly!$D:$AM, 10, FALSE), 1)</f>
        <v>0.15901483198059363</v>
      </c>
      <c r="V8" s="7">
        <f>$B8 * IFERROR(VLOOKUP("transport|PM25|Asthma symptoms wheeze", US_national_yearly!$D:$AM, 30, FALSE) / VLOOKUP("transport|PM25|Asthma symptoms wheeze", US_national_yearly!$D:$AM, 10, FALSE), 1)</f>
        <v>0.15901483198059363</v>
      </c>
      <c r="W8" s="7">
        <f>$B8 * IFERROR(VLOOKUP("transport|PM25|Asthma symptoms wheeze", US_national_yearly!$D:$AM, 31, FALSE) / VLOOKUP("transport|PM25|Asthma symptoms wheeze", US_national_yearly!$D:$AM, 10, FALSE), 1)</f>
        <v>0.15901483198059363</v>
      </c>
      <c r="X8" s="7">
        <f>$B8 * IFERROR(VLOOKUP("transport|PM25|Asthma symptoms wheeze", US_national_yearly!$D:$AM, 32, FALSE) / VLOOKUP("transport|PM25|Asthma symptoms wheeze", US_national_yearly!$D:$AM, 10, FALSE), 1)</f>
        <v>0.15901483198059363</v>
      </c>
      <c r="Y8" s="7">
        <f>$B8 * IFERROR(VLOOKUP("transport|PM25|Asthma symptoms wheeze", US_national_yearly!$D:$AM, 33, FALSE) / VLOOKUP("transport|PM25|Asthma symptoms wheeze", US_national_yearly!$D:$AM, 10, FALSE), 1)</f>
        <v>0.15901483198059363</v>
      </c>
      <c r="Z8" s="7">
        <f>$B8 * IFERROR(VLOOKUP("transport|PM25|Asthma symptoms wheeze", US_national_yearly!$D:$AM, 34, FALSE) / VLOOKUP("transport|PM25|Asthma symptoms wheeze", US_national_yearly!$D:$AM, 10, FALSE), 1)</f>
        <v>0.15901483198059363</v>
      </c>
      <c r="AA8" s="7">
        <f>$B8 * IFERROR(VLOOKUP("transport|PM25|Asthma symptoms wheeze", US_national_yearly!$D:$AM, 35, FALSE) / VLOOKUP("transport|PM25|Asthma symptoms wheeze", US_national_yearly!$D:$AM, 10, FALSE), 1)</f>
        <v>0.15901483198059363</v>
      </c>
      <c r="AB8" s="7">
        <f>$B8 * IFERROR(VLOOKUP("transport|PM25|Asthma symptoms wheeze", US_national_yearly!$D:$AM, 36, FALSE) / VLOOKUP("transport|PM25|Asthma symptoms wheeze", US_national_yearly!$D:$AM, 10, FALSE), 1)</f>
        <v>0.15901483198059363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1.9877160427091665E-3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1.9991088299032051E-3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2.0105016170972431E-3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2.0218944042912817E-3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2.0332871914853197E-3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2.0455918876173596E-3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2.0578965837493995E-3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2.0696532534049436E-3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2.0814099230604885E-3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2.0931665927160334E-3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2.1049232623715783E-3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2.1166799320271224E-3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2.1251180369200309E-3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2.1335561418129386E-3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2.1419942467058458E-3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2.1504323515987534E-3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2.1588704564916615E-3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2.1669046442208194E-3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2.1749388319499772E-3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2.182973019679135E-3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2.1910072074082928E-3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2.1990413951374502E-3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2.2067703862183661E-3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2.2144993772992808E-3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2.2222283683801963E-3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2.2299573594611109E-3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2.237686350542026E-3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1.2182051989880812E-2</v>
      </c>
      <c r="C13" s="7">
        <f>$B13 * IFERROR(VLOOKUP("transport|PM25|Non-fatal heart attacks", US_national_yearly!$D:$AM, 11, FALSE) / VLOOKUP("transport|PM25|Non-fatal heart attacks", US_national_yearly!$D:$AM, 10, FALSE), 1)</f>
        <v>1.2536216568692752E-2</v>
      </c>
      <c r="D13" s="7">
        <f>$B13 * IFERROR(VLOOKUP("transport|PM25|Non-fatal heart attacks", US_national_yearly!$D:$AM, 12, FALSE) / VLOOKUP("transport|PM25|Non-fatal heart attacks", US_national_yearly!$D:$AM, 10, FALSE), 1)</f>
        <v>1.2890381147504692E-2</v>
      </c>
      <c r="E13" s="7">
        <f>$B13 * IFERROR(VLOOKUP("transport|PM25|Non-fatal heart attacks", US_national_yearly!$D:$AM, 13, FALSE) / VLOOKUP("transport|PM25|Non-fatal heart attacks", US_national_yearly!$D:$AM, 10, FALSE), 1)</f>
        <v>1.324454572631663E-2</v>
      </c>
      <c r="F13" s="7">
        <f>$B13 * IFERROR(VLOOKUP("transport|PM25|Non-fatal heart attacks", US_national_yearly!$D:$AM, 14, FALSE) / VLOOKUP("transport|PM25|Non-fatal heart attacks", US_national_yearly!$D:$AM, 10, FALSE), 1)</f>
        <v>1.3598710305128572E-2</v>
      </c>
      <c r="G13" s="7">
        <f>$B13 * IFERROR(VLOOKUP("transport|PM25|Non-fatal heart attacks", US_national_yearly!$D:$AM, 15, FALSE) / VLOOKUP("transport|PM25|Non-fatal heart attacks", US_national_yearly!$D:$AM, 10, FALSE), 1)</f>
        <v>1.3932709892798829E-2</v>
      </c>
      <c r="H13" s="7">
        <f>$B13 * IFERROR(VLOOKUP("transport|PM25|Non-fatal heart attacks", US_national_yearly!$D:$AM, 16, FALSE) / VLOOKUP("transport|PM25|Non-fatal heart attacks", US_national_yearly!$D:$AM, 10, FALSE), 1)</f>
        <v>1.4266709480469084E-2</v>
      </c>
      <c r="I13" s="7">
        <f>$B13 * IFERROR(VLOOKUP("transport|PM25|Non-fatal heart attacks", US_national_yearly!$D:$AM, 17, FALSE) / VLOOKUP("transport|PM25|Non-fatal heart attacks", US_national_yearly!$D:$AM, 10, FALSE), 1)</f>
        <v>1.4535134008921306E-2</v>
      </c>
      <c r="J13" s="7">
        <f>$B13 * IFERROR(VLOOKUP("transport|PM25|Non-fatal heart attacks", US_national_yearly!$D:$AM, 18, FALSE) / VLOOKUP("transport|PM25|Non-fatal heart attacks", US_national_yearly!$D:$AM, 10, FALSE), 1)</f>
        <v>1.4803558537373529E-2</v>
      </c>
      <c r="K13" s="7">
        <f>$B13 * IFERROR(VLOOKUP("transport|PM25|Non-fatal heart attacks", US_national_yearly!$D:$AM, 19, FALSE) / VLOOKUP("transport|PM25|Non-fatal heart attacks", US_national_yearly!$D:$AM, 10, FALSE), 1)</f>
        <v>1.5071983065825755E-2</v>
      </c>
      <c r="L13" s="7">
        <f>$B13 * IFERROR(VLOOKUP("transport|PM25|Non-fatal heart attacks", US_national_yearly!$D:$AM, 20, FALSE) / VLOOKUP("transport|PM25|Non-fatal heart attacks", US_national_yearly!$D:$AM, 10, FALSE), 1)</f>
        <v>1.5340407594277978E-2</v>
      </c>
      <c r="M13" s="7">
        <f>$B13 * IFERROR(VLOOKUP("transport|PM25|Non-fatal heart attacks", US_national_yearly!$D:$AM, 21, FALSE) / VLOOKUP("transport|PM25|Non-fatal heart attacks", US_national_yearly!$D:$AM, 10, FALSE), 1)</f>
        <v>1.5608832122730202E-2</v>
      </c>
      <c r="N13" s="7">
        <f>$B13 * IFERROR(VLOOKUP("transport|PM25|Non-fatal heart attacks", US_national_yearly!$D:$AM, 22, FALSE) / VLOOKUP("transport|PM25|Non-fatal heart attacks", US_national_yearly!$D:$AM, 10, FALSE), 1)</f>
        <v>1.5781939437873069E-2</v>
      </c>
      <c r="O13" s="7">
        <f>$B13 * IFERROR(VLOOKUP("transport|PM25|Non-fatal heart attacks", US_national_yearly!$D:$AM, 23, FALSE) / VLOOKUP("transport|PM25|Non-fatal heart attacks", US_national_yearly!$D:$AM, 10, FALSE), 1)</f>
        <v>1.5955046753015935E-2</v>
      </c>
      <c r="P13" s="7">
        <f>$B13 * IFERROR(VLOOKUP("transport|PM25|Non-fatal heart attacks", US_national_yearly!$D:$AM, 24, FALSE) / VLOOKUP("transport|PM25|Non-fatal heart attacks", US_national_yearly!$D:$AM, 10, FALSE), 1)</f>
        <v>1.6128154068158804E-2</v>
      </c>
      <c r="Q13" s="7">
        <f>$B13 * IFERROR(VLOOKUP("transport|PM25|Non-fatal heart attacks", US_national_yearly!$D:$AM, 25, FALSE) / VLOOKUP("transport|PM25|Non-fatal heart attacks", US_national_yearly!$D:$AM, 10, FALSE), 1)</f>
        <v>1.6301261383301669E-2</v>
      </c>
      <c r="R13" s="7">
        <f>$B13 * IFERROR(VLOOKUP("transport|PM25|Non-fatal heart attacks", US_national_yearly!$D:$AM, 26, FALSE) / VLOOKUP("transport|PM25|Non-fatal heart attacks", US_national_yearly!$D:$AM, 10, FALSE), 1)</f>
        <v>1.6474368698444534E-2</v>
      </c>
      <c r="S13" s="7">
        <f>$B13 * IFERROR(VLOOKUP("transport|PM25|Non-fatal heart attacks", US_national_yearly!$D:$AM, 27, FALSE) / VLOOKUP("transport|PM25|Non-fatal heart attacks", US_national_yearly!$D:$AM, 10, FALSE), 1)</f>
        <v>1.6565531956237018E-2</v>
      </c>
      <c r="T13" s="7">
        <f>$B13 * IFERROR(VLOOKUP("transport|PM25|Non-fatal heart attacks", US_national_yearly!$D:$AM, 28, FALSE) / VLOOKUP("transport|PM25|Non-fatal heart attacks", US_national_yearly!$D:$AM, 10, FALSE), 1)</f>
        <v>1.6656695214029505E-2</v>
      </c>
      <c r="U13" s="7">
        <f>$B13 * IFERROR(VLOOKUP("transport|PM25|Non-fatal heart attacks", US_national_yearly!$D:$AM, 29, FALSE) / VLOOKUP("transport|PM25|Non-fatal heart attacks", US_national_yearly!$D:$AM, 10, FALSE), 1)</f>
        <v>1.6747858471821996E-2</v>
      </c>
      <c r="V13" s="7">
        <f>$B13 * IFERROR(VLOOKUP("transport|PM25|Non-fatal heart attacks", US_national_yearly!$D:$AM, 30, FALSE) / VLOOKUP("transport|PM25|Non-fatal heart attacks", US_national_yearly!$D:$AM, 10, FALSE), 1)</f>
        <v>1.6839021729614479E-2</v>
      </c>
      <c r="W13" s="7">
        <f>$B13 * IFERROR(VLOOKUP("transport|PM25|Non-fatal heart attacks", US_national_yearly!$D:$AM, 31, FALSE) / VLOOKUP("transport|PM25|Non-fatal heart attacks", US_national_yearly!$D:$AM, 10, FALSE), 1)</f>
        <v>1.6930184987406966E-2</v>
      </c>
      <c r="X13" s="7">
        <f>$B13 * IFERROR(VLOOKUP("transport|PM25|Non-fatal heart attacks", US_national_yearly!$D:$AM, 32, FALSE) / VLOOKUP("transport|PM25|Non-fatal heart attacks", US_national_yearly!$D:$AM, 10, FALSE), 1)</f>
        <v>1.6999391082007622E-2</v>
      </c>
      <c r="Y13" s="7">
        <f>$B13 * IFERROR(VLOOKUP("transport|PM25|Non-fatal heart attacks", US_national_yearly!$D:$AM, 33, FALSE) / VLOOKUP("transport|PM25|Non-fatal heart attacks", US_national_yearly!$D:$AM, 10, FALSE), 1)</f>
        <v>1.7068597176608285E-2</v>
      </c>
      <c r="Z13" s="7">
        <f>$B13 * IFERROR(VLOOKUP("transport|PM25|Non-fatal heart attacks", US_national_yearly!$D:$AM, 34, FALSE) / VLOOKUP("transport|PM25|Non-fatal heart attacks", US_national_yearly!$D:$AM, 10, FALSE), 1)</f>
        <v>1.7137803271208941E-2</v>
      </c>
      <c r="AA13" s="7">
        <f>$B13 * IFERROR(VLOOKUP("transport|PM25|Non-fatal heart attacks", US_national_yearly!$D:$AM, 35, FALSE) / VLOOKUP("transport|PM25|Non-fatal heart attacks", US_national_yearly!$D:$AM, 10, FALSE), 1)</f>
        <v>1.7207009365809604E-2</v>
      </c>
      <c r="AB13" s="7">
        <f>$B13 * IFERROR(VLOOKUP("transport|PM25|Non-fatal heart attacks", US_national_yearly!$D:$AM, 36, FALSE) / VLOOKUP("transport|PM25|Non-fatal heart attacks", US_national_yearly!$D:$AM, 10, FALSE), 1)</f>
        <v>1.727621546041026E-2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8.9242933928171571</v>
      </c>
      <c r="C14" s="7">
        <f>$B14 * IFERROR(VLOOKUP("transport|PM25|Minor restricted activity days", US_national_yearly!$D:$AM, 11, FALSE) / VLOOKUP("transport|PM25|Minor restricted activity days", US_national_yearly!$D:$AM, 10, FALSE), 1)</f>
        <v>8.9460875756222578</v>
      </c>
      <c r="D14" s="7">
        <f>$B14 * IFERROR(VLOOKUP("transport|PM25|Minor restricted activity days", US_national_yearly!$D:$AM, 12, FALSE) / VLOOKUP("transport|PM25|Minor restricted activity days", US_national_yearly!$D:$AM, 10, FALSE), 1)</f>
        <v>8.9678817584273585</v>
      </c>
      <c r="E14" s="7">
        <f>$B14 * IFERROR(VLOOKUP("transport|PM25|Minor restricted activity days", US_national_yearly!$D:$AM, 13, FALSE) / VLOOKUP("transport|PM25|Minor restricted activity days", US_national_yearly!$D:$AM, 10, FALSE), 1)</f>
        <v>8.9896759412324609</v>
      </c>
      <c r="F14" s="7">
        <f>$B14 * IFERROR(VLOOKUP("transport|PM25|Minor restricted activity days", US_national_yearly!$D:$AM, 14, FALSE) / VLOOKUP("transport|PM25|Minor restricted activity days", US_national_yearly!$D:$AM, 10, FALSE), 1)</f>
        <v>9.0114701240375599</v>
      </c>
      <c r="G14" s="7">
        <f>$B14 * IFERROR(VLOOKUP("transport|PM25|Minor restricted activity days", US_national_yearly!$D:$AM, 15, FALSE) / VLOOKUP("transport|PM25|Minor restricted activity days", US_national_yearly!$D:$AM, 10, FALSE), 1)</f>
        <v>9.0436267885231167</v>
      </c>
      <c r="H14" s="7">
        <f>$B14 * IFERROR(VLOOKUP("transport|PM25|Minor restricted activity days", US_national_yearly!$D:$AM, 16, FALSE) / VLOOKUP("transport|PM25|Minor restricted activity days", US_national_yearly!$D:$AM, 10, FALSE), 1)</f>
        <v>9.0757834530086718</v>
      </c>
      <c r="I14" s="7">
        <f>$B14 * IFERROR(VLOOKUP("transport|PM25|Minor restricted activity days", US_national_yearly!$D:$AM, 17, FALSE) / VLOOKUP("transport|PM25|Minor restricted activity days", US_national_yearly!$D:$AM, 10, FALSE), 1)</f>
        <v>9.1307566238043201</v>
      </c>
      <c r="J14" s="7">
        <f>$B14 * IFERROR(VLOOKUP("transport|PM25|Minor restricted activity days", US_national_yearly!$D:$AM, 18, FALSE) / VLOOKUP("transport|PM25|Minor restricted activity days", US_national_yearly!$D:$AM, 10, FALSE), 1)</f>
        <v>9.1857297945999647</v>
      </c>
      <c r="K14" s="7">
        <f>$B14 * IFERROR(VLOOKUP("transport|PM25|Minor restricted activity days", US_national_yearly!$D:$AM, 19, FALSE) / VLOOKUP("transport|PM25|Minor restricted activity days", US_national_yearly!$D:$AM, 10, FALSE), 1)</f>
        <v>9.240702965395613</v>
      </c>
      <c r="L14" s="7">
        <f>$B14 * IFERROR(VLOOKUP("transport|PM25|Minor restricted activity days", US_national_yearly!$D:$AM, 20, FALSE) / VLOOKUP("transport|PM25|Minor restricted activity days", US_national_yearly!$D:$AM, 10, FALSE), 1)</f>
        <v>9.2956761361912594</v>
      </c>
      <c r="M14" s="7">
        <f>$B14 * IFERROR(VLOOKUP("transport|PM25|Minor restricted activity days", US_national_yearly!$D:$AM, 21, FALSE) / VLOOKUP("transport|PM25|Minor restricted activity days", US_national_yearly!$D:$AM, 10, FALSE), 1)</f>
        <v>9.3506493069869059</v>
      </c>
      <c r="N14" s="7">
        <f>$B14 * IFERROR(VLOOKUP("transport|PM25|Minor restricted activity days", US_national_yearly!$D:$AM, 22, FALSE) / VLOOKUP("transport|PM25|Minor restricted activity days", US_national_yearly!$D:$AM, 10, FALSE), 1)</f>
        <v>9.4255337107494181</v>
      </c>
      <c r="O14" s="7">
        <f>$B14 * IFERROR(VLOOKUP("transport|PM25|Minor restricted activity days", US_national_yearly!$D:$AM, 23, FALSE) / VLOOKUP("transport|PM25|Minor restricted activity days", US_national_yearly!$D:$AM, 10, FALSE), 1)</f>
        <v>9.5004181145119269</v>
      </c>
      <c r="P14" s="7">
        <f>$B14 * IFERROR(VLOOKUP("transport|PM25|Minor restricted activity days", US_national_yearly!$D:$AM, 24, FALSE) / VLOOKUP("transport|PM25|Minor restricted activity days", US_national_yearly!$D:$AM, 10, FALSE), 1)</f>
        <v>9.5753025182744391</v>
      </c>
      <c r="Q14" s="7">
        <f>$B14 * IFERROR(VLOOKUP("transport|PM25|Minor restricted activity days", US_national_yearly!$D:$AM, 25, FALSE) / VLOOKUP("transport|PM25|Minor restricted activity days", US_national_yearly!$D:$AM, 10, FALSE), 1)</f>
        <v>9.6501869220369478</v>
      </c>
      <c r="R14" s="7">
        <f>$B14 * IFERROR(VLOOKUP("transport|PM25|Minor restricted activity days", US_national_yearly!$D:$AM, 26, FALSE) / VLOOKUP("transport|PM25|Minor restricted activity days", US_national_yearly!$D:$AM, 10, FALSE), 1)</f>
        <v>9.7250713257994565</v>
      </c>
      <c r="S14" s="7">
        <f>$B14 * IFERROR(VLOOKUP("transport|PM25|Minor restricted activity days", US_national_yearly!$D:$AM, 27, FALSE) / VLOOKUP("transport|PM25|Minor restricted activity days", US_national_yearly!$D:$AM, 10, FALSE), 1)</f>
        <v>9.8004714339126036</v>
      </c>
      <c r="T14" s="7">
        <f>$B14 * IFERROR(VLOOKUP("transport|PM25|Minor restricted activity days", US_national_yearly!$D:$AM, 28, FALSE) / VLOOKUP("transport|PM25|Minor restricted activity days", US_national_yearly!$D:$AM, 10, FALSE), 1)</f>
        <v>9.8758715420257506</v>
      </c>
      <c r="U14" s="7">
        <f>$B14 * IFERROR(VLOOKUP("transport|PM25|Minor restricted activity days", US_national_yearly!$D:$AM, 29, FALSE) / VLOOKUP("transport|PM25|Minor restricted activity days", US_national_yearly!$D:$AM, 10, FALSE), 1)</f>
        <v>9.9512716501388976</v>
      </c>
      <c r="V14" s="7">
        <f>$B14 * IFERROR(VLOOKUP("transport|PM25|Minor restricted activity days", US_national_yearly!$D:$AM, 30, FALSE) / VLOOKUP("transport|PM25|Minor restricted activity days", US_national_yearly!$D:$AM, 10, FALSE), 1)</f>
        <v>10.026671758252043</v>
      </c>
      <c r="W14" s="7">
        <f>$B14 * IFERROR(VLOOKUP("transport|PM25|Minor restricted activity days", US_national_yearly!$D:$AM, 31, FALSE) / VLOOKUP("transport|PM25|Minor restricted activity days", US_national_yearly!$D:$AM, 10, FALSE), 1)</f>
        <v>10.10207186636519</v>
      </c>
      <c r="X14" s="7">
        <f>$B14 * IFERROR(VLOOKUP("transport|PM25|Minor restricted activity days", US_national_yearly!$D:$AM, 32, FALSE) / VLOOKUP("transport|PM25|Minor restricted activity days", US_national_yearly!$D:$AM, 10, FALSE), 1)</f>
        <v>10.167526745602599</v>
      </c>
      <c r="Y14" s="7">
        <f>$B14 * IFERROR(VLOOKUP("transport|PM25|Minor restricted activity days", US_national_yearly!$D:$AM, 33, FALSE) / VLOOKUP("transport|PM25|Minor restricted activity days", US_national_yearly!$D:$AM, 10, FALSE), 1)</f>
        <v>10.232981624840006</v>
      </c>
      <c r="Z14" s="7">
        <f>$B14 * IFERROR(VLOOKUP("transport|PM25|Minor restricted activity days", US_national_yearly!$D:$AM, 34, FALSE) / VLOOKUP("transport|PM25|Minor restricted activity days", US_national_yearly!$D:$AM, 10, FALSE), 1)</f>
        <v>10.298436504077415</v>
      </c>
      <c r="AA14" s="7">
        <f>$B14 * IFERROR(VLOOKUP("transport|PM25|Minor restricted activity days", US_national_yearly!$D:$AM, 35, FALSE) / VLOOKUP("transport|PM25|Minor restricted activity days", US_national_yearly!$D:$AM, 10, FALSE), 1)</f>
        <v>10.363891383314821</v>
      </c>
      <c r="AB14" s="7">
        <f>$B14 * IFERROR(VLOOKUP("transport|PM25|Minor restricted activity days", US_national_yearly!$D:$AM, 36, FALSE) / VLOOKUP("transport|PM25|Minor restricted activity days", US_national_yearly!$D:$AM, 10, FALSE), 1)</f>
        <v>10.42934626255223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1.5145973736725999</v>
      </c>
      <c r="C15" s="7">
        <f>$B15 * IFERROR(VLOOKUP("transport|PM25|Work loss days", US_national_yearly!$D:$AM, 11, FALSE) / VLOOKUP("transport|PM25|Work loss days", US_national_yearly!$D:$AM, 10, FALSE), 1)</f>
        <v>1.5192920800172443</v>
      </c>
      <c r="D15" s="7">
        <f>$B15 * IFERROR(VLOOKUP("transport|PM25|Work loss days", US_national_yearly!$D:$AM, 12, FALSE) / VLOOKUP("transport|PM25|Work loss days", US_national_yearly!$D:$AM, 10, FALSE), 1)</f>
        <v>1.523986786361889</v>
      </c>
      <c r="E15" s="7">
        <f>$B15 * IFERROR(VLOOKUP("transport|PM25|Work loss days", US_national_yearly!$D:$AM, 13, FALSE) / VLOOKUP("transport|PM25|Work loss days", US_national_yearly!$D:$AM, 10, FALSE), 1)</f>
        <v>1.5286814927065335</v>
      </c>
      <c r="F15" s="7">
        <f>$B15 * IFERROR(VLOOKUP("transport|PM25|Work loss days", US_national_yearly!$D:$AM, 14, FALSE) / VLOOKUP("transport|PM25|Work loss days", US_national_yearly!$D:$AM, 10, FALSE), 1)</f>
        <v>1.5333761990511778</v>
      </c>
      <c r="G15" s="7">
        <f>$B15 * IFERROR(VLOOKUP("transport|PM25|Work loss days", US_national_yearly!$D:$AM, 15, FALSE) / VLOOKUP("transport|PM25|Work loss days", US_national_yearly!$D:$AM, 10, FALSE), 1)</f>
        <v>1.5395312586427214</v>
      </c>
      <c r="H15" s="7">
        <f>$B15 * IFERROR(VLOOKUP("transport|PM25|Work loss days", US_national_yearly!$D:$AM, 16, FALSE) / VLOOKUP("transport|PM25|Work loss days", US_national_yearly!$D:$AM, 10, FALSE), 1)</f>
        <v>1.5456863182342651</v>
      </c>
      <c r="I15" s="7">
        <f>$B15 * IFERROR(VLOOKUP("transport|PM25|Work loss days", US_national_yearly!$D:$AM, 17, FALSE) / VLOOKUP("transport|PM25|Work loss days", US_national_yearly!$D:$AM, 10, FALSE), 1)</f>
        <v>1.554750320446475</v>
      </c>
      <c r="J15" s="7">
        <f>$B15 * IFERROR(VLOOKUP("transport|PM25|Work loss days", US_national_yearly!$D:$AM, 18, FALSE) / VLOOKUP("transport|PM25|Work loss days", US_national_yearly!$D:$AM, 10, FALSE), 1)</f>
        <v>1.5638143226586851</v>
      </c>
      <c r="K15" s="7">
        <f>$B15 * IFERROR(VLOOKUP("transport|PM25|Work loss days", US_national_yearly!$D:$AM, 19, FALSE) / VLOOKUP("transport|PM25|Work loss days", US_national_yearly!$D:$AM, 10, FALSE), 1)</f>
        <v>1.5728783248708951</v>
      </c>
      <c r="L15" s="7">
        <f>$B15 * IFERROR(VLOOKUP("transport|PM25|Work loss days", US_national_yearly!$D:$AM, 20, FALSE) / VLOOKUP("transport|PM25|Work loss days", US_national_yearly!$D:$AM, 10, FALSE), 1)</f>
        <v>1.581942327083105</v>
      </c>
      <c r="M15" s="7">
        <f>$B15 * IFERROR(VLOOKUP("transport|PM25|Work loss days", US_national_yearly!$D:$AM, 21, FALSE) / VLOOKUP("transport|PM25|Work loss days", US_national_yearly!$D:$AM, 10, FALSE), 1)</f>
        <v>1.5910063292953149</v>
      </c>
      <c r="N15" s="7">
        <f>$B15 * IFERROR(VLOOKUP("transport|PM25|Work loss days", US_national_yearly!$D:$AM, 22, FALSE) / VLOOKUP("transport|PM25|Work loss days", US_national_yearly!$D:$AM, 10, FALSE), 1)</f>
        <v>1.6024140621228418</v>
      </c>
      <c r="O15" s="7">
        <f>$B15 * IFERROR(VLOOKUP("transport|PM25|Work loss days", US_national_yearly!$D:$AM, 23, FALSE) / VLOOKUP("transport|PM25|Work loss days", US_national_yearly!$D:$AM, 10, FALSE), 1)</f>
        <v>1.6138217949503681</v>
      </c>
      <c r="P15" s="7">
        <f>$B15 * IFERROR(VLOOKUP("transport|PM25|Work loss days", US_national_yearly!$D:$AM, 24, FALSE) / VLOOKUP("transport|PM25|Work loss days", US_national_yearly!$D:$AM, 10, FALSE), 1)</f>
        <v>1.6252295277778948</v>
      </c>
      <c r="Q15" s="7">
        <f>$B15 * IFERROR(VLOOKUP("transport|PM25|Work loss days", US_national_yearly!$D:$AM, 25, FALSE) / VLOOKUP("transport|PM25|Work loss days", US_national_yearly!$D:$AM, 10, FALSE), 1)</f>
        <v>1.6366372606054211</v>
      </c>
      <c r="R15" s="7">
        <f>$B15 * IFERROR(VLOOKUP("transport|PM25|Work loss days", US_national_yearly!$D:$AM, 26, FALSE) / VLOOKUP("transport|PM25|Work loss days", US_national_yearly!$D:$AM, 10, FALSE), 1)</f>
        <v>1.648044993432948</v>
      </c>
      <c r="S15" s="7">
        <f>$B15 * IFERROR(VLOOKUP("transport|PM25|Work loss days", US_national_yearly!$D:$AM, 27, FALSE) / VLOOKUP("transport|PM25|Work loss days", US_national_yearly!$D:$AM, 10, FALSE), 1)</f>
        <v>1.6606624329756987</v>
      </c>
      <c r="T15" s="7">
        <f>$B15 * IFERROR(VLOOKUP("transport|PM25|Work loss days", US_national_yearly!$D:$AM, 28, FALSE) / VLOOKUP("transport|PM25|Work loss days", US_national_yearly!$D:$AM, 10, FALSE), 1)</f>
        <v>1.6732798725184499</v>
      </c>
      <c r="U15" s="7">
        <f>$B15 * IFERROR(VLOOKUP("transport|PM25|Work loss days", US_national_yearly!$D:$AM, 29, FALSE) / VLOOKUP("transport|PM25|Work loss days", US_national_yearly!$D:$AM, 10, FALSE), 1)</f>
        <v>1.6858973120612002</v>
      </c>
      <c r="V15" s="7">
        <f>$B15 * IFERROR(VLOOKUP("transport|PM25|Work loss days", US_national_yearly!$D:$AM, 30, FALSE) / VLOOKUP("transport|PM25|Work loss days", US_national_yearly!$D:$AM, 10, FALSE), 1)</f>
        <v>1.6985147516039514</v>
      </c>
      <c r="W15" s="7">
        <f>$B15 * IFERROR(VLOOKUP("transport|PM25|Work loss days", US_national_yearly!$D:$AM, 31, FALSE) / VLOOKUP("transport|PM25|Work loss days", US_national_yearly!$D:$AM, 10, FALSE), 1)</f>
        <v>1.7111321911467021</v>
      </c>
      <c r="X15" s="7">
        <f>$B15 * IFERROR(VLOOKUP("transport|PM25|Work loss days", US_national_yearly!$D:$AM, 32, FALSE) / VLOOKUP("transport|PM25|Work loss days", US_national_yearly!$D:$AM, 10, FALSE), 1)</f>
        <v>1.7223272629902719</v>
      </c>
      <c r="Y15" s="7">
        <f>$B15 * IFERROR(VLOOKUP("transport|PM25|Work loss days", US_national_yearly!$D:$AM, 33, FALSE) / VLOOKUP("transport|PM25|Work loss days", US_national_yearly!$D:$AM, 10, FALSE), 1)</f>
        <v>1.7335223348338418</v>
      </c>
      <c r="Z15" s="7">
        <f>$B15 * IFERROR(VLOOKUP("transport|PM25|Work loss days", US_national_yearly!$D:$AM, 34, FALSE) / VLOOKUP("transport|PM25|Work loss days", US_national_yearly!$D:$AM, 10, FALSE), 1)</f>
        <v>1.744717406677412</v>
      </c>
      <c r="AA15" s="7">
        <f>$B15 * IFERROR(VLOOKUP("transport|PM25|Work loss days", US_national_yearly!$D:$AM, 35, FALSE) / VLOOKUP("transport|PM25|Work loss days", US_national_yearly!$D:$AM, 10, FALSE), 1)</f>
        <v>1.7559124785209823</v>
      </c>
      <c r="AB15" s="7">
        <f>$B15 * IFERROR(VLOOKUP("transport|PM25|Work loss days", US_national_yearly!$D:$AM, 36, FALSE) / VLOOKUP("transport|PM25|Work loss days", US_national_yearly!$D:$AM, 10, FALSE), 1)</f>
        <v>1.7671075503645521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3.0691443962800576E-3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3.1608525710070273E-3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3.2525607457339974E-3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3.3442689204609679E-3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3.435977095187938E-3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3.5238171450431284E-3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3.61165719489832E-3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3.6867828281465401E-3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3.7619084613947596E-3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3.8370340946429792E-3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3.9121597278911997E-3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3.9872853611394197E-3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4.0373733360443672E-3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4.0874613109493146E-3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4.1375492858542621E-3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4.1876372607592104E-3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4.2377252356641578E-3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4.2642264506557431E-3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4.2907276656473283E-3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4.3172288806389127E-3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4.343730095630498E-3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4.3702313106220832E-3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4.3880722771506087E-3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4.4059132436791342E-3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4.4237542102076588E-3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4.4415951767361843E-3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4.4594361432647098E-3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9.9568785574381249E-4</v>
      </c>
      <c r="C2" s="7">
        <f>$B2 * IFERROR(VLOOKUP("transport|NOx|Premature mortality", US_national_yearly!$D:$AM, 11, FALSE) / VLOOKUP("transport|NOx|Premature mortality", US_national_yearly!$D:$AM, 10, FALSE), 1)</f>
        <v>1.0103128273800323E-3</v>
      </c>
      <c r="D2" s="7">
        <f>$B2 * IFERROR(VLOOKUP("transport|NOx|Premature mortality", US_national_yearly!$D:$AM, 12, FALSE) / VLOOKUP("transport|NOx|Premature mortality", US_national_yearly!$D:$AM, 10, FALSE), 1)</f>
        <v>1.0249377990162517E-3</v>
      </c>
      <c r="E2" s="7">
        <f>$B2 * IFERROR(VLOOKUP("transport|NOx|Premature mortality", US_national_yearly!$D:$AM, 13, FALSE) / VLOOKUP("transport|NOx|Premature mortality", US_national_yearly!$D:$AM, 10, FALSE), 1)</f>
        <v>1.0395627706524715E-3</v>
      </c>
      <c r="F2" s="7">
        <f>$B2 * IFERROR(VLOOKUP("transport|NOx|Premature mortality", US_national_yearly!$D:$AM, 14, FALSE) / VLOOKUP("transport|NOx|Premature mortality", US_national_yearly!$D:$AM, 10, FALSE), 1)</f>
        <v>1.0541877422886913E-3</v>
      </c>
      <c r="G2" s="7">
        <f>$B2 * IFERROR(VLOOKUP("transport|NOx|Premature mortality", US_national_yearly!$D:$AM, 15, FALSE) / VLOOKUP("transport|NOx|Premature mortality", US_national_yearly!$D:$AM, 10, FALSE), 1)</f>
        <v>1.0804576490446242E-3</v>
      </c>
      <c r="H2" s="7">
        <f>$B2 * IFERROR(VLOOKUP("transport|NOx|Premature mortality", US_national_yearly!$D:$AM, 16, FALSE) / VLOOKUP("transport|NOx|Premature mortality", US_national_yearly!$D:$AM, 10, FALSE), 1)</f>
        <v>1.1067275558005575E-3</v>
      </c>
      <c r="I2" s="7">
        <f>$B2 * IFERROR(VLOOKUP("transport|NOx|Premature mortality", US_national_yearly!$D:$AM, 17, FALSE) / VLOOKUP("transport|NOx|Premature mortality", US_national_yearly!$D:$AM, 10, FALSE), 1)</f>
        <v>1.1236852789157849E-3</v>
      </c>
      <c r="J2" s="7">
        <f>$B2 * IFERROR(VLOOKUP("transport|NOx|Premature mortality", US_national_yearly!$D:$AM, 18, FALSE) / VLOOKUP("transport|NOx|Premature mortality", US_national_yearly!$D:$AM, 10, FALSE), 1)</f>
        <v>1.1406430020310123E-3</v>
      </c>
      <c r="K2" s="7">
        <f>$B2 * IFERROR(VLOOKUP("transport|NOx|Premature mortality", US_national_yearly!$D:$AM, 19, FALSE) / VLOOKUP("transport|NOx|Premature mortality", US_national_yearly!$D:$AM, 10, FALSE), 1)</f>
        <v>1.1576007251462397E-3</v>
      </c>
      <c r="L2" s="7">
        <f>$B2 * IFERROR(VLOOKUP("transport|NOx|Premature mortality", US_national_yearly!$D:$AM, 20, FALSE) / VLOOKUP("transport|NOx|Premature mortality", US_national_yearly!$D:$AM, 10, FALSE), 1)</f>
        <v>1.174558448261467E-3</v>
      </c>
      <c r="M2" s="7">
        <f>$B2 * IFERROR(VLOOKUP("transport|NOx|Premature mortality", US_national_yearly!$D:$AM, 21, FALSE) / VLOOKUP("transport|NOx|Premature mortality", US_national_yearly!$D:$AM, 10, FALSE), 1)</f>
        <v>1.1915161713766946E-3</v>
      </c>
      <c r="N2" s="7">
        <f>$B2 * IFERROR(VLOOKUP("transport|NOx|Premature mortality", US_national_yearly!$D:$AM, 22, FALSE) / VLOOKUP("transport|NOx|Premature mortality", US_national_yearly!$D:$AM, 10, FALSE), 1)</f>
        <v>1.2040783867365654E-3</v>
      </c>
      <c r="O2" s="7">
        <f>$B2 * IFERROR(VLOOKUP("transport|NOx|Premature mortality", US_national_yearly!$D:$AM, 23, FALSE) / VLOOKUP("transport|NOx|Premature mortality", US_national_yearly!$D:$AM, 10, FALSE), 1)</f>
        <v>1.2166406020964362E-3</v>
      </c>
      <c r="P2" s="7">
        <f>$B2 * IFERROR(VLOOKUP("transport|NOx|Premature mortality", US_national_yearly!$D:$AM, 24, FALSE) / VLOOKUP("transport|NOx|Premature mortality", US_national_yearly!$D:$AM, 10, FALSE), 1)</f>
        <v>1.2292028174563071E-3</v>
      </c>
      <c r="Q2" s="7">
        <f>$B2 * IFERROR(VLOOKUP("transport|NOx|Premature mortality", US_national_yearly!$D:$AM, 25, FALSE) / VLOOKUP("transport|NOx|Premature mortality", US_national_yearly!$D:$AM, 10, FALSE), 1)</f>
        <v>1.2417650328161781E-3</v>
      </c>
      <c r="R2" s="7">
        <f>$B2 * IFERROR(VLOOKUP("transport|NOx|Premature mortality", US_national_yearly!$D:$AM, 26, FALSE) / VLOOKUP("transport|NOx|Premature mortality", US_national_yearly!$D:$AM, 10, FALSE), 1)</f>
        <v>1.2543272481760489E-3</v>
      </c>
      <c r="S2" s="7">
        <f>$B2 * IFERROR(VLOOKUP("transport|NOx|Premature mortality", US_national_yearly!$D:$AM, 27, FALSE) / VLOOKUP("transport|NOx|Premature mortality", US_national_yearly!$D:$AM, 10, FALSE), 1)</f>
        <v>1.2600369015569378E-3</v>
      </c>
      <c r="T2" s="7">
        <f>$B2 * IFERROR(VLOOKUP("transport|NOx|Premature mortality", US_national_yearly!$D:$AM, 28, FALSE) / VLOOKUP("transport|NOx|Premature mortality", US_national_yearly!$D:$AM, 10, FALSE), 1)</f>
        <v>1.2657465549378269E-3</v>
      </c>
      <c r="U2" s="7">
        <f>$B2 * IFERROR(VLOOKUP("transport|NOx|Premature mortality", US_national_yearly!$D:$AM, 29, FALSE) / VLOOKUP("transport|NOx|Premature mortality", US_national_yearly!$D:$AM, 10, FALSE), 1)</f>
        <v>1.2714562083187158E-3</v>
      </c>
      <c r="V2" s="7">
        <f>$B2 * IFERROR(VLOOKUP("transport|NOx|Premature mortality", US_national_yearly!$D:$AM, 30, FALSE) / VLOOKUP("transport|NOx|Premature mortality", US_national_yearly!$D:$AM, 10, FALSE), 1)</f>
        <v>1.2771658616996047E-3</v>
      </c>
      <c r="W2" s="7">
        <f>$B2 * IFERROR(VLOOKUP("transport|NOx|Premature mortality", US_national_yearly!$D:$AM, 31, FALSE) / VLOOKUP("transport|NOx|Premature mortality", US_national_yearly!$D:$AM, 10, FALSE), 1)</f>
        <v>1.2828755150804936E-3</v>
      </c>
      <c r="X2" s="7">
        <f>$B2 * IFERROR(VLOOKUP("transport|NOx|Premature mortality", US_national_yearly!$D:$AM, 32, FALSE) / VLOOKUP("transport|NOx|Premature mortality", US_national_yearly!$D:$AM, 10, FALSE), 1)</f>
        <v>1.2830732941962405E-3</v>
      </c>
      <c r="Y2" s="7">
        <f>$B2 * IFERROR(VLOOKUP("transport|NOx|Premature mortality", US_national_yearly!$D:$AM, 33, FALSE) / VLOOKUP("transport|NOx|Premature mortality", US_national_yearly!$D:$AM, 10, FALSE), 1)</f>
        <v>1.2832710733119872E-3</v>
      </c>
      <c r="Z2" s="7">
        <f>$B2 * IFERROR(VLOOKUP("transport|NOx|Premature mortality", US_national_yearly!$D:$AM, 34, FALSE) / VLOOKUP("transport|NOx|Premature mortality", US_national_yearly!$D:$AM, 10, FALSE), 1)</f>
        <v>1.2834688524277337E-3</v>
      </c>
      <c r="AA2" s="7">
        <f>$B2 * IFERROR(VLOOKUP("transport|NOx|Premature mortality", US_national_yearly!$D:$AM, 35, FALSE) / VLOOKUP("transport|NOx|Premature mortality", US_national_yearly!$D:$AM, 10, FALSE), 1)</f>
        <v>1.2836666315434806E-3</v>
      </c>
      <c r="AB2" s="7">
        <f>$B2 * IFERROR(VLOOKUP("transport|NOx|Premature mortality", US_national_yearly!$D:$AM, 36, FALSE) / VLOOKUP("transport|NOx|Premature mortality", US_national_yearly!$D:$AM, 10, FALSE), 1)</f>
        <v>1.2838644106592276E-3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3.0773187448599354E-6</v>
      </c>
      <c r="C3" s="7">
        <f>$B3 * IFERROR(VLOOKUP("transport|NOx|Infant mortality", US_national_yearly!$D:$AM, 11, FALSE) / VLOOKUP("transport|NOx|Infant mortality", US_national_yearly!$D:$AM, 10, FALSE), 1)</f>
        <v>3.047999442306909E-6</v>
      </c>
      <c r="D3" s="7">
        <f>$B3 * IFERROR(VLOOKUP("transport|NOx|Infant mortality", US_national_yearly!$D:$AM, 12, FALSE) / VLOOKUP("transport|NOx|Infant mortality", US_national_yearly!$D:$AM, 10, FALSE), 1)</f>
        <v>3.0186801397538822E-6</v>
      </c>
      <c r="E3" s="7">
        <f>$B3 * IFERROR(VLOOKUP("transport|NOx|Infant mortality", US_national_yearly!$D:$AM, 13, FALSE) / VLOOKUP("transport|NOx|Infant mortality", US_national_yearly!$D:$AM, 10, FALSE), 1)</f>
        <v>2.9893608372008559E-6</v>
      </c>
      <c r="F3" s="7">
        <f>$B3 * IFERROR(VLOOKUP("transport|NOx|Infant mortality", US_national_yearly!$D:$AM, 14, FALSE) / VLOOKUP("transport|NOx|Infant mortality", US_national_yearly!$D:$AM, 10, FALSE), 1)</f>
        <v>2.9600415346478296E-6</v>
      </c>
      <c r="G3" s="7">
        <f>$B3 * IFERROR(VLOOKUP("transport|NOx|Infant mortality", US_national_yearly!$D:$AM, 15, FALSE) / VLOOKUP("transport|NOx|Infant mortality", US_national_yearly!$D:$AM, 10, FALSE), 1)</f>
        <v>1.9650217404588775E-6</v>
      </c>
      <c r="H3" s="7">
        <f>$B3 * IFERROR(VLOOKUP("transport|NOx|Infant mortality", US_national_yearly!$D:$AM, 16, FALSE) / VLOOKUP("transport|NOx|Infant mortality", US_national_yearly!$D:$AM, 10, FALSE), 1)</f>
        <v>9.7000194626992536E-7</v>
      </c>
      <c r="I3" s="7">
        <f>$B3 * IFERROR(VLOOKUP("transport|NOx|Infant mortality", US_national_yearly!$D:$AM, 17, FALSE) / VLOOKUP("transport|NOx|Infant mortality", US_national_yearly!$D:$AM, 10, FALSE), 1)</f>
        <v>9.6314310634816466E-7</v>
      </c>
      <c r="J3" s="7">
        <f>$B3 * IFERROR(VLOOKUP("transport|NOx|Infant mortality", US_national_yearly!$D:$AM, 18, FALSE) / VLOOKUP("transport|NOx|Infant mortality", US_national_yearly!$D:$AM, 10, FALSE), 1)</f>
        <v>9.5628426642640374E-7</v>
      </c>
      <c r="K3" s="7">
        <f>$B3 * IFERROR(VLOOKUP("transport|NOx|Infant mortality", US_national_yearly!$D:$AM, 19, FALSE) / VLOOKUP("transport|NOx|Infant mortality", US_national_yearly!$D:$AM, 10, FALSE), 1)</f>
        <v>9.4942542650464294E-7</v>
      </c>
      <c r="L3" s="7">
        <f>$B3 * IFERROR(VLOOKUP("transport|NOx|Infant mortality", US_national_yearly!$D:$AM, 20, FALSE) / VLOOKUP("transport|NOx|Infant mortality", US_national_yearly!$D:$AM, 10, FALSE), 1)</f>
        <v>9.4256658658288223E-7</v>
      </c>
      <c r="M3" s="7">
        <f>$B3 * IFERROR(VLOOKUP("transport|NOx|Infant mortality", US_national_yearly!$D:$AM, 21, FALSE) / VLOOKUP("transport|NOx|Infant mortality", US_national_yearly!$D:$AM, 10, FALSE), 1)</f>
        <v>9.3570774666112132E-7</v>
      </c>
      <c r="N3" s="7">
        <f>$B3 * IFERROR(VLOOKUP("transport|NOx|Infant mortality", US_national_yearly!$D:$AM, 22, FALSE) / VLOOKUP("transport|NOx|Infant mortality", US_national_yearly!$D:$AM, 10, FALSE), 1)</f>
        <v>9.3115513550619522E-7</v>
      </c>
      <c r="O3" s="7">
        <f>$B3 * IFERROR(VLOOKUP("transport|NOx|Infant mortality", US_national_yearly!$D:$AM, 23, FALSE) / VLOOKUP("transport|NOx|Infant mortality", US_national_yearly!$D:$AM, 10, FALSE), 1)</f>
        <v>9.2660252435126922E-7</v>
      </c>
      <c r="P3" s="7">
        <f>$B3 * IFERROR(VLOOKUP("transport|NOx|Infant mortality", US_national_yearly!$D:$AM, 24, FALSE) / VLOOKUP("transport|NOx|Infant mortality", US_national_yearly!$D:$AM, 10, FALSE), 1)</f>
        <v>9.2204991319634322E-7</v>
      </c>
      <c r="Q3" s="7">
        <f>$B3 * IFERROR(VLOOKUP("transport|NOx|Infant mortality", US_national_yearly!$D:$AM, 25, FALSE) / VLOOKUP("transport|NOx|Infant mortality", US_national_yearly!$D:$AM, 10, FALSE), 1)</f>
        <v>9.1749730204141712E-7</v>
      </c>
      <c r="R3" s="7">
        <f>$B3 * IFERROR(VLOOKUP("transport|NOx|Infant mortality", US_national_yearly!$D:$AM, 26, FALSE) / VLOOKUP("transport|NOx|Infant mortality", US_national_yearly!$D:$AM, 10, FALSE), 1)</f>
        <v>9.1294469088649112E-7</v>
      </c>
      <c r="S3" s="7">
        <f>$B3 * IFERROR(VLOOKUP("transport|NOx|Infant mortality", US_national_yearly!$D:$AM, 27, FALSE) / VLOOKUP("transport|NOx|Infant mortality", US_national_yearly!$D:$AM, 10, FALSE), 1)</f>
        <v>9.0747172830462696E-7</v>
      </c>
      <c r="T3" s="7">
        <f>$B3 * IFERROR(VLOOKUP("transport|NOx|Infant mortality", US_national_yearly!$D:$AM, 28, FALSE) / VLOOKUP("transport|NOx|Infant mortality", US_national_yearly!$D:$AM, 10, FALSE), 1)</f>
        <v>9.0199876572276291E-7</v>
      </c>
      <c r="U3" s="7">
        <f>$B3 * IFERROR(VLOOKUP("transport|NOx|Infant mortality", US_national_yearly!$D:$AM, 29, FALSE) / VLOOKUP("transport|NOx|Infant mortality", US_national_yearly!$D:$AM, 10, FALSE), 1)</f>
        <v>8.9652580314089887E-7</v>
      </c>
      <c r="V3" s="7">
        <f>$B3 * IFERROR(VLOOKUP("transport|NOx|Infant mortality", US_national_yearly!$D:$AM, 30, FALSE) / VLOOKUP("transport|NOx|Infant mortality", US_national_yearly!$D:$AM, 10, FALSE), 1)</f>
        <v>8.9105284055903471E-7</v>
      </c>
      <c r="W3" s="7">
        <f>$B3 * IFERROR(VLOOKUP("transport|NOx|Infant mortality", US_national_yearly!$D:$AM, 31, FALSE) / VLOOKUP("transport|NOx|Infant mortality", US_national_yearly!$D:$AM, 10, FALSE), 1)</f>
        <v>8.8557987797717066E-7</v>
      </c>
      <c r="X3" s="7">
        <f>$B3 * IFERROR(VLOOKUP("transport|NOx|Infant mortality", US_national_yearly!$D:$AM, 32, FALSE) / VLOOKUP("transport|NOx|Infant mortality", US_national_yearly!$D:$AM, 10, FALSE), 1)</f>
        <v>8.7978374594130818E-7</v>
      </c>
      <c r="Y3" s="7">
        <f>$B3 * IFERROR(VLOOKUP("transport|NOx|Infant mortality", US_national_yearly!$D:$AM, 33, FALSE) / VLOOKUP("transport|NOx|Infant mortality", US_national_yearly!$D:$AM, 10, FALSE), 1)</f>
        <v>8.7398761390544559E-7</v>
      </c>
      <c r="Z3" s="7">
        <f>$B3 * IFERROR(VLOOKUP("transport|NOx|Infant mortality", US_national_yearly!$D:$AM, 34, FALSE) / VLOOKUP("transport|NOx|Infant mortality", US_national_yearly!$D:$AM, 10, FALSE), 1)</f>
        <v>8.68191481869583E-7</v>
      </c>
      <c r="AA3" s="7">
        <f>$B3 * IFERROR(VLOOKUP("transport|NOx|Infant mortality", US_national_yearly!$D:$AM, 35, FALSE) / VLOOKUP("transport|NOx|Infant mortality", US_national_yearly!$D:$AM, 10, FALSE), 1)</f>
        <v>8.623953498337204E-7</v>
      </c>
      <c r="AB3" s="7">
        <f>$B3 * IFERROR(VLOOKUP("transport|NOx|Infant mortality", US_national_yearly!$D:$AM, 36, FALSE) / VLOOKUP("transport|NOx|Infant mortality", US_national_yearly!$D:$AM, 10, FALSE), 1)</f>
        <v>8.5659921779785771E-7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2.6215245671504881E-3</v>
      </c>
      <c r="C6" s="7">
        <f>$B6 * IFERROR(VLOOKUP("transport|NOx|Asthma symptoms cough", US_national_yearly!$D:$AM, 11, FALSE) / VLOOKUP("transport|NOx|Asthma symptoms cough", US_national_yearly!$D:$AM, 10, FALSE), 1)</f>
        <v>2.657365094006442E-3</v>
      </c>
      <c r="D6" s="7">
        <f>$B6 * IFERROR(VLOOKUP("transport|NOx|Asthma symptoms cough", US_national_yearly!$D:$AM, 12, FALSE) / VLOOKUP("transport|NOx|Asthma symptoms cough", US_national_yearly!$D:$AM, 10, FALSE), 1)</f>
        <v>2.6932056208623955E-3</v>
      </c>
      <c r="E6" s="7">
        <f>$B6 * IFERROR(VLOOKUP("transport|NOx|Asthma symptoms cough", US_national_yearly!$D:$AM, 13, FALSE) / VLOOKUP("transport|NOx|Asthma symptoms cough", US_national_yearly!$D:$AM, 10, FALSE), 1)</f>
        <v>2.7290461477183494E-3</v>
      </c>
      <c r="F6" s="7">
        <f>$B6 * IFERROR(VLOOKUP("transport|NOx|Asthma symptoms cough", US_national_yearly!$D:$AM, 14, FALSE) / VLOOKUP("transport|NOx|Asthma symptoms cough", US_national_yearly!$D:$AM, 10, FALSE), 1)</f>
        <v>2.7648866745743034E-3</v>
      </c>
      <c r="G6" s="7">
        <f>$B6 * IFERROR(VLOOKUP("transport|NOx|Asthma symptoms cough", US_national_yearly!$D:$AM, 15, FALSE) / VLOOKUP("transport|NOx|Asthma symptoms cough", US_national_yearly!$D:$AM, 10, FALSE), 1)</f>
        <v>2.7935003268935179E-3</v>
      </c>
      <c r="H6" s="7">
        <f>$B6 * IFERROR(VLOOKUP("transport|NOx|Asthma symptoms cough", US_national_yearly!$D:$AM, 16, FALSE) / VLOOKUP("transport|NOx|Asthma symptoms cough", US_national_yearly!$D:$AM, 10, FALSE), 1)</f>
        <v>2.8221139792127333E-3</v>
      </c>
      <c r="I6" s="7">
        <f>$B6 * IFERROR(VLOOKUP("transport|NOx|Asthma symptoms cough", US_national_yearly!$D:$AM, 17, FALSE) / VLOOKUP("transport|NOx|Asthma symptoms cough", US_national_yearly!$D:$AM, 10, FALSE), 1)</f>
        <v>2.8319623892873493E-3</v>
      </c>
      <c r="J6" s="7">
        <f>$B6 * IFERROR(VLOOKUP("transport|NOx|Asthma symptoms cough", US_national_yearly!$D:$AM, 18, FALSE) / VLOOKUP("transport|NOx|Asthma symptoms cough", US_national_yearly!$D:$AM, 10, FALSE), 1)</f>
        <v>2.8418107993619657E-3</v>
      </c>
      <c r="K6" s="7">
        <f>$B6 * IFERROR(VLOOKUP("transport|NOx|Asthma symptoms cough", US_national_yearly!$D:$AM, 19, FALSE) / VLOOKUP("transport|NOx|Asthma symptoms cough", US_national_yearly!$D:$AM, 10, FALSE), 1)</f>
        <v>2.8516592094365817E-3</v>
      </c>
      <c r="L6" s="7">
        <f>$B6 * IFERROR(VLOOKUP("transport|NOx|Asthma symptoms cough", US_national_yearly!$D:$AM, 20, FALSE) / VLOOKUP("transport|NOx|Asthma symptoms cough", US_national_yearly!$D:$AM, 10, FALSE), 1)</f>
        <v>2.8615076195111981E-3</v>
      </c>
      <c r="M6" s="7">
        <f>$B6 * IFERROR(VLOOKUP("transport|NOx|Asthma symptoms cough", US_national_yearly!$D:$AM, 21, FALSE) / VLOOKUP("transport|NOx|Asthma symptoms cough", US_national_yearly!$D:$AM, 10, FALSE), 1)</f>
        <v>2.8713560295858145E-3</v>
      </c>
      <c r="N6" s="7">
        <f>$B6 * IFERROR(VLOOKUP("transport|NOx|Asthma symptoms cough", US_national_yearly!$D:$AM, 22, FALSE) / VLOOKUP("transport|NOx|Asthma symptoms cough", US_national_yearly!$D:$AM, 10, FALSE), 1)</f>
        <v>2.8827759944515404E-3</v>
      </c>
      <c r="O6" s="7">
        <f>$B6 * IFERROR(VLOOKUP("transport|NOx|Asthma symptoms cough", US_national_yearly!$D:$AM, 23, FALSE) / VLOOKUP("transport|NOx|Asthma symptoms cough", US_national_yearly!$D:$AM, 10, FALSE), 1)</f>
        <v>2.8941959593172663E-3</v>
      </c>
      <c r="P6" s="7">
        <f>$B6 * IFERROR(VLOOKUP("transport|NOx|Asthma symptoms cough", US_national_yearly!$D:$AM, 24, FALSE) / VLOOKUP("transport|NOx|Asthma symptoms cough", US_national_yearly!$D:$AM, 10, FALSE), 1)</f>
        <v>2.9056159241829917E-3</v>
      </c>
      <c r="Q6" s="7">
        <f>$B6 * IFERROR(VLOOKUP("transport|NOx|Asthma symptoms cough", US_national_yearly!$D:$AM, 25, FALSE) / VLOOKUP("transport|NOx|Asthma symptoms cough", US_national_yearly!$D:$AM, 10, FALSE), 1)</f>
        <v>2.9170358890487184E-3</v>
      </c>
      <c r="R6" s="7">
        <f>$B6 * IFERROR(VLOOKUP("transport|NOx|Asthma symptoms cough", US_national_yearly!$D:$AM, 26, FALSE) / VLOOKUP("transport|NOx|Asthma symptoms cough", US_national_yearly!$D:$AM, 10, FALSE), 1)</f>
        <v>2.9284558539144439E-3</v>
      </c>
      <c r="S6" s="7">
        <f>$B6 * IFERROR(VLOOKUP("transport|NOx|Asthma symptoms cough", US_national_yearly!$D:$AM, 27, FALSE) / VLOOKUP("transport|NOx|Asthma symptoms cough", US_national_yearly!$D:$AM, 10, FALSE), 1)</f>
        <v>2.9433739652609402E-3</v>
      </c>
      <c r="T6" s="7">
        <f>$B6 * IFERROR(VLOOKUP("transport|NOx|Asthma symptoms cough", US_national_yearly!$D:$AM, 28, FALSE) / VLOOKUP("transport|NOx|Asthma symptoms cough", US_national_yearly!$D:$AM, 10, FALSE), 1)</f>
        <v>2.9582920766074356E-3</v>
      </c>
      <c r="U6" s="7">
        <f>$B6 * IFERROR(VLOOKUP("transport|NOx|Asthma symptoms cough", US_national_yearly!$D:$AM, 29, FALSE) / VLOOKUP("transport|NOx|Asthma symptoms cough", US_national_yearly!$D:$AM, 10, FALSE), 1)</f>
        <v>2.9732101879539306E-3</v>
      </c>
      <c r="V6" s="7">
        <f>$B6 * IFERROR(VLOOKUP("transport|NOx|Asthma symptoms cough", US_national_yearly!$D:$AM, 30, FALSE) / VLOOKUP("transport|NOx|Asthma symptoms cough", US_national_yearly!$D:$AM, 10, FALSE), 1)</f>
        <v>2.9881282993004265E-3</v>
      </c>
      <c r="W6" s="7">
        <f>$B6 * IFERROR(VLOOKUP("transport|NOx|Asthma symptoms cough", US_national_yearly!$D:$AM, 31, FALSE) / VLOOKUP("transport|NOx|Asthma symptoms cough", US_national_yearly!$D:$AM, 10, FALSE), 1)</f>
        <v>3.0030464106469219E-3</v>
      </c>
      <c r="X6" s="7">
        <f>$B6 * IFERROR(VLOOKUP("transport|NOx|Asthma symptoms cough", US_national_yearly!$D:$AM, 32, FALSE) / VLOOKUP("transport|NOx|Asthma symptoms cough", US_national_yearly!$D:$AM, 10, FALSE), 1)</f>
        <v>3.016907479604816E-3</v>
      </c>
      <c r="Y6" s="7">
        <f>$B6 * IFERROR(VLOOKUP("transport|NOx|Asthma symptoms cough", US_national_yearly!$D:$AM, 33, FALSE) / VLOOKUP("transport|NOx|Asthma symptoms cough", US_national_yearly!$D:$AM, 10, FALSE), 1)</f>
        <v>3.0307685485627097E-3</v>
      </c>
      <c r="Z6" s="7">
        <f>$B6 * IFERROR(VLOOKUP("transport|NOx|Asthma symptoms cough", US_national_yearly!$D:$AM, 34, FALSE) / VLOOKUP("transport|NOx|Asthma symptoms cough", US_national_yearly!$D:$AM, 10, FALSE), 1)</f>
        <v>3.0446296175206033E-3</v>
      </c>
      <c r="AA6" s="7">
        <f>$B6 * IFERROR(VLOOKUP("transport|NOx|Asthma symptoms cough", US_national_yearly!$D:$AM, 35, FALSE) / VLOOKUP("transport|NOx|Asthma symptoms cough", US_national_yearly!$D:$AM, 10, FALSE), 1)</f>
        <v>3.0584906864784974E-3</v>
      </c>
      <c r="AB6" s="7">
        <f>$B6 * IFERROR(VLOOKUP("transport|NOx|Asthma symptoms cough", US_national_yearly!$D:$AM, 36, FALSE) / VLOOKUP("transport|NOx|Asthma symptoms cough", US_national_yearly!$D:$AM, 10, FALSE), 1)</f>
        <v>3.0723517554363915E-3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3.5301087884076427E-3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3.5783711470068254E-3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3.6266335056060073E-3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3.6748958642051901E-3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3.7231582228043729E-3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3.7616889719033673E-3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3.8002197210023621E-3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3.8134814539502009E-3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3.8267431868980397E-3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3.8400049198458784E-3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3.8532666527937177E-3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3.8665283857415565E-3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3.881906352711675E-3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3.8972843196817936E-3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3.9126622866519113E-3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3.9280402536220303E-3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3.9434182205921493E-3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3.9635067433576067E-3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3.9835952661230649E-3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4.0036837888885232E-3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4.0237723116539805E-3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4.0438608344194379E-3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4.0625259584866459E-3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4.0811910825538531E-3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4.0998562066210612E-3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4.1185213306882693E-3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4.1371864547554765E-3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5.3939584609443451E-3</v>
      </c>
      <c r="C8" s="7">
        <f>$B8 * IFERROR(VLOOKUP("transport|NOx|Asthma symptoms wheeze", US_national_yearly!$D:$AM, 11, FALSE) / VLOOKUP("transport|NOx|Asthma symptoms wheeze", US_national_yearly!$D:$AM, 10, FALSE), 1)</f>
        <v>5.4677026919801395E-3</v>
      </c>
      <c r="D8" s="7">
        <f>$B8 * IFERROR(VLOOKUP("transport|NOx|Asthma symptoms wheeze", US_national_yearly!$D:$AM, 12, FALSE) / VLOOKUP("transport|NOx|Asthma symptoms wheeze", US_national_yearly!$D:$AM, 10, FALSE), 1)</f>
        <v>5.5414469230159365E-3</v>
      </c>
      <c r="E8" s="7">
        <f>$B8 * IFERROR(VLOOKUP("transport|NOx|Asthma symptoms wheeze", US_national_yearly!$D:$AM, 13, FALSE) / VLOOKUP("transport|NOx|Asthma symptoms wheeze", US_national_yearly!$D:$AM, 10, FALSE), 1)</f>
        <v>5.6151911540517309E-3</v>
      </c>
      <c r="F8" s="7">
        <f>$B8 * IFERROR(VLOOKUP("transport|NOx|Asthma symptoms wheeze", US_national_yearly!$D:$AM, 14, FALSE) / VLOOKUP("transport|NOx|Asthma symptoms wheeze", US_national_yearly!$D:$AM, 10, FALSE), 1)</f>
        <v>5.6889353850875252E-3</v>
      </c>
      <c r="G8" s="7">
        <f>$B8 * IFERROR(VLOOKUP("transport|NOx|Asthma symptoms wheeze", US_national_yearly!$D:$AM, 15, FALSE) / VLOOKUP("transport|NOx|Asthma symptoms wheeze", US_national_yearly!$D:$AM, 10, FALSE), 1)</f>
        <v>5.747809848553386E-3</v>
      </c>
      <c r="H8" s="7">
        <f>$B8 * IFERROR(VLOOKUP("transport|NOx|Asthma symptoms wheeze", US_national_yearly!$D:$AM, 16, FALSE) / VLOOKUP("transport|NOx|Asthma symptoms wheeze", US_national_yearly!$D:$AM, 10, FALSE), 1)</f>
        <v>5.8066843120192467E-3</v>
      </c>
      <c r="I8" s="7">
        <f>$B8 * IFERROR(VLOOKUP("transport|NOx|Asthma symptoms wheeze", US_national_yearly!$D:$AM, 17, FALSE) / VLOOKUP("transport|NOx|Asthma symptoms wheeze", US_national_yearly!$D:$AM, 10, FALSE), 1)</f>
        <v>5.8269480607643477E-3</v>
      </c>
      <c r="J8" s="7">
        <f>$B8 * IFERROR(VLOOKUP("transport|NOx|Asthma symptoms wheeze", US_national_yearly!$D:$AM, 18, FALSE) / VLOOKUP("transport|NOx|Asthma symptoms wheeze", US_national_yearly!$D:$AM, 10, FALSE), 1)</f>
        <v>5.8472118095094497E-3</v>
      </c>
      <c r="K8" s="7">
        <f>$B8 * IFERROR(VLOOKUP("transport|NOx|Asthma symptoms wheeze", US_national_yearly!$D:$AM, 19, FALSE) / VLOOKUP("transport|NOx|Asthma symptoms wheeze", US_national_yearly!$D:$AM, 10, FALSE), 1)</f>
        <v>5.8674755582545498E-3</v>
      </c>
      <c r="L8" s="7">
        <f>$B8 * IFERROR(VLOOKUP("transport|NOx|Asthma symptoms wheeze", US_national_yearly!$D:$AM, 20, FALSE) / VLOOKUP("transport|NOx|Asthma symptoms wheeze", US_national_yearly!$D:$AM, 10, FALSE), 1)</f>
        <v>5.8877393069996517E-3</v>
      </c>
      <c r="M8" s="7">
        <f>$B8 * IFERROR(VLOOKUP("transport|NOx|Asthma symptoms wheeze", US_national_yearly!$D:$AM, 21, FALSE) / VLOOKUP("transport|NOx|Asthma symptoms wheeze", US_national_yearly!$D:$AM, 10, FALSE), 1)</f>
        <v>5.9080030557447528E-3</v>
      </c>
      <c r="N8" s="7">
        <f>$B8 * IFERROR(VLOOKUP("transport|NOx|Asthma symptoms wheeze", US_national_yearly!$D:$AM, 22, FALSE) / VLOOKUP("transport|NOx|Asthma symptoms wheeze", US_national_yearly!$D:$AM, 10, FALSE), 1)</f>
        <v>5.9315003814101137E-3</v>
      </c>
      <c r="O8" s="7">
        <f>$B8 * IFERROR(VLOOKUP("transport|NOx|Asthma symptoms wheeze", US_national_yearly!$D:$AM, 23, FALSE) / VLOOKUP("transport|NOx|Asthma symptoms wheeze", US_national_yearly!$D:$AM, 10, FALSE), 1)</f>
        <v>5.9549977070754755E-3</v>
      </c>
      <c r="P8" s="7">
        <f>$B8 * IFERROR(VLOOKUP("transport|NOx|Asthma symptoms wheeze", US_national_yearly!$D:$AM, 24, FALSE) / VLOOKUP("transport|NOx|Asthma symptoms wheeze", US_national_yearly!$D:$AM, 10, FALSE), 1)</f>
        <v>5.9784950327408364E-3</v>
      </c>
      <c r="Q8" s="7">
        <f>$B8 * IFERROR(VLOOKUP("transport|NOx|Asthma symptoms wheeze", US_national_yearly!$D:$AM, 25, FALSE) / VLOOKUP("transport|NOx|Asthma symptoms wheeze", US_national_yearly!$D:$AM, 10, FALSE), 1)</f>
        <v>6.0019923584061991E-3</v>
      </c>
      <c r="R8" s="7">
        <f>$B8 * IFERROR(VLOOKUP("transport|NOx|Asthma symptoms wheeze", US_national_yearly!$D:$AM, 26, FALSE) / VLOOKUP("transport|NOx|Asthma symptoms wheeze", US_national_yearly!$D:$AM, 10, FALSE), 1)</f>
        <v>6.02548968407156E-3</v>
      </c>
      <c r="S8" s="7">
        <f>$B8 * IFERROR(VLOOKUP("transport|NOx|Asthma symptoms wheeze", US_national_yearly!$D:$AM, 27, FALSE) / VLOOKUP("transport|NOx|Asthma symptoms wheeze", US_national_yearly!$D:$AM, 10, FALSE), 1)</f>
        <v>6.0561846752151087E-3</v>
      </c>
      <c r="T8" s="7">
        <f>$B8 * IFERROR(VLOOKUP("transport|NOx|Asthma symptoms wheeze", US_national_yearly!$D:$AM, 28, FALSE) / VLOOKUP("transport|NOx|Asthma symptoms wheeze", US_national_yearly!$D:$AM, 10, FALSE), 1)</f>
        <v>6.0868796663586565E-3</v>
      </c>
      <c r="U8" s="7">
        <f>$B8 * IFERROR(VLOOKUP("transport|NOx|Asthma symptoms wheeze", US_national_yearly!$D:$AM, 29, FALSE) / VLOOKUP("transport|NOx|Asthma symptoms wheeze", US_national_yearly!$D:$AM, 10, FALSE), 1)</f>
        <v>6.1175746575022052E-3</v>
      </c>
      <c r="V8" s="7">
        <f>$B8 * IFERROR(VLOOKUP("transport|NOx|Asthma symptoms wheeze", US_national_yearly!$D:$AM, 30, FALSE) / VLOOKUP("transport|NOx|Asthma symptoms wheeze", US_national_yearly!$D:$AM, 10, FALSE), 1)</f>
        <v>6.1482696486457539E-3</v>
      </c>
      <c r="W8" s="7">
        <f>$B8 * IFERROR(VLOOKUP("transport|NOx|Asthma symptoms wheeze", US_national_yearly!$D:$AM, 31, FALSE) / VLOOKUP("transport|NOx|Asthma symptoms wheeze", US_national_yearly!$D:$AM, 10, FALSE), 1)</f>
        <v>6.1789646397893017E-3</v>
      </c>
      <c r="X8" s="7">
        <f>$B8 * IFERROR(VLOOKUP("transport|NOx|Asthma symptoms wheeze", US_national_yearly!$D:$AM, 32, FALSE) / VLOOKUP("transport|NOx|Asthma symptoms wheeze", US_national_yearly!$D:$AM, 10, FALSE), 1)</f>
        <v>6.2074846969785817E-3</v>
      </c>
      <c r="Y8" s="7">
        <f>$B8 * IFERROR(VLOOKUP("transport|NOx|Asthma symptoms wheeze", US_national_yearly!$D:$AM, 33, FALSE) / VLOOKUP("transport|NOx|Asthma symptoms wheeze", US_national_yearly!$D:$AM, 10, FALSE), 1)</f>
        <v>6.2360047541678608E-3</v>
      </c>
      <c r="Z8" s="7">
        <f>$B8 * IFERROR(VLOOKUP("transport|NOx|Asthma symptoms wheeze", US_national_yearly!$D:$AM, 34, FALSE) / VLOOKUP("transport|NOx|Asthma symptoms wheeze", US_national_yearly!$D:$AM, 10, FALSE), 1)</f>
        <v>6.2645248113571417E-3</v>
      </c>
      <c r="AA8" s="7">
        <f>$B8 * IFERROR(VLOOKUP("transport|NOx|Asthma symptoms wheeze", US_national_yearly!$D:$AM, 35, FALSE) / VLOOKUP("transport|NOx|Asthma symptoms wheeze", US_national_yearly!$D:$AM, 10, FALSE), 1)</f>
        <v>6.2930448685464208E-3</v>
      </c>
      <c r="AB8" s="7">
        <f>$B8 * IFERROR(VLOOKUP("transport|NOx|Asthma symptoms wheeze", US_national_yearly!$D:$AM, 36, FALSE) / VLOOKUP("transport|NOx|Asthma symptoms wheeze", US_national_yearly!$D:$AM, 10, FALSE), 1)</f>
        <v>6.3215649257357008E-3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6.905694448368283E-5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7.0779546809213829E-5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7.2502149134744855E-5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7.4224751460275868E-5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7.5947353785806894E-5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7.7594220239418611E-5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7.9241086693030341E-5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8.0639310168294706E-5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8.2037533643559071E-5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8.3435757118823436E-5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8.4833980594087815E-5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8.623220406935218E-5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8.7166941636963958E-5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8.8101679204575749E-5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8.9036416772187541E-5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8.9971154339799346E-5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9.0905891907411138E-5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9.1406698967683332E-5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9.1907506027955526E-5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9.2408313088227721E-5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9.2909120148499888E-5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9.3409927208772109E-5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9.3752163771375225E-5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9.4094400333978354E-5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9.4436636896581496E-5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9.4778873459184625E-5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9.5121110021787741E-5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4.2039239872250983E-4</v>
      </c>
      <c r="C13" s="7">
        <f>$B13 * IFERROR(VLOOKUP("transport|NOx|Non-fatal heart attacks", US_national_yearly!$D:$AM, 11, FALSE) / VLOOKUP("transport|NOx|Non-fatal heart attacks", US_national_yearly!$D:$AM, 10, FALSE), 1)</f>
        <v>4.3241104701265143E-4</v>
      </c>
      <c r="D13" s="7">
        <f>$B13 * IFERROR(VLOOKUP("transport|NOx|Non-fatal heart attacks", US_national_yearly!$D:$AM, 12, FALSE) / VLOOKUP("transport|NOx|Non-fatal heart attacks", US_national_yearly!$D:$AM, 10, FALSE), 1)</f>
        <v>4.4442969530279297E-4</v>
      </c>
      <c r="E13" s="7">
        <f>$B13 * IFERROR(VLOOKUP("transport|NOx|Non-fatal heart attacks", US_national_yearly!$D:$AM, 13, FALSE) / VLOOKUP("transport|NOx|Non-fatal heart attacks", US_national_yearly!$D:$AM, 10, FALSE), 1)</f>
        <v>4.5644834359293446E-4</v>
      </c>
      <c r="F13" s="7">
        <f>$B13 * IFERROR(VLOOKUP("transport|NOx|Non-fatal heart attacks", US_national_yearly!$D:$AM, 14, FALSE) / VLOOKUP("transport|NOx|Non-fatal heart attacks", US_national_yearly!$D:$AM, 10, FALSE), 1)</f>
        <v>4.6846699188307606E-4</v>
      </c>
      <c r="G13" s="7">
        <f>$B13 * IFERROR(VLOOKUP("transport|NOx|Non-fatal heart attacks", US_national_yearly!$D:$AM, 15, FALSE) / VLOOKUP("transport|NOx|Non-fatal heart attacks", US_national_yearly!$D:$AM, 10, FALSE), 1)</f>
        <v>4.7969839373129038E-4</v>
      </c>
      <c r="H13" s="7">
        <f>$B13 * IFERROR(VLOOKUP("transport|NOx|Non-fatal heart attacks", US_national_yearly!$D:$AM, 16, FALSE) / VLOOKUP("transport|NOx|Non-fatal heart attacks", US_national_yearly!$D:$AM, 10, FALSE), 1)</f>
        <v>4.9092979557950459E-4</v>
      </c>
      <c r="I13" s="7">
        <f>$B13 * IFERROR(VLOOKUP("transport|NOx|Non-fatal heart attacks", US_national_yearly!$D:$AM, 17, FALSE) / VLOOKUP("transport|NOx|Non-fatal heart attacks", US_national_yearly!$D:$AM, 10, FALSE), 1)</f>
        <v>4.9978447206500457E-4</v>
      </c>
      <c r="J13" s="7">
        <f>$B13 * IFERROR(VLOOKUP("transport|NOx|Non-fatal heart attacks", US_national_yearly!$D:$AM, 18, FALSE) / VLOOKUP("transport|NOx|Non-fatal heart attacks", US_national_yearly!$D:$AM, 10, FALSE), 1)</f>
        <v>5.0863914855050455E-4</v>
      </c>
      <c r="K13" s="7">
        <f>$B13 * IFERROR(VLOOKUP("transport|NOx|Non-fatal heart attacks", US_national_yearly!$D:$AM, 19, FALSE) / VLOOKUP("transport|NOx|Non-fatal heart attacks", US_national_yearly!$D:$AM, 10, FALSE), 1)</f>
        <v>5.174938250360042E-4</v>
      </c>
      <c r="L13" s="7">
        <f>$B13 * IFERROR(VLOOKUP("transport|NOx|Non-fatal heart attacks", US_national_yearly!$D:$AM, 20, FALSE) / VLOOKUP("transport|NOx|Non-fatal heart attacks", US_national_yearly!$D:$AM, 10, FALSE), 1)</f>
        <v>5.263485015215045E-4</v>
      </c>
      <c r="M13" s="7">
        <f>$B13 * IFERROR(VLOOKUP("transport|NOx|Non-fatal heart attacks", US_national_yearly!$D:$AM, 21, FALSE) / VLOOKUP("transport|NOx|Non-fatal heart attacks", US_national_yearly!$D:$AM, 10, FALSE), 1)</f>
        <v>5.3520317800700426E-4</v>
      </c>
      <c r="N13" s="7">
        <f>$B13 * IFERROR(VLOOKUP("transport|NOx|Non-fatal heart attacks", US_national_yearly!$D:$AM, 22, FALSE) / VLOOKUP("transport|NOx|Non-fatal heart attacks", US_national_yearly!$D:$AM, 10, FALSE), 1)</f>
        <v>5.4053041991271582E-4</v>
      </c>
      <c r="O13" s="7">
        <f>$B13 * IFERROR(VLOOKUP("transport|NOx|Non-fatal heart attacks", US_national_yearly!$D:$AM, 23, FALSE) / VLOOKUP("transport|NOx|Non-fatal heart attacks", US_national_yearly!$D:$AM, 10, FALSE), 1)</f>
        <v>5.4585766181842739E-4</v>
      </c>
      <c r="P13" s="7">
        <f>$B13 * IFERROR(VLOOKUP("transport|NOx|Non-fatal heart attacks", US_national_yearly!$D:$AM, 24, FALSE) / VLOOKUP("transport|NOx|Non-fatal heart attacks", US_national_yearly!$D:$AM, 10, FALSE), 1)</f>
        <v>5.5118490372413874E-4</v>
      </c>
      <c r="Q13" s="7">
        <f>$B13 * IFERROR(VLOOKUP("transport|NOx|Non-fatal heart attacks", US_national_yearly!$D:$AM, 25, FALSE) / VLOOKUP("transport|NOx|Non-fatal heart attacks", US_national_yearly!$D:$AM, 10, FALSE), 1)</f>
        <v>5.5651214562985041E-4</v>
      </c>
      <c r="R13" s="7">
        <f>$B13 * IFERROR(VLOOKUP("transport|NOx|Non-fatal heart attacks", US_national_yearly!$D:$AM, 26, FALSE) / VLOOKUP("transport|NOx|Non-fatal heart attacks", US_national_yearly!$D:$AM, 10, FALSE), 1)</f>
        <v>5.6183938753556198E-4</v>
      </c>
      <c r="S13" s="7">
        <f>$B13 * IFERROR(VLOOKUP("transport|NOx|Non-fatal heart attacks", US_national_yearly!$D:$AM, 27, FALSE) / VLOOKUP("transport|NOx|Non-fatal heart attacks", US_national_yearly!$D:$AM, 10, FALSE), 1)</f>
        <v>5.6425586130917952E-4</v>
      </c>
      <c r="T13" s="7">
        <f>$B13 * IFERROR(VLOOKUP("transport|NOx|Non-fatal heart attacks", US_national_yearly!$D:$AM, 28, FALSE) / VLOOKUP("transport|NOx|Non-fatal heart attacks", US_national_yearly!$D:$AM, 10, FALSE), 1)</f>
        <v>5.6667233508279707E-4</v>
      </c>
      <c r="U13" s="7">
        <f>$B13 * IFERROR(VLOOKUP("transport|NOx|Non-fatal heart attacks", US_national_yearly!$D:$AM, 29, FALSE) / VLOOKUP("transport|NOx|Non-fatal heart attacks", US_national_yearly!$D:$AM, 10, FALSE), 1)</f>
        <v>5.6908880885641461E-4</v>
      </c>
      <c r="V13" s="7">
        <f>$B13 * IFERROR(VLOOKUP("transport|NOx|Non-fatal heart attacks", US_national_yearly!$D:$AM, 30, FALSE) / VLOOKUP("transport|NOx|Non-fatal heart attacks", US_national_yearly!$D:$AM, 10, FALSE), 1)</f>
        <v>5.7150528263003226E-4</v>
      </c>
      <c r="W13" s="7">
        <f>$B13 * IFERROR(VLOOKUP("transport|NOx|Non-fatal heart attacks", US_national_yearly!$D:$AM, 31, FALSE) / VLOOKUP("transport|NOx|Non-fatal heart attacks", US_national_yearly!$D:$AM, 10, FALSE), 1)</f>
        <v>5.7392175640364981E-4</v>
      </c>
      <c r="X13" s="7">
        <f>$B13 * IFERROR(VLOOKUP("transport|NOx|Non-fatal heart attacks", US_national_yearly!$D:$AM, 32, FALSE) / VLOOKUP("transport|NOx|Non-fatal heart attacks", US_national_yearly!$D:$AM, 10, FALSE), 1)</f>
        <v>5.7553657132970672E-4</v>
      </c>
      <c r="Y13" s="7">
        <f>$B13 * IFERROR(VLOOKUP("transport|NOx|Non-fatal heart attacks", US_national_yearly!$D:$AM, 33, FALSE) / VLOOKUP("transport|NOx|Non-fatal heart attacks", US_national_yearly!$D:$AM, 10, FALSE), 1)</f>
        <v>5.7715138625576384E-4</v>
      </c>
      <c r="Z13" s="7">
        <f>$B13 * IFERROR(VLOOKUP("transport|NOx|Non-fatal heart attacks", US_national_yearly!$D:$AM, 34, FALSE) / VLOOKUP("transport|NOx|Non-fatal heart attacks", US_national_yearly!$D:$AM, 10, FALSE), 1)</f>
        <v>5.7876620118182064E-4</v>
      </c>
      <c r="AA13" s="7">
        <f>$B13 * IFERROR(VLOOKUP("transport|NOx|Non-fatal heart attacks", US_national_yearly!$D:$AM, 35, FALSE) / VLOOKUP("transport|NOx|Non-fatal heart attacks", US_national_yearly!$D:$AM, 10, FALSE), 1)</f>
        <v>5.8038101610787766E-4</v>
      </c>
      <c r="AB13" s="7">
        <f>$B13 * IFERROR(VLOOKUP("transport|NOx|Non-fatal heart attacks", US_national_yearly!$D:$AM, 36, FALSE) / VLOOKUP("transport|NOx|Non-fatal heart attacks", US_national_yearly!$D:$AM, 10, FALSE), 1)</f>
        <v>5.8199583103393467E-4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0.30309961724891954</v>
      </c>
      <c r="C14" s="7">
        <f>$B14 * IFERROR(VLOOKUP("transport|NOx|Minor restricted activity days", US_national_yearly!$D:$AM, 11, FALSE) / VLOOKUP("transport|NOx|Minor restricted activity days", US_national_yearly!$D:$AM, 10, FALSE), 1)</f>
        <v>0.30356431982792231</v>
      </c>
      <c r="D14" s="7">
        <f>$B14 * IFERROR(VLOOKUP("transport|NOx|Minor restricted activity days", US_national_yearly!$D:$AM, 12, FALSE) / VLOOKUP("transport|NOx|Minor restricted activity days", US_national_yearly!$D:$AM, 10, FALSE), 1)</f>
        <v>0.3040290224069252</v>
      </c>
      <c r="E14" s="7">
        <f>$B14 * IFERROR(VLOOKUP("transport|NOx|Minor restricted activity days", US_national_yearly!$D:$AM, 13, FALSE) / VLOOKUP("transport|NOx|Minor restricted activity days", US_national_yearly!$D:$AM, 10, FALSE), 1)</f>
        <v>0.30449372498592803</v>
      </c>
      <c r="F14" s="7">
        <f>$B14 * IFERROR(VLOOKUP("transport|NOx|Minor restricted activity days", US_national_yearly!$D:$AM, 14, FALSE) / VLOOKUP("transport|NOx|Minor restricted activity days", US_national_yearly!$D:$AM, 10, FALSE), 1)</f>
        <v>0.30495842756493086</v>
      </c>
      <c r="G14" s="7">
        <f>$B14 * IFERROR(VLOOKUP("transport|NOx|Minor restricted activity days", US_national_yearly!$D:$AM, 15, FALSE) / VLOOKUP("transport|NOx|Minor restricted activity days", US_national_yearly!$D:$AM, 10, FALSE), 1)</f>
        <v>0.30579756981389167</v>
      </c>
      <c r="H14" s="7">
        <f>$B14 * IFERROR(VLOOKUP("transport|NOx|Minor restricted activity days", US_national_yearly!$D:$AM, 16, FALSE) / VLOOKUP("transport|NOx|Minor restricted activity days", US_national_yearly!$D:$AM, 10, FALSE), 1)</f>
        <v>0.30663671206285242</v>
      </c>
      <c r="I14" s="7">
        <f>$B14 * IFERROR(VLOOKUP("transport|NOx|Minor restricted activity days", US_national_yearly!$D:$AM, 17, FALSE) / VLOOKUP("transport|NOx|Minor restricted activity days", US_national_yearly!$D:$AM, 10, FALSE), 1)</f>
        <v>0.30827804111870166</v>
      </c>
      <c r="J14" s="7">
        <f>$B14 * IFERROR(VLOOKUP("transport|NOx|Minor restricted activity days", US_national_yearly!$D:$AM, 18, FALSE) / VLOOKUP("transport|NOx|Minor restricted activity days", US_national_yearly!$D:$AM, 10, FALSE), 1)</f>
        <v>0.30991937017455079</v>
      </c>
      <c r="K14" s="7">
        <f>$B14 * IFERROR(VLOOKUP("transport|NOx|Minor restricted activity days", US_national_yearly!$D:$AM, 19, FALSE) / VLOOKUP("transport|NOx|Minor restricted activity days", US_national_yearly!$D:$AM, 10, FALSE), 1)</f>
        <v>0.31156069923039997</v>
      </c>
      <c r="L14" s="7">
        <f>$B14 * IFERROR(VLOOKUP("transport|NOx|Minor restricted activity days", US_national_yearly!$D:$AM, 20, FALSE) / VLOOKUP("transport|NOx|Minor restricted activity days", US_national_yearly!$D:$AM, 10, FALSE), 1)</f>
        <v>0.3132020282862491</v>
      </c>
      <c r="M14" s="7">
        <f>$B14 * IFERROR(VLOOKUP("transport|NOx|Minor restricted activity days", US_national_yearly!$D:$AM, 21, FALSE) / VLOOKUP("transport|NOx|Minor restricted activity days", US_national_yearly!$D:$AM, 10, FALSE), 1)</f>
        <v>0.31484335734209834</v>
      </c>
      <c r="N14" s="7">
        <f>$B14 * IFERROR(VLOOKUP("transport|NOx|Minor restricted activity days", US_national_yearly!$D:$AM, 22, FALSE) / VLOOKUP("transport|NOx|Minor restricted activity days", US_national_yearly!$D:$AM, 10, FALSE), 1)</f>
        <v>0.31719336838677181</v>
      </c>
      <c r="O14" s="7">
        <f>$B14 * IFERROR(VLOOKUP("transport|NOx|Minor restricted activity days", US_national_yearly!$D:$AM, 23, FALSE) / VLOOKUP("transport|NOx|Minor restricted activity days", US_national_yearly!$D:$AM, 10, FALSE), 1)</f>
        <v>0.31954337943144528</v>
      </c>
      <c r="P14" s="7">
        <f>$B14 * IFERROR(VLOOKUP("transport|NOx|Minor restricted activity days", US_national_yearly!$D:$AM, 24, FALSE) / VLOOKUP("transport|NOx|Minor restricted activity days", US_national_yearly!$D:$AM, 10, FALSE), 1)</f>
        <v>0.32189339047611876</v>
      </c>
      <c r="Q14" s="7">
        <f>$B14 * IFERROR(VLOOKUP("transport|NOx|Minor restricted activity days", US_national_yearly!$D:$AM, 25, FALSE) / VLOOKUP("transport|NOx|Minor restricted activity days", US_national_yearly!$D:$AM, 10, FALSE), 1)</f>
        <v>0.32424340152079223</v>
      </c>
      <c r="R14" s="7">
        <f>$B14 * IFERROR(VLOOKUP("transport|NOx|Minor restricted activity days", US_national_yearly!$D:$AM, 26, FALSE) / VLOOKUP("transport|NOx|Minor restricted activity days", US_national_yearly!$D:$AM, 10, FALSE), 1)</f>
        <v>0.3265934125654657</v>
      </c>
      <c r="S14" s="7">
        <f>$B14 * IFERROR(VLOOKUP("transport|NOx|Minor restricted activity days", US_national_yearly!$D:$AM, 27, FALSE) / VLOOKUP("transport|NOx|Minor restricted activity days", US_national_yearly!$D:$AM, 10, FALSE), 1)</f>
        <v>0.32894292952534687</v>
      </c>
      <c r="T14" s="7">
        <f>$B14 * IFERROR(VLOOKUP("transport|NOx|Minor restricted activity days", US_national_yearly!$D:$AM, 28, FALSE) / VLOOKUP("transport|NOx|Minor restricted activity days", US_national_yearly!$D:$AM, 10, FALSE), 1)</f>
        <v>0.33129244648522793</v>
      </c>
      <c r="U14" s="7">
        <f>$B14 * IFERROR(VLOOKUP("transport|NOx|Minor restricted activity days", US_national_yearly!$D:$AM, 29, FALSE) / VLOOKUP("transport|NOx|Minor restricted activity days", US_national_yearly!$D:$AM, 10, FALSE), 1)</f>
        <v>0.3336419634451091</v>
      </c>
      <c r="V14" s="7">
        <f>$B14 * IFERROR(VLOOKUP("transport|NOx|Minor restricted activity days", US_national_yearly!$D:$AM, 30, FALSE) / VLOOKUP("transport|NOx|Minor restricted activity days", US_national_yearly!$D:$AM, 10, FALSE), 1)</f>
        <v>0.33599148040499027</v>
      </c>
      <c r="W14" s="7">
        <f>$B14 * IFERROR(VLOOKUP("transport|NOx|Minor restricted activity days", US_national_yearly!$D:$AM, 31, FALSE) / VLOOKUP("transport|NOx|Minor restricted activity days", US_national_yearly!$D:$AM, 10, FALSE), 1)</f>
        <v>0.33834099736487139</v>
      </c>
      <c r="X14" s="7">
        <f>$B14 * IFERROR(VLOOKUP("transport|NOx|Minor restricted activity days", US_national_yearly!$D:$AM, 32, FALSE) / VLOOKUP("transport|NOx|Minor restricted activity days", US_national_yearly!$D:$AM, 10, FALSE), 1)</f>
        <v>0.34032742444765252</v>
      </c>
      <c r="Y14" s="7">
        <f>$B14 * IFERROR(VLOOKUP("transport|NOx|Minor restricted activity days", US_national_yearly!$D:$AM, 33, FALSE) / VLOOKUP("transport|NOx|Minor restricted activity days", US_national_yearly!$D:$AM, 10, FALSE), 1)</f>
        <v>0.34231385153043364</v>
      </c>
      <c r="Z14" s="7">
        <f>$B14 * IFERROR(VLOOKUP("transport|NOx|Minor restricted activity days", US_national_yearly!$D:$AM, 34, FALSE) / VLOOKUP("transport|NOx|Minor restricted activity days", US_national_yearly!$D:$AM, 10, FALSE), 1)</f>
        <v>0.34430027861321477</v>
      </c>
      <c r="AA14" s="7">
        <f>$B14 * IFERROR(VLOOKUP("transport|NOx|Minor restricted activity days", US_national_yearly!$D:$AM, 35, FALSE) / VLOOKUP("transport|NOx|Minor restricted activity days", US_national_yearly!$D:$AM, 10, FALSE), 1)</f>
        <v>0.3462867056959959</v>
      </c>
      <c r="AB14" s="7">
        <f>$B14 * IFERROR(VLOOKUP("transport|NOx|Minor restricted activity days", US_national_yearly!$D:$AM, 36, FALSE) / VLOOKUP("transport|NOx|Minor restricted activity days", US_national_yearly!$D:$AM, 10, FALSE), 1)</f>
        <v>0.34827313277877703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5.1385673972842168E-2</v>
      </c>
      <c r="C15" s="7">
        <f>$B15 * IFERROR(VLOOKUP("transport|NOx|Work loss days", US_national_yearly!$D:$AM, 11, FALSE) / VLOOKUP("transport|NOx|Work loss days", US_national_yearly!$D:$AM, 10, FALSE), 1)</f>
        <v>5.1499978640220115E-2</v>
      </c>
      <c r="D15" s="7">
        <f>$B15 * IFERROR(VLOOKUP("transport|NOx|Work loss days", US_national_yearly!$D:$AM, 12, FALSE) / VLOOKUP("transport|NOx|Work loss days", US_national_yearly!$D:$AM, 10, FALSE), 1)</f>
        <v>5.1614283307598076E-2</v>
      </c>
      <c r="E15" s="7">
        <f>$B15 * IFERROR(VLOOKUP("transport|NOx|Work loss days", US_national_yearly!$D:$AM, 13, FALSE) / VLOOKUP("transport|NOx|Work loss days", US_national_yearly!$D:$AM, 10, FALSE), 1)</f>
        <v>5.1728587974976023E-2</v>
      </c>
      <c r="F15" s="7">
        <f>$B15 * IFERROR(VLOOKUP("transport|NOx|Work loss days", US_national_yearly!$D:$AM, 14, FALSE) / VLOOKUP("transport|NOx|Work loss days", US_national_yearly!$D:$AM, 10, FALSE), 1)</f>
        <v>5.1842892642353984E-2</v>
      </c>
      <c r="G15" s="7">
        <f>$B15 * IFERROR(VLOOKUP("transport|NOx|Work loss days", US_national_yearly!$D:$AM, 15, FALSE) / VLOOKUP("transport|NOx|Work loss days", US_national_yearly!$D:$AM, 10, FALSE), 1)</f>
        <v>5.2009778431795356E-2</v>
      </c>
      <c r="H15" s="7">
        <f>$B15 * IFERROR(VLOOKUP("transport|NOx|Work loss days", US_national_yearly!$D:$AM, 16, FALSE) / VLOOKUP("transport|NOx|Work loss days", US_national_yearly!$D:$AM, 10, FALSE), 1)</f>
        <v>5.2176664221236742E-2</v>
      </c>
      <c r="I15" s="7">
        <f>$B15 * IFERROR(VLOOKUP("transport|NOx|Work loss days", US_national_yearly!$D:$AM, 17, FALSE) / VLOOKUP("transport|NOx|Work loss days", US_national_yearly!$D:$AM, 10, FALSE), 1)</f>
        <v>5.2447010155553364E-2</v>
      </c>
      <c r="J15" s="7">
        <f>$B15 * IFERROR(VLOOKUP("transport|NOx|Work loss days", US_national_yearly!$D:$AM, 18, FALSE) / VLOOKUP("transport|NOx|Work loss days", US_national_yearly!$D:$AM, 10, FALSE), 1)</f>
        <v>5.2717356089869993E-2</v>
      </c>
      <c r="K15" s="7">
        <f>$B15 * IFERROR(VLOOKUP("transport|NOx|Work loss days", US_national_yearly!$D:$AM, 19, FALSE) / VLOOKUP("transport|NOx|Work loss days", US_national_yearly!$D:$AM, 10, FALSE), 1)</f>
        <v>5.2987702024186616E-2</v>
      </c>
      <c r="L15" s="7">
        <f>$B15 * IFERROR(VLOOKUP("transport|NOx|Work loss days", US_national_yearly!$D:$AM, 20, FALSE) / VLOOKUP("transport|NOx|Work loss days", US_national_yearly!$D:$AM, 10, FALSE), 1)</f>
        <v>5.3258047958503231E-2</v>
      </c>
      <c r="M15" s="7">
        <f>$B15 * IFERROR(VLOOKUP("transport|NOx|Work loss days", US_national_yearly!$D:$AM, 21, FALSE) / VLOOKUP("transport|NOx|Work loss days", US_national_yearly!$D:$AM, 10, FALSE), 1)</f>
        <v>5.352839389281986E-2</v>
      </c>
      <c r="N15" s="7">
        <f>$B15 * IFERROR(VLOOKUP("transport|NOx|Work loss days", US_national_yearly!$D:$AM, 22, FALSE) / VLOOKUP("transport|NOx|Work loss days", US_national_yearly!$D:$AM, 10, FALSE), 1)</f>
        <v>5.3880232537167484E-2</v>
      </c>
      <c r="O15" s="7">
        <f>$B15 * IFERROR(VLOOKUP("transport|NOx|Work loss days", US_national_yearly!$D:$AM, 23, FALSE) / VLOOKUP("transport|NOx|Work loss days", US_national_yearly!$D:$AM, 10, FALSE), 1)</f>
        <v>5.4232071181515108E-2</v>
      </c>
      <c r="P15" s="7">
        <f>$B15 * IFERROR(VLOOKUP("transport|NOx|Work loss days", US_national_yearly!$D:$AM, 24, FALSE) / VLOOKUP("transport|NOx|Work loss days", US_national_yearly!$D:$AM, 10, FALSE), 1)</f>
        <v>5.4583909825862725E-2</v>
      </c>
      <c r="Q15" s="7">
        <f>$B15 * IFERROR(VLOOKUP("transport|NOx|Work loss days", US_national_yearly!$D:$AM, 25, FALSE) / VLOOKUP("transport|NOx|Work loss days", US_national_yearly!$D:$AM, 10, FALSE), 1)</f>
        <v>5.4935748470210335E-2</v>
      </c>
      <c r="R15" s="7">
        <f>$B15 * IFERROR(VLOOKUP("transport|NOx|Work loss days", US_national_yearly!$D:$AM, 26, FALSE) / VLOOKUP("transport|NOx|Work loss days", US_national_yearly!$D:$AM, 10, FALSE), 1)</f>
        <v>5.5287587114557966E-2</v>
      </c>
      <c r="S15" s="7">
        <f>$B15 * IFERROR(VLOOKUP("transport|NOx|Work loss days", US_national_yearly!$D:$AM, 27, FALSE) / VLOOKUP("transport|NOx|Work loss days", US_national_yearly!$D:$AM, 10, FALSE), 1)</f>
        <v>5.5679842216211174E-2</v>
      </c>
      <c r="T15" s="7">
        <f>$B15 * IFERROR(VLOOKUP("transport|NOx|Work loss days", US_national_yearly!$D:$AM, 28, FALSE) / VLOOKUP("transport|NOx|Work loss days", US_national_yearly!$D:$AM, 10, FALSE), 1)</f>
        <v>5.6072097317864382E-2</v>
      </c>
      <c r="U15" s="7">
        <f>$B15 * IFERROR(VLOOKUP("transport|NOx|Work loss days", US_national_yearly!$D:$AM, 29, FALSE) / VLOOKUP("transport|NOx|Work loss days", US_national_yearly!$D:$AM, 10, FALSE), 1)</f>
        <v>5.6464352419517576E-2</v>
      </c>
      <c r="V15" s="7">
        <f>$B15 * IFERROR(VLOOKUP("transport|NOx|Work loss days", US_national_yearly!$D:$AM, 30, FALSE) / VLOOKUP("transport|NOx|Work loss days", US_national_yearly!$D:$AM, 10, FALSE), 1)</f>
        <v>5.6856607521170784E-2</v>
      </c>
      <c r="W15" s="7">
        <f>$B15 * IFERROR(VLOOKUP("transport|NOx|Work loss days", US_national_yearly!$D:$AM, 31, FALSE) / VLOOKUP("transport|NOx|Work loss days", US_national_yearly!$D:$AM, 10, FALSE), 1)</f>
        <v>5.7248862622823984E-2</v>
      </c>
      <c r="X15" s="7">
        <f>$B15 * IFERROR(VLOOKUP("transport|NOx|Work loss days", US_national_yearly!$D:$AM, 32, FALSE) / VLOOKUP("transport|NOx|Work loss days", US_national_yearly!$D:$AM, 10, FALSE), 1)</f>
        <v>5.7589319137295474E-2</v>
      </c>
      <c r="Y15" s="7">
        <f>$B15 * IFERROR(VLOOKUP("transport|NOx|Work loss days", US_national_yearly!$D:$AM, 33, FALSE) / VLOOKUP("transport|NOx|Work loss days", US_national_yearly!$D:$AM, 10, FALSE), 1)</f>
        <v>5.7929775651766963E-2</v>
      </c>
      <c r="Z15" s="7">
        <f>$B15 * IFERROR(VLOOKUP("transport|NOx|Work loss days", US_national_yearly!$D:$AM, 34, FALSE) / VLOOKUP("transport|NOx|Work loss days", US_national_yearly!$D:$AM, 10, FALSE), 1)</f>
        <v>5.8270232166238445E-2</v>
      </c>
      <c r="AA15" s="7">
        <f>$B15 * IFERROR(VLOOKUP("transport|NOx|Work loss days", US_national_yearly!$D:$AM, 35, FALSE) / VLOOKUP("transport|NOx|Work loss days", US_national_yearly!$D:$AM, 10, FALSE), 1)</f>
        <v>5.8610688680709934E-2</v>
      </c>
      <c r="AB15" s="7">
        <f>$B15 * IFERROR(VLOOKUP("transport|NOx|Work loss days", US_national_yearly!$D:$AM, 36, FALSE) / VLOOKUP("transport|NOx|Work loss days", US_national_yearly!$D:$AM, 10, FALSE), 1)</f>
        <v>5.8951145195181423E-2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1.0594038802554276E-4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1.0905340731157744E-4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1.1216642659761209E-4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1.1527944588364674E-4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1.1839246516968142E-4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1.2134931867709978E-4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1.2430617218451816E-4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1.2679265787588406E-4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1.2927914356724999E-4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1.3176562925861589E-4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1.3425211494998179E-4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1.3673860064134771E-4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1.3829348253332964E-4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1.398483644253116E-4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1.4140324631729354E-4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1.4295812820927549E-4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1.4451301010125743E-4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1.4522246001076459E-4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1.4593190992027178E-4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1.4664135982977894E-4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1.473508097392861E-4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1.4806025964879329E-4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1.4845509311978914E-4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1.48849926590785E-4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1.4924476006178086E-4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1.4963959353277671E-4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1.5003442700377257E-4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6.1106445748877504E-3</v>
      </c>
      <c r="C2" s="7">
        <f>$B2 * IFERROR(VLOOKUP("transport|SO2|Premature mortality", US_national_yearly!$D:$AM, 11, FALSE) / VLOOKUP("transport|SO2|Premature mortality", US_national_yearly!$D:$AM, 10, FALSE), 1)</f>
        <v>6.1880325821762746E-3</v>
      </c>
      <c r="D2" s="7">
        <f>$B2 * IFERROR(VLOOKUP("transport|SO2|Premature mortality", US_national_yearly!$D:$AM, 12, FALSE) / VLOOKUP("transport|SO2|Premature mortality", US_national_yearly!$D:$AM, 10, FALSE), 1)</f>
        <v>6.2654205894647997E-3</v>
      </c>
      <c r="E2" s="7">
        <f>$B2 * IFERROR(VLOOKUP("transport|SO2|Premature mortality", US_national_yearly!$D:$AM, 13, FALSE) / VLOOKUP("transport|SO2|Premature mortality", US_national_yearly!$D:$AM, 10, FALSE), 1)</f>
        <v>6.342808596753324E-3</v>
      </c>
      <c r="F2" s="7">
        <f>$B2 * IFERROR(VLOOKUP("transport|SO2|Premature mortality", US_national_yearly!$D:$AM, 14, FALSE) / VLOOKUP("transport|SO2|Premature mortality", US_national_yearly!$D:$AM, 10, FALSE), 1)</f>
        <v>6.4201966040418482E-3</v>
      </c>
      <c r="G2" s="7">
        <f>$B2 * IFERROR(VLOOKUP("transport|SO2|Premature mortality", US_national_yearly!$D:$AM, 15, FALSE) / VLOOKUP("transport|SO2|Premature mortality", US_national_yearly!$D:$AM, 10, FALSE), 1)</f>
        <v>6.5693189082103821E-3</v>
      </c>
      <c r="H2" s="7">
        <f>$B2 * IFERROR(VLOOKUP("transport|SO2|Premature mortality", US_national_yearly!$D:$AM, 16, FALSE) / VLOOKUP("transport|SO2|Premature mortality", US_national_yearly!$D:$AM, 10, FALSE), 1)</f>
        <v>6.7184412123789151E-3</v>
      </c>
      <c r="I2" s="7">
        <f>$B2 * IFERROR(VLOOKUP("transport|SO2|Premature mortality", US_national_yearly!$D:$AM, 17, FALSE) / VLOOKUP("transport|SO2|Premature mortality", US_national_yearly!$D:$AM, 10, FALSE), 1)</f>
        <v>6.8169903682964448E-3</v>
      </c>
      <c r="J2" s="7">
        <f>$B2 * IFERROR(VLOOKUP("transport|SO2|Premature mortality", US_national_yearly!$D:$AM, 18, FALSE) / VLOOKUP("transport|SO2|Premature mortality", US_national_yearly!$D:$AM, 10, FALSE), 1)</f>
        <v>6.9155395242139744E-3</v>
      </c>
      <c r="K2" s="7">
        <f>$B2 * IFERROR(VLOOKUP("transport|SO2|Premature mortality", US_national_yearly!$D:$AM, 19, FALSE) / VLOOKUP("transport|SO2|Premature mortality", US_national_yearly!$D:$AM, 10, FALSE), 1)</f>
        <v>7.0140886801315031E-3</v>
      </c>
      <c r="L2" s="7">
        <f>$B2 * IFERROR(VLOOKUP("transport|SO2|Premature mortality", US_national_yearly!$D:$AM, 20, FALSE) / VLOOKUP("transport|SO2|Premature mortality", US_national_yearly!$D:$AM, 10, FALSE), 1)</f>
        <v>7.1126378360490327E-3</v>
      </c>
      <c r="M2" s="7">
        <f>$B2 * IFERROR(VLOOKUP("transport|SO2|Premature mortality", US_national_yearly!$D:$AM, 21, FALSE) / VLOOKUP("transport|SO2|Premature mortality", US_national_yearly!$D:$AM, 10, FALSE), 1)</f>
        <v>7.2111869919665623E-3</v>
      </c>
      <c r="N2" s="7">
        <f>$B2 * IFERROR(VLOOKUP("transport|SO2|Premature mortality", US_national_yearly!$D:$AM, 22, FALSE) / VLOOKUP("transport|SO2|Premature mortality", US_national_yearly!$D:$AM, 10, FALSE), 1)</f>
        <v>7.2881879568255864E-3</v>
      </c>
      <c r="O2" s="7">
        <f>$B2 * IFERROR(VLOOKUP("transport|SO2|Premature mortality", US_national_yearly!$D:$AM, 23, FALSE) / VLOOKUP("transport|SO2|Premature mortality", US_national_yearly!$D:$AM, 10, FALSE), 1)</f>
        <v>7.3651889216846114E-3</v>
      </c>
      <c r="P2" s="7">
        <f>$B2 * IFERROR(VLOOKUP("transport|SO2|Premature mortality", US_national_yearly!$D:$AM, 24, FALSE) / VLOOKUP("transport|SO2|Premature mortality", US_national_yearly!$D:$AM, 10, FALSE), 1)</f>
        <v>7.4421898865436355E-3</v>
      </c>
      <c r="Q2" s="7">
        <f>$B2 * IFERROR(VLOOKUP("transport|SO2|Premature mortality", US_national_yearly!$D:$AM, 25, FALSE) / VLOOKUP("transport|SO2|Premature mortality", US_national_yearly!$D:$AM, 10, FALSE), 1)</f>
        <v>7.5191908514026596E-3</v>
      </c>
      <c r="R2" s="7">
        <f>$B2 * IFERROR(VLOOKUP("transport|SO2|Premature mortality", US_national_yearly!$D:$AM, 26, FALSE) / VLOOKUP("transport|SO2|Premature mortality", US_national_yearly!$D:$AM, 10, FALSE), 1)</f>
        <v>7.5961918162616828E-3</v>
      </c>
      <c r="S2" s="7">
        <f>$B2 * IFERROR(VLOOKUP("transport|SO2|Premature mortality", US_national_yearly!$D:$AM, 27, FALSE) / VLOOKUP("transport|SO2|Premature mortality", US_national_yearly!$D:$AM, 10, FALSE), 1)</f>
        <v>7.6374268582268803E-3</v>
      </c>
      <c r="T2" s="7">
        <f>$B2 * IFERROR(VLOOKUP("transport|SO2|Premature mortality", US_national_yearly!$D:$AM, 28, FALSE) / VLOOKUP("transport|SO2|Premature mortality", US_national_yearly!$D:$AM, 10, FALSE), 1)</f>
        <v>7.6786619001920761E-3</v>
      </c>
      <c r="U2" s="7">
        <f>$B2 * IFERROR(VLOOKUP("transport|SO2|Premature mortality", US_national_yearly!$D:$AM, 29, FALSE) / VLOOKUP("transport|SO2|Premature mortality", US_national_yearly!$D:$AM, 10, FALSE), 1)</f>
        <v>7.7198969421572719E-3</v>
      </c>
      <c r="V2" s="7">
        <f>$B2 * IFERROR(VLOOKUP("transport|SO2|Premature mortality", US_national_yearly!$D:$AM, 30, FALSE) / VLOOKUP("transport|SO2|Premature mortality", US_national_yearly!$D:$AM, 10, FALSE), 1)</f>
        <v>7.7611319841224677E-3</v>
      </c>
      <c r="W2" s="7">
        <f>$B2 * IFERROR(VLOOKUP("transport|SO2|Premature mortality", US_national_yearly!$D:$AM, 31, FALSE) / VLOOKUP("transport|SO2|Premature mortality", US_national_yearly!$D:$AM, 10, FALSE), 1)</f>
        <v>7.8023670260876643E-3</v>
      </c>
      <c r="X2" s="7">
        <f>$B2 * IFERROR(VLOOKUP("transport|SO2|Premature mortality", US_national_yearly!$D:$AM, 32, FALSE) / VLOOKUP("transport|SO2|Premature mortality", US_national_yearly!$D:$AM, 10, FALSE), 1)</f>
        <v>7.8107440509914017E-3</v>
      </c>
      <c r="Y2" s="7">
        <f>$B2 * IFERROR(VLOOKUP("transport|SO2|Premature mortality", US_national_yearly!$D:$AM, 33, FALSE) / VLOOKUP("transport|SO2|Premature mortality", US_national_yearly!$D:$AM, 10, FALSE), 1)</f>
        <v>7.8191210758951409E-3</v>
      </c>
      <c r="Z2" s="7">
        <f>$B2 * IFERROR(VLOOKUP("transport|SO2|Premature mortality", US_national_yearly!$D:$AM, 34, FALSE) / VLOOKUP("transport|SO2|Premature mortality", US_national_yearly!$D:$AM, 10, FALSE), 1)</f>
        <v>7.8274981007988801E-3</v>
      </c>
      <c r="AA2" s="7">
        <f>$B2 * IFERROR(VLOOKUP("transport|SO2|Premature mortality", US_national_yearly!$D:$AM, 35, FALSE) / VLOOKUP("transport|SO2|Premature mortality", US_national_yearly!$D:$AM, 10, FALSE), 1)</f>
        <v>7.8358751257026175E-3</v>
      </c>
      <c r="AB2" s="7">
        <f>$B2 * IFERROR(VLOOKUP("transport|SO2|Premature mortality", US_national_yearly!$D:$AM, 36, FALSE) / VLOOKUP("transport|SO2|Premature mortality", US_national_yearly!$D:$AM, 10, FALSE), 1)</f>
        <v>7.844252150606355E-3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2.1486252410681919E-5</v>
      </c>
      <c r="C3" s="7">
        <f>$B3 * IFERROR(VLOOKUP("transport|SO2|Infant mortality", US_national_yearly!$D:$AM, 11, FALSE) / VLOOKUP("transport|SO2|Infant mortality", US_national_yearly!$D:$AM, 10, FALSE), 1)</f>
        <v>2.1301681583262023E-5</v>
      </c>
      <c r="D3" s="7">
        <f>$B3 * IFERROR(VLOOKUP("transport|SO2|Infant mortality", US_national_yearly!$D:$AM, 12, FALSE) / VLOOKUP("transport|SO2|Infant mortality", US_national_yearly!$D:$AM, 10, FALSE), 1)</f>
        <v>2.1117110755842128E-5</v>
      </c>
      <c r="E3" s="7">
        <f>$B3 * IFERROR(VLOOKUP("transport|SO2|Infant mortality", US_national_yearly!$D:$AM, 13, FALSE) / VLOOKUP("transport|SO2|Infant mortality", US_national_yearly!$D:$AM, 10, FALSE), 1)</f>
        <v>2.0932539928422229E-5</v>
      </c>
      <c r="F3" s="7">
        <f>$B3 * IFERROR(VLOOKUP("transport|SO2|Infant mortality", US_national_yearly!$D:$AM, 14, FALSE) / VLOOKUP("transport|SO2|Infant mortality", US_national_yearly!$D:$AM, 10, FALSE), 1)</f>
        <v>2.0747969101002333E-5</v>
      </c>
      <c r="G3" s="7">
        <f>$B3 * IFERROR(VLOOKUP("transport|SO2|Infant mortality", US_national_yearly!$D:$AM, 15, FALSE) / VLOOKUP("transport|SO2|Infant mortality", US_national_yearly!$D:$AM, 10, FALSE), 1)</f>
        <v>1.3819818495495077E-5</v>
      </c>
      <c r="H3" s="7">
        <f>$B3 * IFERROR(VLOOKUP("transport|SO2|Infant mortality", US_national_yearly!$D:$AM, 16, FALSE) / VLOOKUP("transport|SO2|Infant mortality", US_national_yearly!$D:$AM, 10, FALSE), 1)</f>
        <v>6.8916678899878288E-6</v>
      </c>
      <c r="I3" s="7">
        <f>$B3 * IFERROR(VLOOKUP("transport|SO2|Infant mortality", US_national_yearly!$D:$AM, 17, FALSE) / VLOOKUP("transport|SO2|Infant mortality", US_national_yearly!$D:$AM, 10, FALSE), 1)</f>
        <v>6.8484343762089111E-6</v>
      </c>
      <c r="J3" s="7">
        <f>$B3 * IFERROR(VLOOKUP("transport|SO2|Infant mortality", US_national_yearly!$D:$AM, 18, FALSE) / VLOOKUP("transport|SO2|Infant mortality", US_national_yearly!$D:$AM, 10, FALSE), 1)</f>
        <v>6.8052008624299925E-6</v>
      </c>
      <c r="K3" s="7">
        <f>$B3 * IFERROR(VLOOKUP("transport|SO2|Infant mortality", US_national_yearly!$D:$AM, 19, FALSE) / VLOOKUP("transport|SO2|Infant mortality", US_national_yearly!$D:$AM, 10, FALSE), 1)</f>
        <v>6.7619673486510748E-6</v>
      </c>
      <c r="L3" s="7">
        <f>$B3 * IFERROR(VLOOKUP("transport|SO2|Infant mortality", US_national_yearly!$D:$AM, 20, FALSE) / VLOOKUP("transport|SO2|Infant mortality", US_national_yearly!$D:$AM, 10, FALSE), 1)</f>
        <v>6.7187338348721579E-6</v>
      </c>
      <c r="M3" s="7">
        <f>$B3 * IFERROR(VLOOKUP("transport|SO2|Infant mortality", US_national_yearly!$D:$AM, 21, FALSE) / VLOOKUP("transport|SO2|Infant mortality", US_national_yearly!$D:$AM, 10, FALSE), 1)</f>
        <v>6.6755003210932393E-6</v>
      </c>
      <c r="N3" s="7">
        <f>$B3 * IFERROR(VLOOKUP("transport|SO2|Infant mortality", US_national_yearly!$D:$AM, 22, FALSE) / VLOOKUP("transport|SO2|Infant mortality", US_national_yearly!$D:$AM, 10, FALSE), 1)</f>
        <v>6.6483629681689273E-6</v>
      </c>
      <c r="O3" s="7">
        <f>$B3 * IFERROR(VLOOKUP("transport|SO2|Infant mortality", US_national_yearly!$D:$AM, 23, FALSE) / VLOOKUP("transport|SO2|Infant mortality", US_national_yearly!$D:$AM, 10, FALSE), 1)</f>
        <v>6.6212256152446152E-6</v>
      </c>
      <c r="P3" s="7">
        <f>$B3 * IFERROR(VLOOKUP("transport|SO2|Infant mortality", US_national_yearly!$D:$AM, 24, FALSE) / VLOOKUP("transport|SO2|Infant mortality", US_national_yearly!$D:$AM, 10, FALSE), 1)</f>
        <v>6.5940882623203014E-6</v>
      </c>
      <c r="Q3" s="7">
        <f>$B3 * IFERROR(VLOOKUP("transport|SO2|Infant mortality", US_national_yearly!$D:$AM, 25, FALSE) / VLOOKUP("transport|SO2|Infant mortality", US_national_yearly!$D:$AM, 10, FALSE), 1)</f>
        <v>6.5669509093959893E-6</v>
      </c>
      <c r="R3" s="7">
        <f>$B3 * IFERROR(VLOOKUP("transport|SO2|Infant mortality", US_national_yearly!$D:$AM, 26, FALSE) / VLOOKUP("transport|SO2|Infant mortality", US_national_yearly!$D:$AM, 10, FALSE), 1)</f>
        <v>6.5398135564716763E-6</v>
      </c>
      <c r="S3" s="7">
        <f>$B3 * IFERROR(VLOOKUP("transport|SO2|Infant mortality", US_national_yearly!$D:$AM, 27, FALSE) / VLOOKUP("transport|SO2|Infant mortality", US_national_yearly!$D:$AM, 10, FALSE), 1)</f>
        <v>6.5057409566322721E-6</v>
      </c>
      <c r="T3" s="7">
        <f>$B3 * IFERROR(VLOOKUP("transport|SO2|Infant mortality", US_national_yearly!$D:$AM, 28, FALSE) / VLOOKUP("transport|SO2|Infant mortality", US_national_yearly!$D:$AM, 10, FALSE), 1)</f>
        <v>6.4716683567928688E-6</v>
      </c>
      <c r="U3" s="7">
        <f>$B3 * IFERROR(VLOOKUP("transport|SO2|Infant mortality", US_national_yearly!$D:$AM, 29, FALSE) / VLOOKUP("transport|SO2|Infant mortality", US_national_yearly!$D:$AM, 10, FALSE), 1)</f>
        <v>6.4375957569534629E-6</v>
      </c>
      <c r="V3" s="7">
        <f>$B3 * IFERROR(VLOOKUP("transport|SO2|Infant mortality", US_national_yearly!$D:$AM, 30, FALSE) / VLOOKUP("transport|SO2|Infant mortality", US_national_yearly!$D:$AM, 10, FALSE), 1)</f>
        <v>6.4035231571140613E-6</v>
      </c>
      <c r="W3" s="7">
        <f>$B3 * IFERROR(VLOOKUP("transport|SO2|Infant mortality", US_national_yearly!$D:$AM, 31, FALSE) / VLOOKUP("transport|SO2|Infant mortality", US_national_yearly!$D:$AM, 10, FALSE), 1)</f>
        <v>6.3694505572746562E-6</v>
      </c>
      <c r="X3" s="7">
        <f>$B3 * IFERROR(VLOOKUP("transport|SO2|Infant mortality", US_national_yearly!$D:$AM, 32, FALSE) / VLOOKUP("transport|SO2|Infant mortality", US_national_yearly!$D:$AM, 10, FALSE), 1)</f>
        <v>6.3321986883902048E-6</v>
      </c>
      <c r="Y3" s="7">
        <f>$B3 * IFERROR(VLOOKUP("transport|SO2|Infant mortality", US_national_yearly!$D:$AM, 33, FALSE) / VLOOKUP("transport|SO2|Infant mortality", US_national_yearly!$D:$AM, 10, FALSE), 1)</f>
        <v>6.29494681950575E-6</v>
      </c>
      <c r="Z3" s="7">
        <f>$B3 * IFERROR(VLOOKUP("transport|SO2|Infant mortality", US_national_yearly!$D:$AM, 34, FALSE) / VLOOKUP("transport|SO2|Infant mortality", US_national_yearly!$D:$AM, 10, FALSE), 1)</f>
        <v>6.2576949506212986E-6</v>
      </c>
      <c r="AA3" s="7">
        <f>$B3 * IFERROR(VLOOKUP("transport|SO2|Infant mortality", US_national_yearly!$D:$AM, 35, FALSE) / VLOOKUP("transport|SO2|Infant mortality", US_national_yearly!$D:$AM, 10, FALSE), 1)</f>
        <v>6.2204430817368438E-6</v>
      </c>
      <c r="AB3" s="7">
        <f>$B3 * IFERROR(VLOOKUP("transport|SO2|Infant mortality", US_national_yearly!$D:$AM, 36, FALSE) / VLOOKUP("transport|SO2|Infant mortality", US_national_yearly!$D:$AM, 10, FALSE), 1)</f>
        <v>6.1831912128523924E-6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1.7221787223550875E-2</v>
      </c>
      <c r="C6" s="7">
        <f>$B6 * IFERROR(VLOOKUP("transport|SO2|Asthma symptoms cough", US_national_yearly!$D:$AM, 11, FALSE) / VLOOKUP("transport|SO2|Asthma symptoms cough", US_national_yearly!$D:$AM, 10, FALSE), 1)</f>
        <v>1.7221787223550875E-2</v>
      </c>
      <c r="D6" s="7">
        <f>$B6 * IFERROR(VLOOKUP("transport|SO2|Asthma symptoms cough", US_national_yearly!$D:$AM, 12, FALSE) / VLOOKUP("transport|SO2|Asthma symptoms cough", US_national_yearly!$D:$AM, 10, FALSE), 1)</f>
        <v>1.7221787223550875E-2</v>
      </c>
      <c r="E6" s="7">
        <f>$B6 * IFERROR(VLOOKUP("transport|SO2|Asthma symptoms cough", US_national_yearly!$D:$AM, 13, FALSE) / VLOOKUP("transport|SO2|Asthma symptoms cough", US_national_yearly!$D:$AM, 10, FALSE), 1)</f>
        <v>1.7221787223550875E-2</v>
      </c>
      <c r="F6" s="7">
        <f>$B6 * IFERROR(VLOOKUP("transport|SO2|Asthma symptoms cough", US_national_yearly!$D:$AM, 14, FALSE) / VLOOKUP("transport|SO2|Asthma symptoms cough", US_national_yearly!$D:$AM, 10, FALSE), 1)</f>
        <v>1.7221787223550875E-2</v>
      </c>
      <c r="G6" s="7">
        <f>$B6 * IFERROR(VLOOKUP("transport|SO2|Asthma symptoms cough", US_national_yearly!$D:$AM, 15, FALSE) / VLOOKUP("transport|SO2|Asthma symptoms cough", US_national_yearly!$D:$AM, 10, FALSE), 1)</f>
        <v>1.7221787223550875E-2</v>
      </c>
      <c r="H6" s="7">
        <f>$B6 * IFERROR(VLOOKUP("transport|SO2|Asthma symptoms cough", US_national_yearly!$D:$AM, 16, FALSE) / VLOOKUP("transport|SO2|Asthma symptoms cough", US_national_yearly!$D:$AM, 10, FALSE), 1)</f>
        <v>1.7221787223550875E-2</v>
      </c>
      <c r="I6" s="7">
        <f>$B6 * IFERROR(VLOOKUP("transport|SO2|Asthma symptoms cough", US_national_yearly!$D:$AM, 17, FALSE) / VLOOKUP("transport|SO2|Asthma symptoms cough", US_national_yearly!$D:$AM, 10, FALSE), 1)</f>
        <v>1.7221787223550875E-2</v>
      </c>
      <c r="J6" s="7">
        <f>$B6 * IFERROR(VLOOKUP("transport|SO2|Asthma symptoms cough", US_national_yearly!$D:$AM, 18, FALSE) / VLOOKUP("transport|SO2|Asthma symptoms cough", US_national_yearly!$D:$AM, 10, FALSE), 1)</f>
        <v>1.7221787223550875E-2</v>
      </c>
      <c r="K6" s="7">
        <f>$B6 * IFERROR(VLOOKUP("transport|SO2|Asthma symptoms cough", US_national_yearly!$D:$AM, 19, FALSE) / VLOOKUP("transport|SO2|Asthma symptoms cough", US_national_yearly!$D:$AM, 10, FALSE), 1)</f>
        <v>1.7221787223550875E-2</v>
      </c>
      <c r="L6" s="7">
        <f>$B6 * IFERROR(VLOOKUP("transport|SO2|Asthma symptoms cough", US_national_yearly!$D:$AM, 20, FALSE) / VLOOKUP("transport|SO2|Asthma symptoms cough", US_national_yearly!$D:$AM, 10, FALSE), 1)</f>
        <v>1.7221787223550875E-2</v>
      </c>
      <c r="M6" s="7">
        <f>$B6 * IFERROR(VLOOKUP("transport|SO2|Asthma symptoms cough", US_national_yearly!$D:$AM, 21, FALSE) / VLOOKUP("transport|SO2|Asthma symptoms cough", US_national_yearly!$D:$AM, 10, FALSE), 1)</f>
        <v>1.7221787223550875E-2</v>
      </c>
      <c r="N6" s="7">
        <f>$B6 * IFERROR(VLOOKUP("transport|SO2|Asthma symptoms cough", US_national_yearly!$D:$AM, 22, FALSE) / VLOOKUP("transport|SO2|Asthma symptoms cough", US_national_yearly!$D:$AM, 10, FALSE), 1)</f>
        <v>1.7221787223550875E-2</v>
      </c>
      <c r="O6" s="7">
        <f>$B6 * IFERROR(VLOOKUP("transport|SO2|Asthma symptoms cough", US_national_yearly!$D:$AM, 23, FALSE) / VLOOKUP("transport|SO2|Asthma symptoms cough", US_national_yearly!$D:$AM, 10, FALSE), 1)</f>
        <v>1.7221787223550875E-2</v>
      </c>
      <c r="P6" s="7">
        <f>$B6 * IFERROR(VLOOKUP("transport|SO2|Asthma symptoms cough", US_national_yearly!$D:$AM, 24, FALSE) / VLOOKUP("transport|SO2|Asthma symptoms cough", US_national_yearly!$D:$AM, 10, FALSE), 1)</f>
        <v>1.7221787223550875E-2</v>
      </c>
      <c r="Q6" s="7">
        <f>$B6 * IFERROR(VLOOKUP("transport|SO2|Asthma symptoms cough", US_national_yearly!$D:$AM, 25, FALSE) / VLOOKUP("transport|SO2|Asthma symptoms cough", US_national_yearly!$D:$AM, 10, FALSE), 1)</f>
        <v>1.7221787223550875E-2</v>
      </c>
      <c r="R6" s="7">
        <f>$B6 * IFERROR(VLOOKUP("transport|SO2|Asthma symptoms cough", US_national_yearly!$D:$AM, 26, FALSE) / VLOOKUP("transport|SO2|Asthma symptoms cough", US_national_yearly!$D:$AM, 10, FALSE), 1)</f>
        <v>1.7221787223550875E-2</v>
      </c>
      <c r="S6" s="7">
        <f>$B6 * IFERROR(VLOOKUP("transport|SO2|Asthma symptoms cough", US_national_yearly!$D:$AM, 27, FALSE) / VLOOKUP("transport|SO2|Asthma symptoms cough", US_national_yearly!$D:$AM, 10, FALSE), 1)</f>
        <v>1.7221787223550875E-2</v>
      </c>
      <c r="T6" s="7">
        <f>$B6 * IFERROR(VLOOKUP("transport|SO2|Asthma symptoms cough", US_national_yearly!$D:$AM, 28, FALSE) / VLOOKUP("transport|SO2|Asthma symptoms cough", US_national_yearly!$D:$AM, 10, FALSE), 1)</f>
        <v>1.7221787223550875E-2</v>
      </c>
      <c r="U6" s="7">
        <f>$B6 * IFERROR(VLOOKUP("transport|SO2|Asthma symptoms cough", US_national_yearly!$D:$AM, 29, FALSE) / VLOOKUP("transport|SO2|Asthma symptoms cough", US_national_yearly!$D:$AM, 10, FALSE), 1)</f>
        <v>1.7221787223550875E-2</v>
      </c>
      <c r="V6" s="7">
        <f>$B6 * IFERROR(VLOOKUP("transport|SO2|Asthma symptoms cough", US_national_yearly!$D:$AM, 30, FALSE) / VLOOKUP("transport|SO2|Asthma symptoms cough", US_national_yearly!$D:$AM, 10, FALSE), 1)</f>
        <v>1.7221787223550875E-2</v>
      </c>
      <c r="W6" s="7">
        <f>$B6 * IFERROR(VLOOKUP("transport|SO2|Asthma symptoms cough", US_national_yearly!$D:$AM, 31, FALSE) / VLOOKUP("transport|SO2|Asthma symptoms cough", US_national_yearly!$D:$AM, 10, FALSE), 1)</f>
        <v>1.7221787223550875E-2</v>
      </c>
      <c r="X6" s="7">
        <f>$B6 * IFERROR(VLOOKUP("transport|SO2|Asthma symptoms cough", US_national_yearly!$D:$AM, 32, FALSE) / VLOOKUP("transport|SO2|Asthma symptoms cough", US_national_yearly!$D:$AM, 10, FALSE), 1)</f>
        <v>1.7221787223550875E-2</v>
      </c>
      <c r="Y6" s="7">
        <f>$B6 * IFERROR(VLOOKUP("transport|SO2|Asthma symptoms cough", US_national_yearly!$D:$AM, 33, FALSE) / VLOOKUP("transport|SO2|Asthma symptoms cough", US_national_yearly!$D:$AM, 10, FALSE), 1)</f>
        <v>1.7221787223550875E-2</v>
      </c>
      <c r="Z6" s="7">
        <f>$B6 * IFERROR(VLOOKUP("transport|SO2|Asthma symptoms cough", US_national_yearly!$D:$AM, 34, FALSE) / VLOOKUP("transport|SO2|Asthma symptoms cough", US_national_yearly!$D:$AM, 10, FALSE), 1)</f>
        <v>1.7221787223550875E-2</v>
      </c>
      <c r="AA6" s="7">
        <f>$B6 * IFERROR(VLOOKUP("transport|SO2|Asthma symptoms cough", US_national_yearly!$D:$AM, 35, FALSE) / VLOOKUP("transport|SO2|Asthma symptoms cough", US_national_yearly!$D:$AM, 10, FALSE), 1)</f>
        <v>1.7221787223550875E-2</v>
      </c>
      <c r="AB6" s="7">
        <f>$B6 * IFERROR(VLOOKUP("transport|SO2|Asthma symptoms cough", US_national_yearly!$D:$AM, 36, FALSE) / VLOOKUP("transport|SO2|Asthma symptoms cough", US_national_yearly!$D:$AM, 10, FALSE), 1)</f>
        <v>1.7221787223550875E-2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2.3191617272039857E-2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2.3191617272039857E-2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2.3191617272039857E-2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2.3191617272039857E-2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2.3191617272039857E-2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2.3191617272039857E-2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2.3191617272039857E-2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2.3191617272039857E-2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2.3191617272039857E-2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2.3191617272039857E-2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2.3191617272039857E-2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2.3191617272039857E-2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2.3191617272039857E-2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2.3191617272039857E-2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2.3191617272039857E-2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2.3191617272039857E-2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2.3191617272039857E-2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2.3191617272039857E-2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2.3191617272039857E-2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2.3191617272039857E-2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2.3191617272039857E-2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2.3191617272039857E-2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2.3191617272039857E-2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2.3191617272039857E-2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2.3191617272039857E-2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2.3191617272039857E-2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2.3191617272039857E-2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3.5432925668691266E-2</v>
      </c>
      <c r="C8" s="7">
        <f>$B8 * IFERROR(VLOOKUP("transport|SO2|Asthma symptoms wheeze", US_national_yearly!$D:$AM, 11, FALSE) / VLOOKUP("transport|SO2|Asthma symptoms wheeze", US_national_yearly!$D:$AM, 10, FALSE), 1)</f>
        <v>3.5432925668691266E-2</v>
      </c>
      <c r="D8" s="7">
        <f>$B8 * IFERROR(VLOOKUP("transport|SO2|Asthma symptoms wheeze", US_national_yearly!$D:$AM, 12, FALSE) / VLOOKUP("transport|SO2|Asthma symptoms wheeze", US_national_yearly!$D:$AM, 10, FALSE), 1)</f>
        <v>3.5432925668691266E-2</v>
      </c>
      <c r="E8" s="7">
        <f>$B8 * IFERROR(VLOOKUP("transport|SO2|Asthma symptoms wheeze", US_national_yearly!$D:$AM, 13, FALSE) / VLOOKUP("transport|SO2|Asthma symptoms wheeze", US_national_yearly!$D:$AM, 10, FALSE), 1)</f>
        <v>3.5432925668691266E-2</v>
      </c>
      <c r="F8" s="7">
        <f>$B8 * IFERROR(VLOOKUP("transport|SO2|Asthma symptoms wheeze", US_national_yearly!$D:$AM, 14, FALSE) / VLOOKUP("transport|SO2|Asthma symptoms wheeze", US_national_yearly!$D:$AM, 10, FALSE), 1)</f>
        <v>3.5432925668691266E-2</v>
      </c>
      <c r="G8" s="7">
        <f>$B8 * IFERROR(VLOOKUP("transport|SO2|Asthma symptoms wheeze", US_national_yearly!$D:$AM, 15, FALSE) / VLOOKUP("transport|SO2|Asthma symptoms wheeze", US_national_yearly!$D:$AM, 10, FALSE), 1)</f>
        <v>3.5432925668691266E-2</v>
      </c>
      <c r="H8" s="7">
        <f>$B8 * IFERROR(VLOOKUP("transport|SO2|Asthma symptoms wheeze", US_national_yearly!$D:$AM, 16, FALSE) / VLOOKUP("transport|SO2|Asthma symptoms wheeze", US_national_yearly!$D:$AM, 10, FALSE), 1)</f>
        <v>3.5432925668691266E-2</v>
      </c>
      <c r="I8" s="7">
        <f>$B8 * IFERROR(VLOOKUP("transport|SO2|Asthma symptoms wheeze", US_national_yearly!$D:$AM, 17, FALSE) / VLOOKUP("transport|SO2|Asthma symptoms wheeze", US_national_yearly!$D:$AM, 10, FALSE), 1)</f>
        <v>3.5432925668691266E-2</v>
      </c>
      <c r="J8" s="7">
        <f>$B8 * IFERROR(VLOOKUP("transport|SO2|Asthma symptoms wheeze", US_national_yearly!$D:$AM, 18, FALSE) / VLOOKUP("transport|SO2|Asthma symptoms wheeze", US_national_yearly!$D:$AM, 10, FALSE), 1)</f>
        <v>3.5432925668691266E-2</v>
      </c>
      <c r="K8" s="7">
        <f>$B8 * IFERROR(VLOOKUP("transport|SO2|Asthma symptoms wheeze", US_national_yearly!$D:$AM, 19, FALSE) / VLOOKUP("transport|SO2|Asthma symptoms wheeze", US_national_yearly!$D:$AM, 10, FALSE), 1)</f>
        <v>3.5432925668691266E-2</v>
      </c>
      <c r="L8" s="7">
        <f>$B8 * IFERROR(VLOOKUP("transport|SO2|Asthma symptoms wheeze", US_national_yearly!$D:$AM, 20, FALSE) / VLOOKUP("transport|SO2|Asthma symptoms wheeze", US_national_yearly!$D:$AM, 10, FALSE), 1)</f>
        <v>3.5432925668691266E-2</v>
      </c>
      <c r="M8" s="7">
        <f>$B8 * IFERROR(VLOOKUP("transport|SO2|Asthma symptoms wheeze", US_national_yearly!$D:$AM, 21, FALSE) / VLOOKUP("transport|SO2|Asthma symptoms wheeze", US_national_yearly!$D:$AM, 10, FALSE), 1)</f>
        <v>3.5432925668691266E-2</v>
      </c>
      <c r="N8" s="7">
        <f>$B8 * IFERROR(VLOOKUP("transport|SO2|Asthma symptoms wheeze", US_national_yearly!$D:$AM, 22, FALSE) / VLOOKUP("transport|SO2|Asthma symptoms wheeze", US_national_yearly!$D:$AM, 10, FALSE), 1)</f>
        <v>3.5432925668691266E-2</v>
      </c>
      <c r="O8" s="7">
        <f>$B8 * IFERROR(VLOOKUP("transport|SO2|Asthma symptoms wheeze", US_national_yearly!$D:$AM, 23, FALSE) / VLOOKUP("transport|SO2|Asthma symptoms wheeze", US_national_yearly!$D:$AM, 10, FALSE), 1)</f>
        <v>3.5432925668691266E-2</v>
      </c>
      <c r="P8" s="7">
        <f>$B8 * IFERROR(VLOOKUP("transport|SO2|Asthma symptoms wheeze", US_national_yearly!$D:$AM, 24, FALSE) / VLOOKUP("transport|SO2|Asthma symptoms wheeze", US_national_yearly!$D:$AM, 10, FALSE), 1)</f>
        <v>3.5432925668691266E-2</v>
      </c>
      <c r="Q8" s="7">
        <f>$B8 * IFERROR(VLOOKUP("transport|SO2|Asthma symptoms wheeze", US_national_yearly!$D:$AM, 25, FALSE) / VLOOKUP("transport|SO2|Asthma symptoms wheeze", US_national_yearly!$D:$AM, 10, FALSE), 1)</f>
        <v>3.5432925668691266E-2</v>
      </c>
      <c r="R8" s="7">
        <f>$B8 * IFERROR(VLOOKUP("transport|SO2|Asthma symptoms wheeze", US_national_yearly!$D:$AM, 26, FALSE) / VLOOKUP("transport|SO2|Asthma symptoms wheeze", US_national_yearly!$D:$AM, 10, FALSE), 1)</f>
        <v>3.5432925668691266E-2</v>
      </c>
      <c r="S8" s="7">
        <f>$B8 * IFERROR(VLOOKUP("transport|SO2|Asthma symptoms wheeze", US_national_yearly!$D:$AM, 27, FALSE) / VLOOKUP("transport|SO2|Asthma symptoms wheeze", US_national_yearly!$D:$AM, 10, FALSE), 1)</f>
        <v>3.5432925668691266E-2</v>
      </c>
      <c r="T8" s="7">
        <f>$B8 * IFERROR(VLOOKUP("transport|SO2|Asthma symptoms wheeze", US_national_yearly!$D:$AM, 28, FALSE) / VLOOKUP("transport|SO2|Asthma symptoms wheeze", US_national_yearly!$D:$AM, 10, FALSE), 1)</f>
        <v>3.5432925668691266E-2</v>
      </c>
      <c r="U8" s="7">
        <f>$B8 * IFERROR(VLOOKUP("transport|SO2|Asthma symptoms wheeze", US_national_yearly!$D:$AM, 29, FALSE) / VLOOKUP("transport|SO2|Asthma symptoms wheeze", US_national_yearly!$D:$AM, 10, FALSE), 1)</f>
        <v>3.5432925668691266E-2</v>
      </c>
      <c r="V8" s="7">
        <f>$B8 * IFERROR(VLOOKUP("transport|SO2|Asthma symptoms wheeze", US_national_yearly!$D:$AM, 30, FALSE) / VLOOKUP("transport|SO2|Asthma symptoms wheeze", US_national_yearly!$D:$AM, 10, FALSE), 1)</f>
        <v>3.5432925668691266E-2</v>
      </c>
      <c r="W8" s="7">
        <f>$B8 * IFERROR(VLOOKUP("transport|SO2|Asthma symptoms wheeze", US_national_yearly!$D:$AM, 31, FALSE) / VLOOKUP("transport|SO2|Asthma symptoms wheeze", US_national_yearly!$D:$AM, 10, FALSE), 1)</f>
        <v>3.5432925668691266E-2</v>
      </c>
      <c r="X8" s="7">
        <f>$B8 * IFERROR(VLOOKUP("transport|SO2|Asthma symptoms wheeze", US_national_yearly!$D:$AM, 32, FALSE) / VLOOKUP("transport|SO2|Asthma symptoms wheeze", US_national_yearly!$D:$AM, 10, FALSE), 1)</f>
        <v>3.5432925668691266E-2</v>
      </c>
      <c r="Y8" s="7">
        <f>$B8 * IFERROR(VLOOKUP("transport|SO2|Asthma symptoms wheeze", US_national_yearly!$D:$AM, 33, FALSE) / VLOOKUP("transport|SO2|Asthma symptoms wheeze", US_national_yearly!$D:$AM, 10, FALSE), 1)</f>
        <v>3.5432925668691266E-2</v>
      </c>
      <c r="Z8" s="7">
        <f>$B8 * IFERROR(VLOOKUP("transport|SO2|Asthma symptoms wheeze", US_national_yearly!$D:$AM, 34, FALSE) / VLOOKUP("transport|SO2|Asthma symptoms wheeze", US_national_yearly!$D:$AM, 10, FALSE), 1)</f>
        <v>3.5432925668691266E-2</v>
      </c>
      <c r="AA8" s="7">
        <f>$B8 * IFERROR(VLOOKUP("transport|SO2|Asthma symptoms wheeze", US_national_yearly!$D:$AM, 35, FALSE) / VLOOKUP("transport|SO2|Asthma symptoms wheeze", US_national_yearly!$D:$AM, 10, FALSE), 1)</f>
        <v>3.5432925668691266E-2</v>
      </c>
      <c r="AB8" s="7">
        <f>$B8 * IFERROR(VLOOKUP("transport|SO2|Asthma symptoms wheeze", US_national_yearly!$D:$AM, 36, FALSE) / VLOOKUP("transport|SO2|Asthma symptoms wheeze", US_national_yearly!$D:$AM, 10, FALSE), 1)</f>
        <v>3.5432925668691266E-2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4.1424291362462056E-4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4.1668613891493851E-4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4.1912936420525652E-4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4.2157258949557447E-4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4.2401581478589243E-4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4.2667934245357907E-4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4.2934287012126571E-4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4.3196942553221053E-4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4.3459598094315545E-4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4.3722253635410021E-4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4.3984909176504508E-4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4.4247564717598984E-4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4.4439295154789733E-4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4.4631025591980477E-4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4.4822756029171221E-4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4.5014486466361976E-4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4.5206216903552715E-4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4.538911311118752E-4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4.557200931882232E-4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4.5754905526457121E-4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4.5937801734091926E-4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4.6120697941726732E-4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4.6294236414783378E-4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4.6467774887840025E-4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4.6641313360896671E-4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4.6814851833953312E-4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4.698839030700997E-4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2.5897303002833188E-3</v>
      </c>
      <c r="C13" s="7">
        <f>$B13 * IFERROR(VLOOKUP("transport|SO2|Non-fatal heart attacks", US_national_yearly!$D:$AM, 11, FALSE) / VLOOKUP("transport|SO2|Non-fatal heart attacks", US_national_yearly!$D:$AM, 10, FALSE), 1)</f>
        <v>2.6657553754834253E-3</v>
      </c>
      <c r="D13" s="7">
        <f>$B13 * IFERROR(VLOOKUP("transport|SO2|Non-fatal heart attacks", US_national_yearly!$D:$AM, 12, FALSE) / VLOOKUP("transport|SO2|Non-fatal heart attacks", US_national_yearly!$D:$AM, 10, FALSE), 1)</f>
        <v>2.7417804506835318E-3</v>
      </c>
      <c r="E13" s="7">
        <f>$B13 * IFERROR(VLOOKUP("transport|SO2|Non-fatal heart attacks", US_national_yearly!$D:$AM, 13, FALSE) / VLOOKUP("transport|SO2|Non-fatal heart attacks", US_national_yearly!$D:$AM, 10, FALSE), 1)</f>
        <v>2.8178055258836383E-3</v>
      </c>
      <c r="F13" s="7">
        <f>$B13 * IFERROR(VLOOKUP("transport|SO2|Non-fatal heart attacks", US_national_yearly!$D:$AM, 14, FALSE) / VLOOKUP("transport|SO2|Non-fatal heart attacks", US_national_yearly!$D:$AM, 10, FALSE), 1)</f>
        <v>2.8938306010837444E-3</v>
      </c>
      <c r="G13" s="7">
        <f>$B13 * IFERROR(VLOOKUP("transport|SO2|Non-fatal heart attacks", US_national_yearly!$D:$AM, 15, FALSE) / VLOOKUP("transport|SO2|Non-fatal heart attacks", US_national_yearly!$D:$AM, 10, FALSE), 1)</f>
        <v>2.9655292987539605E-3</v>
      </c>
      <c r="H13" s="7">
        <f>$B13 * IFERROR(VLOOKUP("transport|SO2|Non-fatal heart attacks", US_national_yearly!$D:$AM, 16, FALSE) / VLOOKUP("transport|SO2|Non-fatal heart attacks", US_national_yearly!$D:$AM, 10, FALSE), 1)</f>
        <v>3.0372279964241767E-3</v>
      </c>
      <c r="I13" s="7">
        <f>$B13 * IFERROR(VLOOKUP("transport|SO2|Non-fatal heart attacks", US_national_yearly!$D:$AM, 17, FALSE) / VLOOKUP("transport|SO2|Non-fatal heart attacks", US_national_yearly!$D:$AM, 10, FALSE), 1)</f>
        <v>3.0949229715464973E-3</v>
      </c>
      <c r="J13" s="7">
        <f>$B13 * IFERROR(VLOOKUP("transport|SO2|Non-fatal heart attacks", US_national_yearly!$D:$AM, 18, FALSE) / VLOOKUP("transport|SO2|Non-fatal heart attacks", US_national_yearly!$D:$AM, 10, FALSE), 1)</f>
        <v>3.1526179466688188E-3</v>
      </c>
      <c r="K13" s="7">
        <f>$B13 * IFERROR(VLOOKUP("transport|SO2|Non-fatal heart attacks", US_national_yearly!$D:$AM, 19, FALSE) / VLOOKUP("transport|SO2|Non-fatal heart attacks", US_national_yearly!$D:$AM, 10, FALSE), 1)</f>
        <v>3.2103129217911398E-3</v>
      </c>
      <c r="L13" s="7">
        <f>$B13 * IFERROR(VLOOKUP("transport|SO2|Non-fatal heart attacks", US_national_yearly!$D:$AM, 20, FALSE) / VLOOKUP("transport|SO2|Non-fatal heart attacks", US_national_yearly!$D:$AM, 10, FALSE), 1)</f>
        <v>3.2680078969134618E-3</v>
      </c>
      <c r="M13" s="7">
        <f>$B13 * IFERROR(VLOOKUP("transport|SO2|Non-fatal heart attacks", US_national_yearly!$D:$AM, 21, FALSE) / VLOOKUP("transport|SO2|Non-fatal heart attacks", US_national_yearly!$D:$AM, 10, FALSE), 1)</f>
        <v>3.3257028720357833E-3</v>
      </c>
      <c r="N13" s="7">
        <f>$B13 * IFERROR(VLOOKUP("transport|SO2|Non-fatal heart attacks", US_national_yearly!$D:$AM, 22, FALSE) / VLOOKUP("transport|SO2|Non-fatal heart attacks", US_national_yearly!$D:$AM, 10, FALSE), 1)</f>
        <v>3.3631649164304863E-3</v>
      </c>
      <c r="O13" s="7">
        <f>$B13 * IFERROR(VLOOKUP("transport|SO2|Non-fatal heart attacks", US_national_yearly!$D:$AM, 23, FALSE) / VLOOKUP("transport|SO2|Non-fatal heart attacks", US_national_yearly!$D:$AM, 10, FALSE), 1)</f>
        <v>3.4006269608251902E-3</v>
      </c>
      <c r="P13" s="7">
        <f>$B13 * IFERROR(VLOOKUP("transport|SO2|Non-fatal heart attacks", US_national_yearly!$D:$AM, 24, FALSE) / VLOOKUP("transport|SO2|Non-fatal heart attacks", US_national_yearly!$D:$AM, 10, FALSE), 1)</f>
        <v>3.4380890052198945E-3</v>
      </c>
      <c r="Q13" s="7">
        <f>$B13 * IFERROR(VLOOKUP("transport|SO2|Non-fatal heart attacks", US_national_yearly!$D:$AM, 25, FALSE) / VLOOKUP("transport|SO2|Non-fatal heart attacks", US_national_yearly!$D:$AM, 10, FALSE), 1)</f>
        <v>3.4755510496145979E-3</v>
      </c>
      <c r="R13" s="7">
        <f>$B13 * IFERROR(VLOOKUP("transport|SO2|Non-fatal heart attacks", US_national_yearly!$D:$AM, 26, FALSE) / VLOOKUP("transport|SO2|Non-fatal heart attacks", US_national_yearly!$D:$AM, 10, FALSE), 1)</f>
        <v>3.5130130940093014E-3</v>
      </c>
      <c r="S13" s="7">
        <f>$B13 * IFERROR(VLOOKUP("transport|SO2|Non-fatal heart attacks", US_national_yearly!$D:$AM, 27, FALSE) / VLOOKUP("transport|SO2|Non-fatal heart attacks", US_national_yearly!$D:$AM, 10, FALSE), 1)</f>
        <v>3.532571816671679E-3</v>
      </c>
      <c r="T13" s="7">
        <f>$B13 * IFERROR(VLOOKUP("transport|SO2|Non-fatal heart attacks", US_national_yearly!$D:$AM, 28, FALSE) / VLOOKUP("transport|SO2|Non-fatal heart attacks", US_national_yearly!$D:$AM, 10, FALSE), 1)</f>
        <v>3.5521305393340571E-3</v>
      </c>
      <c r="U13" s="7">
        <f>$B13 * IFERROR(VLOOKUP("transport|SO2|Non-fatal heart attacks", US_national_yearly!$D:$AM, 29, FALSE) / VLOOKUP("transport|SO2|Non-fatal heart attacks", US_national_yearly!$D:$AM, 10, FALSE), 1)</f>
        <v>3.5716892619964348E-3</v>
      </c>
      <c r="V13" s="7">
        <f>$B13 * IFERROR(VLOOKUP("transport|SO2|Non-fatal heart attacks", US_national_yearly!$D:$AM, 30, FALSE) / VLOOKUP("transport|SO2|Non-fatal heart attacks", US_national_yearly!$D:$AM, 10, FALSE), 1)</f>
        <v>3.5912479846588121E-3</v>
      </c>
      <c r="W13" s="7">
        <f>$B13 * IFERROR(VLOOKUP("transport|SO2|Non-fatal heart attacks", US_national_yearly!$D:$AM, 31, FALSE) / VLOOKUP("transport|SO2|Non-fatal heart attacks", US_national_yearly!$D:$AM, 10, FALSE), 1)</f>
        <v>3.6108067073211906E-3</v>
      </c>
      <c r="X13" s="7">
        <f>$B13 * IFERROR(VLOOKUP("transport|SO2|Non-fatal heart attacks", US_national_yearly!$D:$AM, 32, FALSE) / VLOOKUP("transport|SO2|Non-fatal heart attacks", US_national_yearly!$D:$AM, 10, FALSE), 1)</f>
        <v>3.6255718320544902E-3</v>
      </c>
      <c r="Y13" s="7">
        <f>$B13 * IFERROR(VLOOKUP("transport|SO2|Non-fatal heart attacks", US_national_yearly!$D:$AM, 33, FALSE) / VLOOKUP("transport|SO2|Non-fatal heart attacks", US_national_yearly!$D:$AM, 10, FALSE), 1)</f>
        <v>3.6403369567877897E-3</v>
      </c>
      <c r="Z13" s="7">
        <f>$B13 * IFERROR(VLOOKUP("transport|SO2|Non-fatal heart attacks", US_national_yearly!$D:$AM, 34, FALSE) / VLOOKUP("transport|SO2|Non-fatal heart attacks", US_national_yearly!$D:$AM, 10, FALSE), 1)</f>
        <v>3.6551020815210897E-3</v>
      </c>
      <c r="AA13" s="7">
        <f>$B13 * IFERROR(VLOOKUP("transport|SO2|Non-fatal heart attacks", US_national_yearly!$D:$AM, 35, FALSE) / VLOOKUP("transport|SO2|Non-fatal heart attacks", US_national_yearly!$D:$AM, 10, FALSE), 1)</f>
        <v>3.6698672062543893E-3</v>
      </c>
      <c r="AB13" s="7">
        <f>$B13 * IFERROR(VLOOKUP("transport|SO2|Non-fatal heart attacks", US_national_yearly!$D:$AM, 36, FALSE) / VLOOKUP("transport|SO2|Non-fatal heart attacks", US_national_yearly!$D:$AM, 10, FALSE), 1)</f>
        <v>3.6846323309876888E-3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1.9800031115039174</v>
      </c>
      <c r="C14" s="7">
        <f>$B14 * IFERROR(VLOOKUP("transport|SO2|Minor restricted activity days", US_national_yearly!$D:$AM, 11, FALSE) / VLOOKUP("transport|SO2|Minor restricted activity days", US_national_yearly!$D:$AM, 10, FALSE), 1)</f>
        <v>1.9849940396261836</v>
      </c>
      <c r="D14" s="7">
        <f>$B14 * IFERROR(VLOOKUP("transport|SO2|Minor restricted activity days", US_national_yearly!$D:$AM, 12, FALSE) / VLOOKUP("transport|SO2|Minor restricted activity days", US_national_yearly!$D:$AM, 10, FALSE), 1)</f>
        <v>1.9899849677484496</v>
      </c>
      <c r="E14" s="7">
        <f>$B14 * IFERROR(VLOOKUP("transport|SO2|Minor restricted activity days", US_national_yearly!$D:$AM, 13, FALSE) / VLOOKUP("transport|SO2|Minor restricted activity days", US_national_yearly!$D:$AM, 10, FALSE), 1)</f>
        <v>1.9949758958707158</v>
      </c>
      <c r="F14" s="7">
        <f>$B14 * IFERROR(VLOOKUP("transport|SO2|Minor restricted activity days", US_national_yearly!$D:$AM, 14, FALSE) / VLOOKUP("transport|SO2|Minor restricted activity days", US_national_yearly!$D:$AM, 10, FALSE), 1)</f>
        <v>1.9999668239929818</v>
      </c>
      <c r="G14" s="7">
        <f>$B14 * IFERROR(VLOOKUP("transport|SO2|Minor restricted activity days", US_national_yearly!$D:$AM, 15, FALSE) / VLOOKUP("transport|SO2|Minor restricted activity days", US_national_yearly!$D:$AM, 10, FALSE), 1)</f>
        <v>2.0073129798774407</v>
      </c>
      <c r="H14" s="7">
        <f>$B14 * IFERROR(VLOOKUP("transport|SO2|Minor restricted activity days", US_national_yearly!$D:$AM, 16, FALSE) / VLOOKUP("transport|SO2|Minor restricted activity days", US_national_yearly!$D:$AM, 10, FALSE), 1)</f>
        <v>2.0146591357618999</v>
      </c>
      <c r="I14" s="7">
        <f>$B14 * IFERROR(VLOOKUP("transport|SO2|Minor restricted activity days", US_national_yearly!$D:$AM, 17, FALSE) / VLOOKUP("transport|SO2|Minor restricted activity days", US_national_yearly!$D:$AM, 10, FALSE), 1)</f>
        <v>2.0271873198808898</v>
      </c>
      <c r="J14" s="7">
        <f>$B14 * IFERROR(VLOOKUP("transport|SO2|Minor restricted activity days", US_national_yearly!$D:$AM, 18, FALSE) / VLOOKUP("transport|SO2|Minor restricted activity days", US_national_yearly!$D:$AM, 10, FALSE), 1)</f>
        <v>2.0397155039998798</v>
      </c>
      <c r="K14" s="7">
        <f>$B14 * IFERROR(VLOOKUP("transport|SO2|Minor restricted activity days", US_national_yearly!$D:$AM, 19, FALSE) / VLOOKUP("transport|SO2|Minor restricted activity days", US_national_yearly!$D:$AM, 10, FALSE), 1)</f>
        <v>2.0522436881188701</v>
      </c>
      <c r="L14" s="7">
        <f>$B14 * IFERROR(VLOOKUP("transport|SO2|Minor restricted activity days", US_national_yearly!$D:$AM, 20, FALSE) / VLOOKUP("transport|SO2|Minor restricted activity days", US_national_yearly!$D:$AM, 10, FALSE), 1)</f>
        <v>2.0647718722378601</v>
      </c>
      <c r="M14" s="7">
        <f>$B14 * IFERROR(VLOOKUP("transport|SO2|Minor restricted activity days", US_national_yearly!$D:$AM, 21, FALSE) / VLOOKUP("transport|SO2|Minor restricted activity days", US_national_yearly!$D:$AM, 10, FALSE), 1)</f>
        <v>2.0773000563568496</v>
      </c>
      <c r="N14" s="7">
        <f>$B14 * IFERROR(VLOOKUP("transport|SO2|Minor restricted activity days", US_national_yearly!$D:$AM, 22, FALSE) / VLOOKUP("transport|SO2|Minor restricted activity days", US_national_yearly!$D:$AM, 10, FALSE), 1)</f>
        <v>2.0944366019720029</v>
      </c>
      <c r="O14" s="7">
        <f>$B14 * IFERROR(VLOOKUP("transport|SO2|Minor restricted activity days", US_national_yearly!$D:$AM, 23, FALSE) / VLOOKUP("transport|SO2|Minor restricted activity days", US_national_yearly!$D:$AM, 10, FALSE), 1)</f>
        <v>2.1115731475871562</v>
      </c>
      <c r="P14" s="7">
        <f>$B14 * IFERROR(VLOOKUP("transport|SO2|Minor restricted activity days", US_national_yearly!$D:$AM, 24, FALSE) / VLOOKUP("transport|SO2|Minor restricted activity days", US_national_yearly!$D:$AM, 10, FALSE), 1)</f>
        <v>2.1287096932023095</v>
      </c>
      <c r="Q14" s="7">
        <f>$B14 * IFERROR(VLOOKUP("transport|SO2|Minor restricted activity days", US_national_yearly!$D:$AM, 25, FALSE) / VLOOKUP("transport|SO2|Minor restricted activity days", US_national_yearly!$D:$AM, 10, FALSE), 1)</f>
        <v>2.1458462388174628</v>
      </c>
      <c r="R14" s="7">
        <f>$B14 * IFERROR(VLOOKUP("transport|SO2|Minor restricted activity days", US_national_yearly!$D:$AM, 26, FALSE) / VLOOKUP("transport|SO2|Minor restricted activity days", US_national_yearly!$D:$AM, 10, FALSE), 1)</f>
        <v>2.1629827844326162</v>
      </c>
      <c r="S14" s="7">
        <f>$B14 * IFERROR(VLOOKUP("transport|SO2|Minor restricted activity days", US_national_yearly!$D:$AM, 27, FALSE) / VLOOKUP("transport|SO2|Minor restricted activity days", US_national_yearly!$D:$AM, 10, FALSE), 1)</f>
        <v>2.1804551699082433</v>
      </c>
      <c r="T14" s="7">
        <f>$B14 * IFERROR(VLOOKUP("transport|SO2|Minor restricted activity days", US_national_yearly!$D:$AM, 28, FALSE) / VLOOKUP("transport|SO2|Minor restricted activity days", US_national_yearly!$D:$AM, 10, FALSE), 1)</f>
        <v>2.1979275553838704</v>
      </c>
      <c r="U14" s="7">
        <f>$B14 * IFERROR(VLOOKUP("transport|SO2|Minor restricted activity days", US_national_yearly!$D:$AM, 29, FALSE) / VLOOKUP("transport|SO2|Minor restricted activity days", US_national_yearly!$D:$AM, 10, FALSE), 1)</f>
        <v>2.2153999408594971</v>
      </c>
      <c r="V14" s="7">
        <f>$B14 * IFERROR(VLOOKUP("transport|SO2|Minor restricted activity days", US_national_yearly!$D:$AM, 30, FALSE) / VLOOKUP("transport|SO2|Minor restricted activity days", US_national_yearly!$D:$AM, 10, FALSE), 1)</f>
        <v>2.2328723263351242</v>
      </c>
      <c r="W14" s="7">
        <f>$B14 * IFERROR(VLOOKUP("transport|SO2|Minor restricted activity days", US_national_yearly!$D:$AM, 31, FALSE) / VLOOKUP("transport|SO2|Minor restricted activity days", US_national_yearly!$D:$AM, 10, FALSE), 1)</f>
        <v>2.2503447118107518</v>
      </c>
      <c r="X14" s="7">
        <f>$B14 * IFERROR(VLOOKUP("transport|SO2|Minor restricted activity days", US_national_yearly!$D:$AM, 32, FALSE) / VLOOKUP("transport|SO2|Minor restricted activity days", US_national_yearly!$D:$AM, 10, FALSE), 1)</f>
        <v>2.2657102824828472</v>
      </c>
      <c r="Y14" s="7">
        <f>$B14 * IFERROR(VLOOKUP("transport|SO2|Minor restricted activity days", US_national_yearly!$D:$AM, 33, FALSE) / VLOOKUP("transport|SO2|Minor restricted activity days", US_national_yearly!$D:$AM, 10, FALSE), 1)</f>
        <v>2.2810758531549427</v>
      </c>
      <c r="Z14" s="7">
        <f>$B14 * IFERROR(VLOOKUP("transport|SO2|Minor restricted activity days", US_national_yearly!$D:$AM, 34, FALSE) / VLOOKUP("transport|SO2|Minor restricted activity days", US_national_yearly!$D:$AM, 10, FALSE), 1)</f>
        <v>2.2964414238270385</v>
      </c>
      <c r="AA14" s="7">
        <f>$B14 * IFERROR(VLOOKUP("transport|SO2|Minor restricted activity days", US_national_yearly!$D:$AM, 35, FALSE) / VLOOKUP("transport|SO2|Minor restricted activity days", US_national_yearly!$D:$AM, 10, FALSE), 1)</f>
        <v>2.3118069944991344</v>
      </c>
      <c r="AB14" s="7">
        <f>$B14 * IFERROR(VLOOKUP("transport|SO2|Minor restricted activity days", US_national_yearly!$D:$AM, 36, FALSE) / VLOOKUP("transport|SO2|Minor restricted activity days", US_national_yearly!$D:$AM, 10, FALSE), 1)</f>
        <v>2.3271725651712303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0.33707250666177402</v>
      </c>
      <c r="C15" s="7">
        <f>$B15 * IFERROR(VLOOKUP("transport|SO2|Work loss days", US_national_yearly!$D:$AM, 11, FALSE) / VLOOKUP("transport|SO2|Work loss days", US_national_yearly!$D:$AM, 10, FALSE), 1)</f>
        <v>0.338164568010422</v>
      </c>
      <c r="D15" s="7">
        <f>$B15 * IFERROR(VLOOKUP("transport|SO2|Work loss days", US_national_yearly!$D:$AM, 12, FALSE) / VLOOKUP("transport|SO2|Work loss days", US_national_yearly!$D:$AM, 10, FALSE), 1)</f>
        <v>0.33925662935906997</v>
      </c>
      <c r="E15" s="7">
        <f>$B15 * IFERROR(VLOOKUP("transport|SO2|Work loss days", US_national_yearly!$D:$AM, 13, FALSE) / VLOOKUP("transport|SO2|Work loss days", US_national_yearly!$D:$AM, 10, FALSE), 1)</f>
        <v>0.34034869070771795</v>
      </c>
      <c r="F15" s="7">
        <f>$B15 * IFERROR(VLOOKUP("transport|SO2|Work loss days", US_national_yearly!$D:$AM, 14, FALSE) / VLOOKUP("transport|SO2|Work loss days", US_national_yearly!$D:$AM, 10, FALSE), 1)</f>
        <v>0.34144075205636598</v>
      </c>
      <c r="G15" s="7">
        <f>$B15 * IFERROR(VLOOKUP("transport|SO2|Work loss days", US_national_yearly!$D:$AM, 15, FALSE) / VLOOKUP("transport|SO2|Work loss days", US_national_yearly!$D:$AM, 10, FALSE), 1)</f>
        <v>0.34286766383062112</v>
      </c>
      <c r="H15" s="7">
        <f>$B15 * IFERROR(VLOOKUP("transport|SO2|Work loss days", US_national_yearly!$D:$AM, 16, FALSE) / VLOOKUP("transport|SO2|Work loss days", US_national_yearly!$D:$AM, 10, FALSE), 1)</f>
        <v>0.3442945756048762</v>
      </c>
      <c r="I15" s="7">
        <f>$B15 * IFERROR(VLOOKUP("transport|SO2|Work loss days", US_national_yearly!$D:$AM, 17, FALSE) / VLOOKUP("transport|SO2|Work loss days", US_national_yearly!$D:$AM, 10, FALSE), 1)</f>
        <v>0.34638195598152499</v>
      </c>
      <c r="J15" s="7">
        <f>$B15 * IFERROR(VLOOKUP("transport|SO2|Work loss days", US_national_yearly!$D:$AM, 18, FALSE) / VLOOKUP("transport|SO2|Work loss days", US_national_yearly!$D:$AM, 10, FALSE), 1)</f>
        <v>0.34846933635817368</v>
      </c>
      <c r="K15" s="7">
        <f>$B15 * IFERROR(VLOOKUP("transport|SO2|Work loss days", US_national_yearly!$D:$AM, 19, FALSE) / VLOOKUP("transport|SO2|Work loss days", US_national_yearly!$D:$AM, 10, FALSE), 1)</f>
        <v>0.35055671673482247</v>
      </c>
      <c r="L15" s="7">
        <f>$B15 * IFERROR(VLOOKUP("transport|SO2|Work loss days", US_national_yearly!$D:$AM, 20, FALSE) / VLOOKUP("transport|SO2|Work loss days", US_national_yearly!$D:$AM, 10, FALSE), 1)</f>
        <v>0.35264409711147127</v>
      </c>
      <c r="M15" s="7">
        <f>$B15 * IFERROR(VLOOKUP("transport|SO2|Work loss days", US_national_yearly!$D:$AM, 21, FALSE) / VLOOKUP("transport|SO2|Work loss days", US_national_yearly!$D:$AM, 10, FALSE), 1)</f>
        <v>0.35473147748812006</v>
      </c>
      <c r="N15" s="7">
        <f>$B15 * IFERROR(VLOOKUP("transport|SO2|Work loss days", US_national_yearly!$D:$AM, 22, FALSE) / VLOOKUP("transport|SO2|Work loss days", US_national_yearly!$D:$AM, 10, FALSE), 1)</f>
        <v>0.35734871421924075</v>
      </c>
      <c r="O15" s="7">
        <f>$B15 * IFERROR(VLOOKUP("transport|SO2|Work loss days", US_national_yearly!$D:$AM, 23, FALSE) / VLOOKUP("transport|SO2|Work loss days", US_national_yearly!$D:$AM, 10, FALSE), 1)</f>
        <v>0.35996595095036144</v>
      </c>
      <c r="P15" s="7">
        <f>$B15 * IFERROR(VLOOKUP("transport|SO2|Work loss days", US_national_yearly!$D:$AM, 24, FALSE) / VLOOKUP("transport|SO2|Work loss days", US_national_yearly!$D:$AM, 10, FALSE), 1)</f>
        <v>0.36258318768148207</v>
      </c>
      <c r="Q15" s="7">
        <f>$B15 * IFERROR(VLOOKUP("transport|SO2|Work loss days", US_national_yearly!$D:$AM, 25, FALSE) / VLOOKUP("transport|SO2|Work loss days", US_national_yearly!$D:$AM, 10, FALSE), 1)</f>
        <v>0.36520042441260275</v>
      </c>
      <c r="R15" s="7">
        <f>$B15 * IFERROR(VLOOKUP("transport|SO2|Work loss days", US_national_yearly!$D:$AM, 26, FALSE) / VLOOKUP("transport|SO2|Work loss days", US_national_yearly!$D:$AM, 10, FALSE), 1)</f>
        <v>0.3678176611437235</v>
      </c>
      <c r="S15" s="7">
        <f>$B15 * IFERROR(VLOOKUP("transport|SO2|Work loss days", US_national_yearly!$D:$AM, 27, FALSE) / VLOOKUP("transport|SO2|Work loss days", US_national_yearly!$D:$AM, 10, FALSE), 1)</f>
        <v>0.37074241456183155</v>
      </c>
      <c r="T15" s="7">
        <f>$B15 * IFERROR(VLOOKUP("transport|SO2|Work loss days", US_national_yearly!$D:$AM, 28, FALSE) / VLOOKUP("transport|SO2|Work loss days", US_national_yearly!$D:$AM, 10, FALSE), 1)</f>
        <v>0.37366716797993971</v>
      </c>
      <c r="U15" s="7">
        <f>$B15 * IFERROR(VLOOKUP("transport|SO2|Work loss days", US_national_yearly!$D:$AM, 29, FALSE) / VLOOKUP("transport|SO2|Work loss days", US_national_yearly!$D:$AM, 10, FALSE), 1)</f>
        <v>0.37659192139804776</v>
      </c>
      <c r="V15" s="7">
        <f>$B15 * IFERROR(VLOOKUP("transport|SO2|Work loss days", US_national_yearly!$D:$AM, 30, FALSE) / VLOOKUP("transport|SO2|Work loss days", US_national_yearly!$D:$AM, 10, FALSE), 1)</f>
        <v>0.37951667481615586</v>
      </c>
      <c r="W15" s="7">
        <f>$B15 * IFERROR(VLOOKUP("transport|SO2|Work loss days", US_national_yearly!$D:$AM, 31, FALSE) / VLOOKUP("transport|SO2|Work loss days", US_national_yearly!$D:$AM, 10, FALSE), 1)</f>
        <v>0.38244142823426402</v>
      </c>
      <c r="X15" s="7">
        <f>$B15 * IFERROR(VLOOKUP("transport|SO2|Work loss days", US_national_yearly!$D:$AM, 32, FALSE) / VLOOKUP("transport|SO2|Work loss days", US_national_yearly!$D:$AM, 10, FALSE), 1)</f>
        <v>0.38506745366561312</v>
      </c>
      <c r="Y15" s="7">
        <f>$B15 * IFERROR(VLOOKUP("transport|SO2|Work loss days", US_national_yearly!$D:$AM, 33, FALSE) / VLOOKUP("transport|SO2|Work loss days", US_national_yearly!$D:$AM, 10, FALSE), 1)</f>
        <v>0.38769347909696228</v>
      </c>
      <c r="Z15" s="7">
        <f>$B15 * IFERROR(VLOOKUP("transport|SO2|Work loss days", US_national_yearly!$D:$AM, 34, FALSE) / VLOOKUP("transport|SO2|Work loss days", US_national_yearly!$D:$AM, 10, FALSE), 1)</f>
        <v>0.39031950452831143</v>
      </c>
      <c r="AA15" s="7">
        <f>$B15 * IFERROR(VLOOKUP("transport|SO2|Work loss days", US_national_yearly!$D:$AM, 35, FALSE) / VLOOKUP("transport|SO2|Work loss days", US_national_yearly!$D:$AM, 10, FALSE), 1)</f>
        <v>0.39294552995966059</v>
      </c>
      <c r="AB15" s="7">
        <f>$B15 * IFERROR(VLOOKUP("transport|SO2|Work loss days", US_national_yearly!$D:$AM, 36, FALSE) / VLOOKUP("transport|SO2|Work loss days", US_national_yearly!$D:$AM, 10, FALSE), 1)</f>
        <v>0.3955715553910098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6.515409935579277E-4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6.7124608822838501E-4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6.9095118289884243E-4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7.1065627756929973E-4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7.3036137223975726E-4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7.4923697927241524E-4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7.6811258630507344E-4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7.8428529798950472E-4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8.0045800967393601E-4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8.1663072135836729E-4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8.3280343304279858E-4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8.4897614472722964E-4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8.5984052300086783E-4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8.707049012745059E-4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8.8156927954814387E-4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8.9243365782178184E-4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9.0329803609542003E-4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9.0901192552289805E-4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9.1472581495037608E-4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9.2043970437785411E-4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9.2615359380533214E-4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9.3186748323281017E-4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9.3570340609222958E-4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9.3953932895164888E-4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9.4337525181106819E-4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9.472111746704877E-4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9.510470975299069E-4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5.2978460753490171E-3</v>
      </c>
      <c r="C2" s="7">
        <f>$B2 * IFERROR(VLOOKUP("electricity|PM25|Premature mortality", US_national_yearly!$D:$AM, 11, FALSE) / VLOOKUP("electricity|PM25|Premature mortality", US_national_yearly!$D:$AM, 10, FALSE), 1)</f>
        <v>5.3634664563364381E-3</v>
      </c>
      <c r="D2" s="7">
        <f>$B2 * IFERROR(VLOOKUP("electricity|PM25|Premature mortality", US_national_yearly!$D:$AM, 12, FALSE) / VLOOKUP("electricity|PM25|Premature mortality", US_national_yearly!$D:$AM, 10, FALSE), 1)</f>
        <v>5.4290868373238583E-3</v>
      </c>
      <c r="E2" s="7">
        <f>$B2 * IFERROR(VLOOKUP("electricity|PM25|Premature mortality", US_national_yearly!$D:$AM, 13, FALSE) / VLOOKUP("electricity|PM25|Premature mortality", US_national_yearly!$D:$AM, 10, FALSE), 1)</f>
        <v>5.4947072183112794E-3</v>
      </c>
      <c r="F2" s="7">
        <f>$B2 * IFERROR(VLOOKUP("electricity|PM25|Premature mortality", US_national_yearly!$D:$AM, 14, FALSE) / VLOOKUP("electricity|PM25|Premature mortality", US_national_yearly!$D:$AM, 10, FALSE), 1)</f>
        <v>5.5603275992987013E-3</v>
      </c>
      <c r="G2" s="7">
        <f>$B2 * IFERROR(VLOOKUP("electricity|PM25|Premature mortality", US_national_yearly!$D:$AM, 15, FALSE) / VLOOKUP("electricity|PM25|Premature mortality", US_national_yearly!$D:$AM, 10, FALSE), 1)</f>
        <v>5.6892095173597737E-3</v>
      </c>
      <c r="H2" s="7">
        <f>$B2 * IFERROR(VLOOKUP("electricity|PM25|Premature mortality", US_national_yearly!$D:$AM, 16, FALSE) / VLOOKUP("electricity|PM25|Premature mortality", US_national_yearly!$D:$AM, 10, FALSE), 1)</f>
        <v>5.818091435420847E-3</v>
      </c>
      <c r="I2" s="7">
        <f>$B2 * IFERROR(VLOOKUP("electricity|PM25|Premature mortality", US_national_yearly!$D:$AM, 17, FALSE) / VLOOKUP("electricity|PM25|Premature mortality", US_national_yearly!$D:$AM, 10, FALSE), 1)</f>
        <v>5.9046882909371363E-3</v>
      </c>
      <c r="J2" s="7">
        <f>$B2 * IFERROR(VLOOKUP("electricity|PM25|Premature mortality", US_national_yearly!$D:$AM, 18, FALSE) / VLOOKUP("electricity|PM25|Premature mortality", US_national_yearly!$D:$AM, 10, FALSE), 1)</f>
        <v>5.9912851464534274E-3</v>
      </c>
      <c r="K2" s="7">
        <f>$B2 * IFERROR(VLOOKUP("electricity|PM25|Premature mortality", US_national_yearly!$D:$AM, 19, FALSE) / VLOOKUP("electricity|PM25|Premature mortality", US_national_yearly!$D:$AM, 10, FALSE), 1)</f>
        <v>6.0778820019697167E-3</v>
      </c>
      <c r="L2" s="7">
        <f>$B2 * IFERROR(VLOOKUP("electricity|PM25|Premature mortality", US_national_yearly!$D:$AM, 20, FALSE) / VLOOKUP("electricity|PM25|Premature mortality", US_national_yearly!$D:$AM, 10, FALSE), 1)</f>
        <v>6.1644788574860077E-3</v>
      </c>
      <c r="M2" s="7">
        <f>$B2 * IFERROR(VLOOKUP("electricity|PM25|Premature mortality", US_national_yearly!$D:$AM, 21, FALSE) / VLOOKUP("electricity|PM25|Premature mortality", US_national_yearly!$D:$AM, 10, FALSE), 1)</f>
        <v>6.251075713002297E-3</v>
      </c>
      <c r="N2" s="7">
        <f>$B2 * IFERROR(VLOOKUP("electricity|PM25|Premature mortality", US_national_yearly!$D:$AM, 22, FALSE) / VLOOKUP("electricity|PM25|Premature mortality", US_national_yearly!$D:$AM, 10, FALSE), 1)</f>
        <v>6.3201032110417289E-3</v>
      </c>
      <c r="O2" s="7">
        <f>$B2 * IFERROR(VLOOKUP("electricity|PM25|Premature mortality", US_national_yearly!$D:$AM, 23, FALSE) / VLOOKUP("electricity|PM25|Premature mortality", US_national_yearly!$D:$AM, 10, FALSE), 1)</f>
        <v>6.3891307090811599E-3</v>
      </c>
      <c r="P2" s="7">
        <f>$B2 * IFERROR(VLOOKUP("electricity|PM25|Premature mortality", US_national_yearly!$D:$AM, 24, FALSE) / VLOOKUP("electricity|PM25|Premature mortality", US_national_yearly!$D:$AM, 10, FALSE), 1)</f>
        <v>6.4581582071205918E-3</v>
      </c>
      <c r="Q2" s="7">
        <f>$B2 * IFERROR(VLOOKUP("electricity|PM25|Premature mortality", US_national_yearly!$D:$AM, 25, FALSE) / VLOOKUP("electricity|PM25|Premature mortality", US_national_yearly!$D:$AM, 10, FALSE), 1)</f>
        <v>6.5271857051600228E-3</v>
      </c>
      <c r="R2" s="7">
        <f>$B2 * IFERROR(VLOOKUP("electricity|PM25|Premature mortality", US_national_yearly!$D:$AM, 26, FALSE) / VLOOKUP("electricity|PM25|Premature mortality", US_national_yearly!$D:$AM, 10, FALSE), 1)</f>
        <v>6.5962132031994556E-3</v>
      </c>
      <c r="S2" s="7">
        <f>$B2 * IFERROR(VLOOKUP("electricity|PM25|Premature mortality", US_national_yearly!$D:$AM, 27, FALSE) / VLOOKUP("electricity|PM25|Premature mortality", US_national_yearly!$D:$AM, 10, FALSE), 1)</f>
        <v>6.6357111075476235E-3</v>
      </c>
      <c r="T2" s="7">
        <f>$B2 * IFERROR(VLOOKUP("electricity|PM25|Premature mortality", US_national_yearly!$D:$AM, 28, FALSE) / VLOOKUP("electricity|PM25|Premature mortality", US_national_yearly!$D:$AM, 10, FALSE), 1)</f>
        <v>6.6752090118957904E-3</v>
      </c>
      <c r="U2" s="7">
        <f>$B2 * IFERROR(VLOOKUP("electricity|PM25|Premature mortality", US_national_yearly!$D:$AM, 29, FALSE) / VLOOKUP("electricity|PM25|Premature mortality", US_national_yearly!$D:$AM, 10, FALSE), 1)</f>
        <v>6.7147069162439591E-3</v>
      </c>
      <c r="V2" s="7">
        <f>$B2 * IFERROR(VLOOKUP("electricity|PM25|Premature mortality", US_national_yearly!$D:$AM, 30, FALSE) / VLOOKUP("electricity|PM25|Premature mortality", US_national_yearly!$D:$AM, 10, FALSE), 1)</f>
        <v>6.7542048205921261E-3</v>
      </c>
      <c r="W2" s="7">
        <f>$B2 * IFERROR(VLOOKUP("electricity|PM25|Premature mortality", US_national_yearly!$D:$AM, 31, FALSE) / VLOOKUP("electricity|PM25|Premature mortality", US_national_yearly!$D:$AM, 10, FALSE), 1)</f>
        <v>6.793702724940294E-3</v>
      </c>
      <c r="X2" s="7">
        <f>$B2 * IFERROR(VLOOKUP("electricity|PM25|Premature mortality", US_national_yearly!$D:$AM, 32, FALSE) / VLOOKUP("electricity|PM25|Premature mortality", US_national_yearly!$D:$AM, 10, FALSE), 1)</f>
        <v>6.8046749873908515E-3</v>
      </c>
      <c r="Y2" s="7">
        <f>$B2 * IFERROR(VLOOKUP("electricity|PM25|Premature mortality", US_national_yearly!$D:$AM, 33, FALSE) / VLOOKUP("electricity|PM25|Premature mortality", US_national_yearly!$D:$AM, 10, FALSE), 1)</f>
        <v>6.815647249841409E-3</v>
      </c>
      <c r="Z2" s="7">
        <f>$B2 * IFERROR(VLOOKUP("electricity|PM25|Premature mortality", US_national_yearly!$D:$AM, 34, FALSE) / VLOOKUP("electricity|PM25|Premature mortality", US_national_yearly!$D:$AM, 10, FALSE), 1)</f>
        <v>6.8266195122919666E-3</v>
      </c>
      <c r="AA2" s="7">
        <f>$B2 * IFERROR(VLOOKUP("electricity|PM25|Premature mortality", US_national_yearly!$D:$AM, 35, FALSE) / VLOOKUP("electricity|PM25|Premature mortality", US_national_yearly!$D:$AM, 10, FALSE), 1)</f>
        <v>6.8375917747425258E-3</v>
      </c>
      <c r="AB2" s="7">
        <f>$B2 * IFERROR(VLOOKUP("electricity|PM25|Premature mortality", US_national_yearly!$D:$AM, 36, FALSE) / VLOOKUP("electricity|PM25|Premature mortality", US_national_yearly!$D:$AM, 10, FALSE), 1)</f>
        <v>6.8485640371930834E-3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1.4333230192706452E-5</v>
      </c>
      <c r="C3" s="7">
        <f>$B3 * IFERROR(VLOOKUP("electricity|PM25|Infant mortality", US_national_yearly!$D:$AM, 11, FALSE) / VLOOKUP("electricity|PM25|Infant mortality", US_national_yearly!$D:$AM, 10, FALSE), 1)</f>
        <v>1.4208344794141247E-5</v>
      </c>
      <c r="D3" s="7">
        <f>$B3 * IFERROR(VLOOKUP("electricity|PM25|Infant mortality", US_national_yearly!$D:$AM, 12, FALSE) / VLOOKUP("electricity|PM25|Infant mortality", US_national_yearly!$D:$AM, 10, FALSE), 1)</f>
        <v>1.4083459395576046E-5</v>
      </c>
      <c r="E3" s="7">
        <f>$B3 * IFERROR(VLOOKUP("electricity|PM25|Infant mortality", US_national_yearly!$D:$AM, 13, FALSE) / VLOOKUP("electricity|PM25|Infant mortality", US_national_yearly!$D:$AM, 10, FALSE), 1)</f>
        <v>1.395857399701084E-5</v>
      </c>
      <c r="F3" s="7">
        <f>$B3 * IFERROR(VLOOKUP("electricity|PM25|Infant mortality", US_national_yearly!$D:$AM, 14, FALSE) / VLOOKUP("electricity|PM25|Infant mortality", US_national_yearly!$D:$AM, 10, FALSE), 1)</f>
        <v>1.3833688598445635E-5</v>
      </c>
      <c r="G3" s="7">
        <f>$B3 * IFERROR(VLOOKUP("electricity|PM25|Infant mortality", US_national_yearly!$D:$AM, 15, FALSE) / VLOOKUP("electricity|PM25|Infant mortality", US_national_yearly!$D:$AM, 10, FALSE), 1)</f>
        <v>9.1740711043324445E-6</v>
      </c>
      <c r="H3" s="7">
        <f>$B3 * IFERROR(VLOOKUP("electricity|PM25|Infant mortality", US_national_yearly!$D:$AM, 16, FALSE) / VLOOKUP("electricity|PM25|Infant mortality", US_national_yearly!$D:$AM, 10, FALSE), 1)</f>
        <v>4.5144536102192526E-6</v>
      </c>
      <c r="I3" s="7">
        <f>$B3 * IFERROR(VLOOKUP("electricity|PM25|Infant mortality", US_national_yearly!$D:$AM, 17, FALSE) / VLOOKUP("electricity|PM25|Infant mortality", US_national_yearly!$D:$AM, 10, FALSE), 1)</f>
        <v>4.4825794990985958E-6</v>
      </c>
      <c r="J3" s="7">
        <f>$B3 * IFERROR(VLOOKUP("electricity|PM25|Infant mortality", US_national_yearly!$D:$AM, 18, FALSE) / VLOOKUP("electricity|PM25|Infant mortality", US_national_yearly!$D:$AM, 10, FALSE), 1)</f>
        <v>4.4507053879779416E-6</v>
      </c>
      <c r="K3" s="7">
        <f>$B3 * IFERROR(VLOOKUP("electricity|PM25|Infant mortality", US_national_yearly!$D:$AM, 19, FALSE) / VLOOKUP("electricity|PM25|Infant mortality", US_national_yearly!$D:$AM, 10, FALSE), 1)</f>
        <v>4.4188312768572858E-6</v>
      </c>
      <c r="L3" s="7">
        <f>$B3 * IFERROR(VLOOKUP("electricity|PM25|Infant mortality", US_national_yearly!$D:$AM, 20, FALSE) / VLOOKUP("electricity|PM25|Infant mortality", US_national_yearly!$D:$AM, 10, FALSE), 1)</f>
        <v>4.3869571657366299E-6</v>
      </c>
      <c r="M3" s="7">
        <f>$B3 * IFERROR(VLOOKUP("electricity|PM25|Infant mortality", US_national_yearly!$D:$AM, 21, FALSE) / VLOOKUP("electricity|PM25|Infant mortality", US_national_yearly!$D:$AM, 10, FALSE), 1)</f>
        <v>4.3550830546159748E-6</v>
      </c>
      <c r="N3" s="7">
        <f>$B3 * IFERROR(VLOOKUP("electricity|PM25|Infant mortality", US_national_yearly!$D:$AM, 22, FALSE) / VLOOKUP("electricity|PM25|Infant mortality", US_national_yearly!$D:$AM, 10, FALSE), 1)</f>
        <v>4.3345837693131615E-6</v>
      </c>
      <c r="O3" s="7">
        <f>$B3 * IFERROR(VLOOKUP("electricity|PM25|Infant mortality", US_national_yearly!$D:$AM, 23, FALSE) / VLOOKUP("electricity|PM25|Infant mortality", US_national_yearly!$D:$AM, 10, FALSE), 1)</f>
        <v>4.3140844840103482E-6</v>
      </c>
      <c r="P3" s="7">
        <f>$B3 * IFERROR(VLOOKUP("electricity|PM25|Infant mortality", US_national_yearly!$D:$AM, 24, FALSE) / VLOOKUP("electricity|PM25|Infant mortality", US_national_yearly!$D:$AM, 10, FALSE), 1)</f>
        <v>4.2935851987075348E-6</v>
      </c>
      <c r="Q3" s="7">
        <f>$B3 * IFERROR(VLOOKUP("electricity|PM25|Infant mortality", US_national_yearly!$D:$AM, 25, FALSE) / VLOOKUP("electricity|PM25|Infant mortality", US_national_yearly!$D:$AM, 10, FALSE), 1)</f>
        <v>4.2730859134047215E-6</v>
      </c>
      <c r="R3" s="7">
        <f>$B3 * IFERROR(VLOOKUP("electricity|PM25|Infant mortality", US_national_yearly!$D:$AM, 26, FALSE) / VLOOKUP("electricity|PM25|Infant mortality", US_national_yearly!$D:$AM, 10, FALSE), 1)</f>
        <v>4.2525866281019073E-6</v>
      </c>
      <c r="S3" s="7">
        <f>$B3 * IFERROR(VLOOKUP("electricity|PM25|Infant mortality", US_national_yearly!$D:$AM, 27, FALSE) / VLOOKUP("electricity|PM25|Infant mortality", US_national_yearly!$D:$AM, 10, FALSE), 1)</f>
        <v>4.2280280262215066E-6</v>
      </c>
      <c r="T3" s="7">
        <f>$B3 * IFERROR(VLOOKUP("electricity|PM25|Infant mortality", US_national_yearly!$D:$AM, 28, FALSE) / VLOOKUP("electricity|PM25|Infant mortality", US_national_yearly!$D:$AM, 10, FALSE), 1)</f>
        <v>4.2034694243411058E-6</v>
      </c>
      <c r="U3" s="7">
        <f>$B3 * IFERROR(VLOOKUP("electricity|PM25|Infant mortality", US_national_yearly!$D:$AM, 29, FALSE) / VLOOKUP("electricity|PM25|Infant mortality", US_national_yearly!$D:$AM, 10, FALSE), 1)</f>
        <v>4.1789108224607067E-6</v>
      </c>
      <c r="V3" s="7">
        <f>$B3 * IFERROR(VLOOKUP("electricity|PM25|Infant mortality", US_national_yearly!$D:$AM, 30, FALSE) / VLOOKUP("electricity|PM25|Infant mortality", US_national_yearly!$D:$AM, 10, FALSE), 1)</f>
        <v>4.154352220580306E-6</v>
      </c>
      <c r="W3" s="7">
        <f>$B3 * IFERROR(VLOOKUP("electricity|PM25|Infant mortality", US_national_yearly!$D:$AM, 31, FALSE) / VLOOKUP("electricity|PM25|Infant mortality", US_national_yearly!$D:$AM, 10, FALSE), 1)</f>
        <v>4.1297936186999052E-6</v>
      </c>
      <c r="X3" s="7">
        <f>$B3 * IFERROR(VLOOKUP("electricity|PM25|Infant mortality", US_national_yearly!$D:$AM, 32, FALSE) / VLOOKUP("electricity|PM25|Infant mortality", US_national_yearly!$D:$AM, 10, FALSE), 1)</f>
        <v>4.1044153699381112E-6</v>
      </c>
      <c r="Y3" s="7">
        <f>$B3 * IFERROR(VLOOKUP("electricity|PM25|Infant mortality", US_national_yearly!$D:$AM, 33, FALSE) / VLOOKUP("electricity|PM25|Infant mortality", US_national_yearly!$D:$AM, 10, FALSE), 1)</f>
        <v>4.0790371211763164E-6</v>
      </c>
      <c r="Z3" s="7">
        <f>$B3 * IFERROR(VLOOKUP("electricity|PM25|Infant mortality", US_national_yearly!$D:$AM, 34, FALSE) / VLOOKUP("electricity|PM25|Infant mortality", US_national_yearly!$D:$AM, 10, FALSE), 1)</f>
        <v>4.0536588724145224E-6</v>
      </c>
      <c r="AA3" s="7">
        <f>$B3 * IFERROR(VLOOKUP("electricity|PM25|Infant mortality", US_national_yearly!$D:$AM, 35, FALSE) / VLOOKUP("electricity|PM25|Infant mortality", US_national_yearly!$D:$AM, 10, FALSE), 1)</f>
        <v>4.0282806236527284E-6</v>
      </c>
      <c r="AB3" s="7">
        <f>$B3 * IFERROR(VLOOKUP("electricity|PM25|Infant mortality", US_national_yearly!$D:$AM, 36, FALSE) / VLOOKUP("electricity|PM25|Infant mortality", US_national_yearly!$D:$AM, 10, FALSE), 1)</f>
        <v>4.0029023748909344E-6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1.2704526701681679E-2</v>
      </c>
      <c r="C6" s="7">
        <f>$B6 * IFERROR(VLOOKUP("electricity|PM25|Asthma symptoms cough", US_national_yearly!$D:$AM, 11, FALSE) / VLOOKUP("electricity|PM25|Asthma symptoms cough", US_national_yearly!$D:$AM, 10, FALSE), 1)</f>
        <v>1.2704526701681679E-2</v>
      </c>
      <c r="D6" s="7">
        <f>$B6 * IFERROR(VLOOKUP("electricity|PM25|Asthma symptoms cough", US_national_yearly!$D:$AM, 12, FALSE) / VLOOKUP("electricity|PM25|Asthma symptoms cough", US_national_yearly!$D:$AM, 10, FALSE), 1)</f>
        <v>1.2704526701681679E-2</v>
      </c>
      <c r="E6" s="7">
        <f>$B6 * IFERROR(VLOOKUP("electricity|PM25|Asthma symptoms cough", US_national_yearly!$D:$AM, 13, FALSE) / VLOOKUP("electricity|PM25|Asthma symptoms cough", US_national_yearly!$D:$AM, 10, FALSE), 1)</f>
        <v>1.2704526701681679E-2</v>
      </c>
      <c r="F6" s="7">
        <f>$B6 * IFERROR(VLOOKUP("electricity|PM25|Asthma symptoms cough", US_national_yearly!$D:$AM, 14, FALSE) / VLOOKUP("electricity|PM25|Asthma symptoms cough", US_national_yearly!$D:$AM, 10, FALSE), 1)</f>
        <v>1.2704526701681679E-2</v>
      </c>
      <c r="G6" s="7">
        <f>$B6 * IFERROR(VLOOKUP("electricity|PM25|Asthma symptoms cough", US_national_yearly!$D:$AM, 15, FALSE) / VLOOKUP("electricity|PM25|Asthma symptoms cough", US_national_yearly!$D:$AM, 10, FALSE), 1)</f>
        <v>1.2704526701681679E-2</v>
      </c>
      <c r="H6" s="7">
        <f>$B6 * IFERROR(VLOOKUP("electricity|PM25|Asthma symptoms cough", US_national_yearly!$D:$AM, 16, FALSE) / VLOOKUP("electricity|PM25|Asthma symptoms cough", US_national_yearly!$D:$AM, 10, FALSE), 1)</f>
        <v>1.2704526701681679E-2</v>
      </c>
      <c r="I6" s="7">
        <f>$B6 * IFERROR(VLOOKUP("electricity|PM25|Asthma symptoms cough", US_national_yearly!$D:$AM, 17, FALSE) / VLOOKUP("electricity|PM25|Asthma symptoms cough", US_national_yearly!$D:$AM, 10, FALSE), 1)</f>
        <v>1.2704526701681679E-2</v>
      </c>
      <c r="J6" s="7">
        <f>$B6 * IFERROR(VLOOKUP("electricity|PM25|Asthma symptoms cough", US_national_yearly!$D:$AM, 18, FALSE) / VLOOKUP("electricity|PM25|Asthma symptoms cough", US_national_yearly!$D:$AM, 10, FALSE), 1)</f>
        <v>1.2704526701681679E-2</v>
      </c>
      <c r="K6" s="7">
        <f>$B6 * IFERROR(VLOOKUP("electricity|PM25|Asthma symptoms cough", US_national_yearly!$D:$AM, 19, FALSE) / VLOOKUP("electricity|PM25|Asthma symptoms cough", US_national_yearly!$D:$AM, 10, FALSE), 1)</f>
        <v>1.2704526701681679E-2</v>
      </c>
      <c r="L6" s="7">
        <f>$B6 * IFERROR(VLOOKUP("electricity|PM25|Asthma symptoms cough", US_national_yearly!$D:$AM, 20, FALSE) / VLOOKUP("electricity|PM25|Asthma symptoms cough", US_national_yearly!$D:$AM, 10, FALSE), 1)</f>
        <v>1.2704526701681679E-2</v>
      </c>
      <c r="M6" s="7">
        <f>$B6 * IFERROR(VLOOKUP("electricity|PM25|Asthma symptoms cough", US_national_yearly!$D:$AM, 21, FALSE) / VLOOKUP("electricity|PM25|Asthma symptoms cough", US_national_yearly!$D:$AM, 10, FALSE), 1)</f>
        <v>1.2704526701681679E-2</v>
      </c>
      <c r="N6" s="7">
        <f>$B6 * IFERROR(VLOOKUP("electricity|PM25|Asthma symptoms cough", US_national_yearly!$D:$AM, 22, FALSE) / VLOOKUP("electricity|PM25|Asthma symptoms cough", US_national_yearly!$D:$AM, 10, FALSE), 1)</f>
        <v>1.2704526701681679E-2</v>
      </c>
      <c r="O6" s="7">
        <f>$B6 * IFERROR(VLOOKUP("electricity|PM25|Asthma symptoms cough", US_national_yearly!$D:$AM, 23, FALSE) / VLOOKUP("electricity|PM25|Asthma symptoms cough", US_national_yearly!$D:$AM, 10, FALSE), 1)</f>
        <v>1.2704526701681679E-2</v>
      </c>
      <c r="P6" s="7">
        <f>$B6 * IFERROR(VLOOKUP("electricity|PM25|Asthma symptoms cough", US_national_yearly!$D:$AM, 24, FALSE) / VLOOKUP("electricity|PM25|Asthma symptoms cough", US_national_yearly!$D:$AM, 10, FALSE), 1)</f>
        <v>1.2704526701681679E-2</v>
      </c>
      <c r="Q6" s="7">
        <f>$B6 * IFERROR(VLOOKUP("electricity|PM25|Asthma symptoms cough", US_national_yearly!$D:$AM, 25, FALSE) / VLOOKUP("electricity|PM25|Asthma symptoms cough", US_national_yearly!$D:$AM, 10, FALSE), 1)</f>
        <v>1.2704526701681679E-2</v>
      </c>
      <c r="R6" s="7">
        <f>$B6 * IFERROR(VLOOKUP("electricity|PM25|Asthma symptoms cough", US_national_yearly!$D:$AM, 26, FALSE) / VLOOKUP("electricity|PM25|Asthma symptoms cough", US_national_yearly!$D:$AM, 10, FALSE), 1)</f>
        <v>1.2704526701681679E-2</v>
      </c>
      <c r="S6" s="7">
        <f>$B6 * IFERROR(VLOOKUP("electricity|PM25|Asthma symptoms cough", US_national_yearly!$D:$AM, 27, FALSE) / VLOOKUP("electricity|PM25|Asthma symptoms cough", US_national_yearly!$D:$AM, 10, FALSE), 1)</f>
        <v>1.2704526701681679E-2</v>
      </c>
      <c r="T6" s="7">
        <f>$B6 * IFERROR(VLOOKUP("electricity|PM25|Asthma symptoms cough", US_national_yearly!$D:$AM, 28, FALSE) / VLOOKUP("electricity|PM25|Asthma symptoms cough", US_national_yearly!$D:$AM, 10, FALSE), 1)</f>
        <v>1.2704526701681679E-2</v>
      </c>
      <c r="U6" s="7">
        <f>$B6 * IFERROR(VLOOKUP("electricity|PM25|Asthma symptoms cough", US_national_yearly!$D:$AM, 29, FALSE) / VLOOKUP("electricity|PM25|Asthma symptoms cough", US_national_yearly!$D:$AM, 10, FALSE), 1)</f>
        <v>1.2704526701681679E-2</v>
      </c>
      <c r="V6" s="7">
        <f>$B6 * IFERROR(VLOOKUP("electricity|PM25|Asthma symptoms cough", US_national_yearly!$D:$AM, 30, FALSE) / VLOOKUP("electricity|PM25|Asthma symptoms cough", US_national_yearly!$D:$AM, 10, FALSE), 1)</f>
        <v>1.2704526701681679E-2</v>
      </c>
      <c r="W6" s="7">
        <f>$B6 * IFERROR(VLOOKUP("electricity|PM25|Asthma symptoms cough", US_national_yearly!$D:$AM, 31, FALSE) / VLOOKUP("electricity|PM25|Asthma symptoms cough", US_national_yearly!$D:$AM, 10, FALSE), 1)</f>
        <v>1.2704526701681679E-2</v>
      </c>
      <c r="X6" s="7">
        <f>$B6 * IFERROR(VLOOKUP("electricity|PM25|Asthma symptoms cough", US_national_yearly!$D:$AM, 32, FALSE) / VLOOKUP("electricity|PM25|Asthma symptoms cough", US_national_yearly!$D:$AM, 10, FALSE), 1)</f>
        <v>1.2704526701681679E-2</v>
      </c>
      <c r="Y6" s="7">
        <f>$B6 * IFERROR(VLOOKUP("electricity|PM25|Asthma symptoms cough", US_national_yearly!$D:$AM, 33, FALSE) / VLOOKUP("electricity|PM25|Asthma symptoms cough", US_national_yearly!$D:$AM, 10, FALSE), 1)</f>
        <v>1.2704526701681679E-2</v>
      </c>
      <c r="Z6" s="7">
        <f>$B6 * IFERROR(VLOOKUP("electricity|PM25|Asthma symptoms cough", US_national_yearly!$D:$AM, 34, FALSE) / VLOOKUP("electricity|PM25|Asthma symptoms cough", US_national_yearly!$D:$AM, 10, FALSE), 1)</f>
        <v>1.2704526701681679E-2</v>
      </c>
      <c r="AA6" s="7">
        <f>$B6 * IFERROR(VLOOKUP("electricity|PM25|Asthma symptoms cough", US_national_yearly!$D:$AM, 35, FALSE) / VLOOKUP("electricity|PM25|Asthma symptoms cough", US_national_yearly!$D:$AM, 10, FALSE), 1)</f>
        <v>1.2704526701681679E-2</v>
      </c>
      <c r="AB6" s="7">
        <f>$B6 * IFERROR(VLOOKUP("electricity|PM25|Asthma symptoms cough", US_national_yearly!$D:$AM, 36, FALSE) / VLOOKUP("electricity|PM25|Asthma symptoms cough", US_national_yearly!$D:$AM, 10, FALSE), 1)</f>
        <v>1.2704526701681679E-2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1.7108234178076723E-2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1.7108234178076723E-2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1.7108234178076723E-2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1.7108234178076723E-2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1.7108234178076723E-2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1.7108234178076723E-2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1.7108234178076723E-2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1.7108234178076723E-2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1.7108234178076723E-2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1.7108234178076723E-2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1.7108234178076723E-2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1.7108234178076723E-2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1.7108234178076723E-2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1.7108234178076723E-2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1.7108234178076723E-2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1.7108234178076723E-2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1.7108234178076723E-2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1.7108234178076723E-2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1.7108234178076723E-2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1.7108234178076723E-2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1.7108234178076723E-2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1.7108234178076723E-2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1.7108234178076723E-2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1.7108234178076723E-2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1.7108234178076723E-2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1.7108234178076723E-2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1.7108234178076723E-2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2.6139389697480805E-2</v>
      </c>
      <c r="C8" s="7">
        <f>$B8 * IFERROR(VLOOKUP("electricity|PM25|Asthma symptoms wheeze", US_national_yearly!$D:$AM, 11, FALSE) / VLOOKUP("electricity|PM25|Asthma symptoms wheeze", US_national_yearly!$D:$AM, 10, FALSE), 1)</f>
        <v>2.6139389697480805E-2</v>
      </c>
      <c r="D8" s="7">
        <f>$B8 * IFERROR(VLOOKUP("electricity|PM25|Asthma symptoms wheeze", US_national_yearly!$D:$AM, 12, FALSE) / VLOOKUP("electricity|PM25|Asthma symptoms wheeze", US_national_yearly!$D:$AM, 10, FALSE), 1)</f>
        <v>2.6139389697480805E-2</v>
      </c>
      <c r="E8" s="7">
        <f>$B8 * IFERROR(VLOOKUP("electricity|PM25|Asthma symptoms wheeze", US_national_yearly!$D:$AM, 13, FALSE) / VLOOKUP("electricity|PM25|Asthma symptoms wheeze", US_national_yearly!$D:$AM, 10, FALSE), 1)</f>
        <v>2.6139389697480805E-2</v>
      </c>
      <c r="F8" s="7">
        <f>$B8 * IFERROR(VLOOKUP("electricity|PM25|Asthma symptoms wheeze", US_national_yearly!$D:$AM, 14, FALSE) / VLOOKUP("electricity|PM25|Asthma symptoms wheeze", US_national_yearly!$D:$AM, 10, FALSE), 1)</f>
        <v>2.6139389697480805E-2</v>
      </c>
      <c r="G8" s="7">
        <f>$B8 * IFERROR(VLOOKUP("electricity|PM25|Asthma symptoms wheeze", US_national_yearly!$D:$AM, 15, FALSE) / VLOOKUP("electricity|PM25|Asthma symptoms wheeze", US_national_yearly!$D:$AM, 10, FALSE), 1)</f>
        <v>2.6139389697480805E-2</v>
      </c>
      <c r="H8" s="7">
        <f>$B8 * IFERROR(VLOOKUP("electricity|PM25|Asthma symptoms wheeze", US_national_yearly!$D:$AM, 16, FALSE) / VLOOKUP("electricity|PM25|Asthma symptoms wheeze", US_national_yearly!$D:$AM, 10, FALSE), 1)</f>
        <v>2.6139389697480805E-2</v>
      </c>
      <c r="I8" s="7">
        <f>$B8 * IFERROR(VLOOKUP("electricity|PM25|Asthma symptoms wheeze", US_national_yearly!$D:$AM, 17, FALSE) / VLOOKUP("electricity|PM25|Asthma symptoms wheeze", US_national_yearly!$D:$AM, 10, FALSE), 1)</f>
        <v>2.6139389697480805E-2</v>
      </c>
      <c r="J8" s="7">
        <f>$B8 * IFERROR(VLOOKUP("electricity|PM25|Asthma symptoms wheeze", US_national_yearly!$D:$AM, 18, FALSE) / VLOOKUP("electricity|PM25|Asthma symptoms wheeze", US_national_yearly!$D:$AM, 10, FALSE), 1)</f>
        <v>2.6139389697480805E-2</v>
      </c>
      <c r="K8" s="7">
        <f>$B8 * IFERROR(VLOOKUP("electricity|PM25|Asthma symptoms wheeze", US_national_yearly!$D:$AM, 19, FALSE) / VLOOKUP("electricity|PM25|Asthma symptoms wheeze", US_national_yearly!$D:$AM, 10, FALSE), 1)</f>
        <v>2.6139389697480805E-2</v>
      </c>
      <c r="L8" s="7">
        <f>$B8 * IFERROR(VLOOKUP("electricity|PM25|Asthma symptoms wheeze", US_national_yearly!$D:$AM, 20, FALSE) / VLOOKUP("electricity|PM25|Asthma symptoms wheeze", US_national_yearly!$D:$AM, 10, FALSE), 1)</f>
        <v>2.6139389697480805E-2</v>
      </c>
      <c r="M8" s="7">
        <f>$B8 * IFERROR(VLOOKUP("electricity|PM25|Asthma symptoms wheeze", US_national_yearly!$D:$AM, 21, FALSE) / VLOOKUP("electricity|PM25|Asthma symptoms wheeze", US_national_yearly!$D:$AM, 10, FALSE), 1)</f>
        <v>2.6139389697480805E-2</v>
      </c>
      <c r="N8" s="7">
        <f>$B8 * IFERROR(VLOOKUP("electricity|PM25|Asthma symptoms wheeze", US_national_yearly!$D:$AM, 22, FALSE) / VLOOKUP("electricity|PM25|Asthma symptoms wheeze", US_national_yearly!$D:$AM, 10, FALSE), 1)</f>
        <v>2.6139389697480805E-2</v>
      </c>
      <c r="O8" s="7">
        <f>$B8 * IFERROR(VLOOKUP("electricity|PM25|Asthma symptoms wheeze", US_national_yearly!$D:$AM, 23, FALSE) / VLOOKUP("electricity|PM25|Asthma symptoms wheeze", US_national_yearly!$D:$AM, 10, FALSE), 1)</f>
        <v>2.6139389697480805E-2</v>
      </c>
      <c r="P8" s="7">
        <f>$B8 * IFERROR(VLOOKUP("electricity|PM25|Asthma symptoms wheeze", US_national_yearly!$D:$AM, 24, FALSE) / VLOOKUP("electricity|PM25|Asthma symptoms wheeze", US_national_yearly!$D:$AM, 10, FALSE), 1)</f>
        <v>2.6139389697480805E-2</v>
      </c>
      <c r="Q8" s="7">
        <f>$B8 * IFERROR(VLOOKUP("electricity|PM25|Asthma symptoms wheeze", US_national_yearly!$D:$AM, 25, FALSE) / VLOOKUP("electricity|PM25|Asthma symptoms wheeze", US_national_yearly!$D:$AM, 10, FALSE), 1)</f>
        <v>2.6139389697480805E-2</v>
      </c>
      <c r="R8" s="7">
        <f>$B8 * IFERROR(VLOOKUP("electricity|PM25|Asthma symptoms wheeze", US_national_yearly!$D:$AM, 26, FALSE) / VLOOKUP("electricity|PM25|Asthma symptoms wheeze", US_national_yearly!$D:$AM, 10, FALSE), 1)</f>
        <v>2.6139389697480805E-2</v>
      </c>
      <c r="S8" s="7">
        <f>$B8 * IFERROR(VLOOKUP("electricity|PM25|Asthma symptoms wheeze", US_national_yearly!$D:$AM, 27, FALSE) / VLOOKUP("electricity|PM25|Asthma symptoms wheeze", US_national_yearly!$D:$AM, 10, FALSE), 1)</f>
        <v>2.6139389697480805E-2</v>
      </c>
      <c r="T8" s="7">
        <f>$B8 * IFERROR(VLOOKUP("electricity|PM25|Asthma symptoms wheeze", US_national_yearly!$D:$AM, 28, FALSE) / VLOOKUP("electricity|PM25|Asthma symptoms wheeze", US_national_yearly!$D:$AM, 10, FALSE), 1)</f>
        <v>2.6139389697480805E-2</v>
      </c>
      <c r="U8" s="7">
        <f>$B8 * IFERROR(VLOOKUP("electricity|PM25|Asthma symptoms wheeze", US_national_yearly!$D:$AM, 29, FALSE) / VLOOKUP("electricity|PM25|Asthma symptoms wheeze", US_national_yearly!$D:$AM, 10, FALSE), 1)</f>
        <v>2.6139389697480805E-2</v>
      </c>
      <c r="V8" s="7">
        <f>$B8 * IFERROR(VLOOKUP("electricity|PM25|Asthma symptoms wheeze", US_national_yearly!$D:$AM, 30, FALSE) / VLOOKUP("electricity|PM25|Asthma symptoms wheeze", US_national_yearly!$D:$AM, 10, FALSE), 1)</f>
        <v>2.6139389697480805E-2</v>
      </c>
      <c r="W8" s="7">
        <f>$B8 * IFERROR(VLOOKUP("electricity|PM25|Asthma symptoms wheeze", US_national_yearly!$D:$AM, 31, FALSE) / VLOOKUP("electricity|PM25|Asthma symptoms wheeze", US_national_yearly!$D:$AM, 10, FALSE), 1)</f>
        <v>2.6139389697480805E-2</v>
      </c>
      <c r="X8" s="7">
        <f>$B8 * IFERROR(VLOOKUP("electricity|PM25|Asthma symptoms wheeze", US_national_yearly!$D:$AM, 32, FALSE) / VLOOKUP("electricity|PM25|Asthma symptoms wheeze", US_national_yearly!$D:$AM, 10, FALSE), 1)</f>
        <v>2.6139389697480805E-2</v>
      </c>
      <c r="Y8" s="7">
        <f>$B8 * IFERROR(VLOOKUP("electricity|PM25|Asthma symptoms wheeze", US_national_yearly!$D:$AM, 33, FALSE) / VLOOKUP("electricity|PM25|Asthma symptoms wheeze", US_national_yearly!$D:$AM, 10, FALSE), 1)</f>
        <v>2.6139389697480805E-2</v>
      </c>
      <c r="Z8" s="7">
        <f>$B8 * IFERROR(VLOOKUP("electricity|PM25|Asthma symptoms wheeze", US_national_yearly!$D:$AM, 34, FALSE) / VLOOKUP("electricity|PM25|Asthma symptoms wheeze", US_national_yearly!$D:$AM, 10, FALSE), 1)</f>
        <v>2.6139389697480805E-2</v>
      </c>
      <c r="AA8" s="7">
        <f>$B8 * IFERROR(VLOOKUP("electricity|PM25|Asthma symptoms wheeze", US_national_yearly!$D:$AM, 35, FALSE) / VLOOKUP("electricity|PM25|Asthma symptoms wheeze", US_national_yearly!$D:$AM, 10, FALSE), 1)</f>
        <v>2.6139389697480805E-2</v>
      </c>
      <c r="AB8" s="7">
        <f>$B8 * IFERROR(VLOOKUP("electricity|PM25|Asthma symptoms wheeze", US_national_yearly!$D:$AM, 36, FALSE) / VLOOKUP("electricity|PM25|Asthma symptoms wheeze", US_national_yearly!$D:$AM, 10, FALSE), 1)</f>
        <v>2.6139389697480805E-2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3.7599693724086822E-4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3.7806337063349524E-4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3.801298040261222E-4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3.8219623741874933E-4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3.842626708113763E-4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3.8647783661385147E-4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3.8869300241632665E-4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3.906720267618905E-4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3.9265105110745425E-4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3.94630075453018E-4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3.9660909979858175E-4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3.9858812414414555E-4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3.9992304633905656E-4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4.0125796853396762E-4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4.0259289072887869E-4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4.0392781292378964E-4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4.0526273511870076E-4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4.0650669591302632E-4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4.0775065670735171E-4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4.0899461750167721E-4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4.1023857829600272E-4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4.1148253909032811E-4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4.1271257942161927E-4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4.1394261975291028E-4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4.1517266008420133E-4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4.1640270041549239E-4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4.1763274074678349E-4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2.23080076490217E-3</v>
      </c>
      <c r="C13" s="7">
        <f>$B13 * IFERROR(VLOOKUP("electricity|PM25|Non-fatal heart attacks", US_national_yearly!$D:$AM, 11, FALSE) / VLOOKUP("electricity|PM25|Non-fatal heart attacks", US_national_yearly!$D:$AM, 10, FALSE), 1)</f>
        <v>2.2954155115789119E-3</v>
      </c>
      <c r="D13" s="7">
        <f>$B13 * IFERROR(VLOOKUP("electricity|PM25|Non-fatal heart attacks", US_national_yearly!$D:$AM, 12, FALSE) / VLOOKUP("electricity|PM25|Non-fatal heart attacks", US_national_yearly!$D:$AM, 10, FALSE), 1)</f>
        <v>2.3600302582556542E-3</v>
      </c>
      <c r="E13" s="7">
        <f>$B13 * IFERROR(VLOOKUP("electricity|PM25|Non-fatal heart attacks", US_national_yearly!$D:$AM, 13, FALSE) / VLOOKUP("electricity|PM25|Non-fatal heart attacks", US_national_yearly!$D:$AM, 10, FALSE), 1)</f>
        <v>2.4246450049323956E-3</v>
      </c>
      <c r="F13" s="7">
        <f>$B13 * IFERROR(VLOOKUP("electricity|PM25|Non-fatal heart attacks", US_national_yearly!$D:$AM, 14, FALSE) / VLOOKUP("electricity|PM25|Non-fatal heart attacks", US_national_yearly!$D:$AM, 10, FALSE), 1)</f>
        <v>2.4892597516091375E-3</v>
      </c>
      <c r="G13" s="7">
        <f>$B13 * IFERROR(VLOOKUP("electricity|PM25|Non-fatal heart attacks", US_national_yearly!$D:$AM, 15, FALSE) / VLOOKUP("electricity|PM25|Non-fatal heart attacks", US_national_yearly!$D:$AM, 10, FALSE), 1)</f>
        <v>2.5505899365983477E-3</v>
      </c>
      <c r="H13" s="7">
        <f>$B13 * IFERROR(VLOOKUP("electricity|PM25|Non-fatal heart attacks", US_national_yearly!$D:$AM, 16, FALSE) / VLOOKUP("electricity|PM25|Non-fatal heart attacks", US_national_yearly!$D:$AM, 10, FALSE), 1)</f>
        <v>2.6119201215875571E-3</v>
      </c>
      <c r="I13" s="7">
        <f>$B13 * IFERROR(VLOOKUP("electricity|PM25|Non-fatal heart attacks", US_national_yearly!$D:$AM, 17, FALSE) / VLOOKUP("electricity|PM25|Non-fatal heart attacks", US_national_yearly!$D:$AM, 10, FALSE), 1)</f>
        <v>2.6619583121675165E-3</v>
      </c>
      <c r="J13" s="7">
        <f>$B13 * IFERROR(VLOOKUP("electricity|PM25|Non-fatal heart attacks", US_national_yearly!$D:$AM, 18, FALSE) / VLOOKUP("electricity|PM25|Non-fatal heart attacks", US_national_yearly!$D:$AM, 10, FALSE), 1)</f>
        <v>2.711996502747476E-3</v>
      </c>
      <c r="K13" s="7">
        <f>$B13 * IFERROR(VLOOKUP("electricity|PM25|Non-fatal heart attacks", US_national_yearly!$D:$AM, 19, FALSE) / VLOOKUP("electricity|PM25|Non-fatal heart attacks", US_national_yearly!$D:$AM, 10, FALSE), 1)</f>
        <v>2.7620346933274345E-3</v>
      </c>
      <c r="L13" s="7">
        <f>$B13 * IFERROR(VLOOKUP("electricity|PM25|Non-fatal heart attacks", US_national_yearly!$D:$AM, 20, FALSE) / VLOOKUP("electricity|PM25|Non-fatal heart attacks", US_national_yearly!$D:$AM, 10, FALSE), 1)</f>
        <v>2.8120728839073936E-3</v>
      </c>
      <c r="M13" s="7">
        <f>$B13 * IFERROR(VLOOKUP("electricity|PM25|Non-fatal heart attacks", US_national_yearly!$D:$AM, 21, FALSE) / VLOOKUP("electricity|PM25|Non-fatal heart attacks", US_national_yearly!$D:$AM, 10, FALSE), 1)</f>
        <v>2.8621110744873534E-3</v>
      </c>
      <c r="N13" s="7">
        <f>$B13 * IFERROR(VLOOKUP("electricity|PM25|Non-fatal heart attacks", US_national_yearly!$D:$AM, 22, FALSE) / VLOOKUP("electricity|PM25|Non-fatal heart attacks", US_national_yearly!$D:$AM, 10, FALSE), 1)</f>
        <v>2.8945794006019258E-3</v>
      </c>
      <c r="O13" s="7">
        <f>$B13 * IFERROR(VLOOKUP("electricity|PM25|Non-fatal heart attacks", US_national_yearly!$D:$AM, 23, FALSE) / VLOOKUP("electricity|PM25|Non-fatal heart attacks", US_national_yearly!$D:$AM, 10, FALSE), 1)</f>
        <v>2.9270477267164981E-3</v>
      </c>
      <c r="P13" s="7">
        <f>$B13 * IFERROR(VLOOKUP("electricity|PM25|Non-fatal heart attacks", US_national_yearly!$D:$AM, 24, FALSE) / VLOOKUP("electricity|PM25|Non-fatal heart attacks", US_national_yearly!$D:$AM, 10, FALSE), 1)</f>
        <v>2.9595160528310704E-3</v>
      </c>
      <c r="Q13" s="7">
        <f>$B13 * IFERROR(VLOOKUP("electricity|PM25|Non-fatal heart attacks", US_national_yearly!$D:$AM, 25, FALSE) / VLOOKUP("electricity|PM25|Non-fatal heart attacks", US_national_yearly!$D:$AM, 10, FALSE), 1)</f>
        <v>2.9919843789456427E-3</v>
      </c>
      <c r="R13" s="7">
        <f>$B13 * IFERROR(VLOOKUP("electricity|PM25|Non-fatal heart attacks", US_national_yearly!$D:$AM, 26, FALSE) / VLOOKUP("electricity|PM25|Non-fatal heart attacks", US_national_yearly!$D:$AM, 10, FALSE), 1)</f>
        <v>3.024452705060215E-3</v>
      </c>
      <c r="S13" s="7">
        <f>$B13 * IFERROR(VLOOKUP("electricity|PM25|Non-fatal heart attacks", US_national_yearly!$D:$AM, 27, FALSE) / VLOOKUP("electricity|PM25|Non-fatal heart attacks", US_national_yearly!$D:$AM, 10, FALSE), 1)</f>
        <v>3.0423273527041056E-3</v>
      </c>
      <c r="T13" s="7">
        <f>$B13 * IFERROR(VLOOKUP("electricity|PM25|Non-fatal heart attacks", US_national_yearly!$D:$AM, 28, FALSE) / VLOOKUP("electricity|PM25|Non-fatal heart attacks", US_national_yearly!$D:$AM, 10, FALSE), 1)</f>
        <v>3.0602020003479965E-3</v>
      </c>
      <c r="U13" s="7">
        <f>$B13 * IFERROR(VLOOKUP("electricity|PM25|Non-fatal heart attacks", US_national_yearly!$D:$AM, 29, FALSE) / VLOOKUP("electricity|PM25|Non-fatal heart attacks", US_national_yearly!$D:$AM, 10, FALSE), 1)</f>
        <v>3.078076647991887E-3</v>
      </c>
      <c r="V13" s="7">
        <f>$B13 * IFERROR(VLOOKUP("electricity|PM25|Non-fatal heart attacks", US_national_yearly!$D:$AM, 30, FALSE) / VLOOKUP("electricity|PM25|Non-fatal heart attacks", US_national_yearly!$D:$AM, 10, FALSE), 1)</f>
        <v>3.0959512956357776E-3</v>
      </c>
      <c r="W13" s="7">
        <f>$B13 * IFERROR(VLOOKUP("electricity|PM25|Non-fatal heart attacks", US_national_yearly!$D:$AM, 31, FALSE) / VLOOKUP("electricity|PM25|Non-fatal heart attacks", US_national_yearly!$D:$AM, 10, FALSE), 1)</f>
        <v>3.1138259432796685E-3</v>
      </c>
      <c r="X13" s="7">
        <f>$B13 * IFERROR(VLOOKUP("electricity|PM25|Non-fatal heart attacks", US_national_yearly!$D:$AM, 32, FALSE) / VLOOKUP("electricity|PM25|Non-fatal heart attacks", US_national_yearly!$D:$AM, 10, FALSE), 1)</f>
        <v>3.1278095622930993E-3</v>
      </c>
      <c r="Y13" s="7">
        <f>$B13 * IFERROR(VLOOKUP("electricity|PM25|Non-fatal heart attacks", US_national_yearly!$D:$AM, 33, FALSE) / VLOOKUP("electricity|PM25|Non-fatal heart attacks", US_national_yearly!$D:$AM, 10, FALSE), 1)</f>
        <v>3.14179318130653E-3</v>
      </c>
      <c r="Z13" s="7">
        <f>$B13 * IFERROR(VLOOKUP("electricity|PM25|Non-fatal heart attacks", US_national_yearly!$D:$AM, 34, FALSE) / VLOOKUP("electricity|PM25|Non-fatal heart attacks", US_national_yearly!$D:$AM, 10, FALSE), 1)</f>
        <v>3.1557768003199608E-3</v>
      </c>
      <c r="AA13" s="7">
        <f>$B13 * IFERROR(VLOOKUP("electricity|PM25|Non-fatal heart attacks", US_national_yearly!$D:$AM, 35, FALSE) / VLOOKUP("electricity|PM25|Non-fatal heart attacks", US_national_yearly!$D:$AM, 10, FALSE), 1)</f>
        <v>3.169760419333392E-3</v>
      </c>
      <c r="AB13" s="7">
        <f>$B13 * IFERROR(VLOOKUP("electricity|PM25|Non-fatal heart attacks", US_national_yearly!$D:$AM, 36, FALSE) / VLOOKUP("electricity|PM25|Non-fatal heart attacks", US_national_yearly!$D:$AM, 10, FALSE), 1)</f>
        <v>3.1837440383468223E-3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1.4911310218290252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1.4944412324672325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1.49775144310544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1.501061653743647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1.5043718643818547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1.5092838334021164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1.5141958024223783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1.5228690021685145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1.5315422019146512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1.5402154016607874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1.5488886014069239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1.5575618011530601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1.5695940305857801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1.5816262600185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1.5936584894512202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1.6056907188839404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1.6177229483166602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1.6298589618293011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1.6419949753419418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1.6541309888545823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1.6662670023672232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1.678403015879864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1.6888061126105023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1.6992092093411411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1.7096123060717798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1.7200154028024179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1.7304184995330569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0.25144075469326871</v>
      </c>
      <c r="C15" s="7">
        <f>$B15 * IFERROR(VLOOKUP("electricity|PM25|Work loss days", US_national_yearly!$D:$AM, 11, FALSE) / VLOOKUP("electricity|PM25|Work loss days", US_national_yearly!$D:$AM, 10, FALSE), 1)</f>
        <v>0.2521602669473258</v>
      </c>
      <c r="D15" s="7">
        <f>$B15 * IFERROR(VLOOKUP("electricity|PM25|Work loss days", US_national_yearly!$D:$AM, 12, FALSE) / VLOOKUP("electricity|PM25|Work loss days", US_national_yearly!$D:$AM, 10, FALSE), 1)</f>
        <v>0.25287977920138288</v>
      </c>
      <c r="E15" s="7">
        <f>$B15 * IFERROR(VLOOKUP("electricity|PM25|Work loss days", US_national_yearly!$D:$AM, 13, FALSE) / VLOOKUP("electricity|PM25|Work loss days", US_national_yearly!$D:$AM, 10, FALSE), 1)</f>
        <v>0.25359929145543997</v>
      </c>
      <c r="F15" s="7">
        <f>$B15 * IFERROR(VLOOKUP("electricity|PM25|Work loss days", US_national_yearly!$D:$AM, 14, FALSE) / VLOOKUP("electricity|PM25|Work loss days", US_national_yearly!$D:$AM, 10, FALSE), 1)</f>
        <v>0.25431880370949705</v>
      </c>
      <c r="G15" s="7">
        <f>$B15 * IFERROR(VLOOKUP("electricity|PM25|Work loss days", US_national_yearly!$D:$AM, 15, FALSE) / VLOOKUP("electricity|PM25|Work loss days", US_national_yearly!$D:$AM, 10, FALSE), 1)</f>
        <v>0.25525089489857722</v>
      </c>
      <c r="H15" s="7">
        <f>$B15 * IFERROR(VLOOKUP("electricity|PM25|Work loss days", US_national_yearly!$D:$AM, 16, FALSE) / VLOOKUP("electricity|PM25|Work loss days", US_national_yearly!$D:$AM, 10, FALSE), 1)</f>
        <v>0.25618298608765744</v>
      </c>
      <c r="I15" s="7">
        <f>$B15 * IFERROR(VLOOKUP("electricity|PM25|Work loss days", US_national_yearly!$D:$AM, 17, FALSE) / VLOOKUP("electricity|PM25|Work loss days", US_national_yearly!$D:$AM, 10, FALSE), 1)</f>
        <v>0.25758422602736558</v>
      </c>
      <c r="J15" s="7">
        <f>$B15 * IFERROR(VLOOKUP("electricity|PM25|Work loss days", US_national_yearly!$D:$AM, 18, FALSE) / VLOOKUP("electricity|PM25|Work loss days", US_national_yearly!$D:$AM, 10, FALSE), 1)</f>
        <v>0.25898546596707372</v>
      </c>
      <c r="K15" s="7">
        <f>$B15 * IFERROR(VLOOKUP("electricity|PM25|Work loss days", US_national_yearly!$D:$AM, 19, FALSE) / VLOOKUP("electricity|PM25|Work loss days", US_national_yearly!$D:$AM, 10, FALSE), 1)</f>
        <v>0.26038670590678187</v>
      </c>
      <c r="L15" s="7">
        <f>$B15 * IFERROR(VLOOKUP("electricity|PM25|Work loss days", US_national_yearly!$D:$AM, 20, FALSE) / VLOOKUP("electricity|PM25|Work loss days", US_national_yearly!$D:$AM, 10, FALSE), 1)</f>
        <v>0.26178794584649001</v>
      </c>
      <c r="M15" s="7">
        <f>$B15 * IFERROR(VLOOKUP("electricity|PM25|Work loss days", US_national_yearly!$D:$AM, 21, FALSE) / VLOOKUP("electricity|PM25|Work loss days", US_national_yearly!$D:$AM, 10, FALSE), 1)</f>
        <v>0.26318918578619815</v>
      </c>
      <c r="N15" s="7">
        <f>$B15 * IFERROR(VLOOKUP("electricity|PM25|Work loss days", US_national_yearly!$D:$AM, 22, FALSE) / VLOOKUP("electricity|PM25|Work loss days", US_national_yearly!$D:$AM, 10, FALSE), 1)</f>
        <v>0.26499828382590712</v>
      </c>
      <c r="O15" s="7">
        <f>$B15 * IFERROR(VLOOKUP("electricity|PM25|Work loss days", US_national_yearly!$D:$AM, 23, FALSE) / VLOOKUP("electricity|PM25|Work loss days", US_national_yearly!$D:$AM, 10, FALSE), 1)</f>
        <v>0.26680738186561614</v>
      </c>
      <c r="P15" s="7">
        <f>$B15 * IFERROR(VLOOKUP("electricity|PM25|Work loss days", US_national_yearly!$D:$AM, 24, FALSE) / VLOOKUP("electricity|PM25|Work loss days", US_national_yearly!$D:$AM, 10, FALSE), 1)</f>
        <v>0.26861647990532506</v>
      </c>
      <c r="Q15" s="7">
        <f>$B15 * IFERROR(VLOOKUP("electricity|PM25|Work loss days", US_national_yearly!$D:$AM, 25, FALSE) / VLOOKUP("electricity|PM25|Work loss days", US_national_yearly!$D:$AM, 10, FALSE), 1)</f>
        <v>0.27042557794503397</v>
      </c>
      <c r="R15" s="7">
        <f>$B15 * IFERROR(VLOOKUP("electricity|PM25|Work loss days", US_national_yearly!$D:$AM, 26, FALSE) / VLOOKUP("electricity|PM25|Work loss days", US_national_yearly!$D:$AM, 10, FALSE), 1)</f>
        <v>0.27223467598474294</v>
      </c>
      <c r="S15" s="7">
        <f>$B15 * IFERROR(VLOOKUP("electricity|PM25|Work loss days", US_national_yearly!$D:$AM, 27, FALSE) / VLOOKUP("electricity|PM25|Work loss days", US_national_yearly!$D:$AM, 10, FALSE), 1)</f>
        <v>0.27424213598908587</v>
      </c>
      <c r="T15" s="7">
        <f>$B15 * IFERROR(VLOOKUP("electricity|PM25|Work loss days", US_national_yearly!$D:$AM, 28, FALSE) / VLOOKUP("electricity|PM25|Work loss days", US_national_yearly!$D:$AM, 10, FALSE), 1)</f>
        <v>0.2762495959934288</v>
      </c>
      <c r="U15" s="7">
        <f>$B15 * IFERROR(VLOOKUP("electricity|PM25|Work loss days", US_national_yearly!$D:$AM, 29, FALSE) / VLOOKUP("electricity|PM25|Work loss days", US_national_yearly!$D:$AM, 10, FALSE), 1)</f>
        <v>0.27825705599777173</v>
      </c>
      <c r="V15" s="7">
        <f>$B15 * IFERROR(VLOOKUP("electricity|PM25|Work loss days", US_national_yearly!$D:$AM, 30, FALSE) / VLOOKUP("electricity|PM25|Work loss days", US_national_yearly!$D:$AM, 10, FALSE), 1)</f>
        <v>0.28026451600211472</v>
      </c>
      <c r="W15" s="7">
        <f>$B15 * IFERROR(VLOOKUP("electricity|PM25|Work loss days", US_national_yearly!$D:$AM, 31, FALSE) / VLOOKUP("electricity|PM25|Work loss days", US_national_yearly!$D:$AM, 10, FALSE), 1)</f>
        <v>0.28227197600645759</v>
      </c>
      <c r="X15" s="7">
        <f>$B15 * IFERROR(VLOOKUP("electricity|PM25|Work loss days", US_national_yearly!$D:$AM, 32, FALSE) / VLOOKUP("electricity|PM25|Work loss days", US_national_yearly!$D:$AM, 10, FALSE), 1)</f>
        <v>0.28404288512532411</v>
      </c>
      <c r="Y15" s="7">
        <f>$B15 * IFERROR(VLOOKUP("electricity|PM25|Work loss days", US_national_yearly!$D:$AM, 33, FALSE) / VLOOKUP("electricity|PM25|Work loss days", US_national_yearly!$D:$AM, 10, FALSE), 1)</f>
        <v>0.28581379424419046</v>
      </c>
      <c r="Z15" s="7">
        <f>$B15 * IFERROR(VLOOKUP("electricity|PM25|Work loss days", US_national_yearly!$D:$AM, 34, FALSE) / VLOOKUP("electricity|PM25|Work loss days", US_national_yearly!$D:$AM, 10, FALSE), 1)</f>
        <v>0.28758470336305691</v>
      </c>
      <c r="AA15" s="7">
        <f>$B15 * IFERROR(VLOOKUP("electricity|PM25|Work loss days", US_national_yearly!$D:$AM, 35, FALSE) / VLOOKUP("electricity|PM25|Work loss days", US_national_yearly!$D:$AM, 10, FALSE), 1)</f>
        <v>0.28935561248192337</v>
      </c>
      <c r="AB15" s="7">
        <f>$B15 * IFERROR(VLOOKUP("electricity|PM25|Work loss days", US_national_yearly!$D:$AM, 36, FALSE) / VLOOKUP("electricity|PM25|Work loss days", US_national_yearly!$D:$AM, 10, FALSE), 1)</f>
        <v>0.29112652160078983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5.6122677092422751E-4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5.778811243729035E-4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5.945354778215796E-4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6.1118983127025558E-4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6.2784418471893168E-4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6.439072827827461E-4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6.5997038084656052E-4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6.7388551301911172E-4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6.8780064519166303E-4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7.0171577736421412E-4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7.1563090953676532E-4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7.2954604170931653E-4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7.3890011250018258E-4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7.4825418329104853E-4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7.5760825408191447E-4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7.6696232487278053E-4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7.7631639566364647E-4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7.8147891981910093E-4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7.8664144397455507E-4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7.9180396813000953E-4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7.9696649228546388E-4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8.0212901644091813E-4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8.0573067287039357E-4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8.093323292998689E-4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8.1293398572934434E-4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8.1653564215881989E-4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8.2013729858829523E-4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6.6494589426748928E-4</v>
      </c>
      <c r="C2" s="7">
        <f>$B2 * IFERROR(VLOOKUP("electricity|NOx|Premature mortality", US_national_yearly!$D:$AM, 11, FALSE) / VLOOKUP("electricity|NOx|Premature mortality", US_national_yearly!$D:$AM, 10, FALSE), 1)</f>
        <v>6.7500694702895777E-4</v>
      </c>
      <c r="D2" s="7">
        <f>$B2 * IFERROR(VLOOKUP("electricity|NOx|Premature mortality", US_national_yearly!$D:$AM, 12, FALSE) / VLOOKUP("electricity|NOx|Premature mortality", US_national_yearly!$D:$AM, 10, FALSE), 1)</f>
        <v>6.8506799979042648E-4</v>
      </c>
      <c r="E2" s="7">
        <f>$B2 * IFERROR(VLOOKUP("electricity|NOx|Premature mortality", US_national_yearly!$D:$AM, 13, FALSE) / VLOOKUP("electricity|NOx|Premature mortality", US_national_yearly!$D:$AM, 10, FALSE), 1)</f>
        <v>6.9512905255189497E-4</v>
      </c>
      <c r="F2" s="7">
        <f>$B2 * IFERROR(VLOOKUP("electricity|NOx|Premature mortality", US_national_yearly!$D:$AM, 14, FALSE) / VLOOKUP("electricity|NOx|Premature mortality", US_national_yearly!$D:$AM, 10, FALSE), 1)</f>
        <v>7.0519010531336346E-4</v>
      </c>
      <c r="G2" s="7">
        <f>$B2 * IFERROR(VLOOKUP("electricity|NOx|Premature mortality", US_national_yearly!$D:$AM, 15, FALSE) / VLOOKUP("electricity|NOx|Premature mortality", US_national_yearly!$D:$AM, 10, FALSE), 1)</f>
        <v>7.2316285094491876E-4</v>
      </c>
      <c r="H2" s="7">
        <f>$B2 * IFERROR(VLOOKUP("electricity|NOx|Premature mortality", US_national_yearly!$D:$AM, 16, FALSE) / VLOOKUP("electricity|NOx|Premature mortality", US_national_yearly!$D:$AM, 10, FALSE), 1)</f>
        <v>7.4113559657647385E-4</v>
      </c>
      <c r="I2" s="7">
        <f>$B2 * IFERROR(VLOOKUP("electricity|NOx|Premature mortality", US_national_yearly!$D:$AM, 17, FALSE) / VLOOKUP("electricity|NOx|Premature mortality", US_national_yearly!$D:$AM, 10, FALSE), 1)</f>
        <v>7.5307922427561797E-4</v>
      </c>
      <c r="J2" s="7">
        <f>$B2 * IFERROR(VLOOKUP("electricity|NOx|Premature mortality", US_national_yearly!$D:$AM, 18, FALSE) / VLOOKUP("electricity|NOx|Premature mortality", US_national_yearly!$D:$AM, 10, FALSE), 1)</f>
        <v>7.6502285197476241E-4</v>
      </c>
      <c r="K2" s="7">
        <f>$B2 * IFERROR(VLOOKUP("electricity|NOx|Premature mortality", US_national_yearly!$D:$AM, 19, FALSE) / VLOOKUP("electricity|NOx|Premature mortality", US_national_yearly!$D:$AM, 10, FALSE), 1)</f>
        <v>7.7696647967390653E-4</v>
      </c>
      <c r="L2" s="7">
        <f>$B2 * IFERROR(VLOOKUP("electricity|NOx|Premature mortality", US_national_yearly!$D:$AM, 20, FALSE) / VLOOKUP("electricity|NOx|Premature mortality", US_national_yearly!$D:$AM, 10, FALSE), 1)</f>
        <v>7.8891010737305075E-4</v>
      </c>
      <c r="M2" s="7">
        <f>$B2 * IFERROR(VLOOKUP("electricity|NOx|Premature mortality", US_national_yearly!$D:$AM, 21, FALSE) / VLOOKUP("electricity|NOx|Premature mortality", US_national_yearly!$D:$AM, 10, FALSE), 1)</f>
        <v>8.0085373507219498E-4</v>
      </c>
      <c r="N2" s="7">
        <f>$B2 * IFERROR(VLOOKUP("electricity|NOx|Premature mortality", US_national_yearly!$D:$AM, 22, FALSE) / VLOOKUP("electricity|NOx|Premature mortality", US_national_yearly!$D:$AM, 10, FALSE), 1)</f>
        <v>8.100696245838026E-4</v>
      </c>
      <c r="O2" s="7">
        <f>$B2 * IFERROR(VLOOKUP("electricity|NOx|Premature mortality", US_national_yearly!$D:$AM, 23, FALSE) / VLOOKUP("electricity|NOx|Premature mortality", US_national_yearly!$D:$AM, 10, FALSE), 1)</f>
        <v>8.1928551409541066E-4</v>
      </c>
      <c r="P2" s="7">
        <f>$B2 * IFERROR(VLOOKUP("electricity|NOx|Premature mortality", US_national_yearly!$D:$AM, 24, FALSE) / VLOOKUP("electricity|NOx|Premature mortality", US_national_yearly!$D:$AM, 10, FALSE), 1)</f>
        <v>8.285014036070184E-4</v>
      </c>
      <c r="Q2" s="7">
        <f>$B2 * IFERROR(VLOOKUP("electricity|NOx|Premature mortality", US_national_yearly!$D:$AM, 25, FALSE) / VLOOKUP("electricity|NOx|Premature mortality", US_national_yearly!$D:$AM, 10, FALSE), 1)</f>
        <v>8.3771729311862624E-4</v>
      </c>
      <c r="R2" s="7">
        <f>$B2 * IFERROR(VLOOKUP("electricity|NOx|Premature mortality", US_national_yearly!$D:$AM, 26, FALSE) / VLOOKUP("electricity|NOx|Premature mortality", US_national_yearly!$D:$AM, 10, FALSE), 1)</f>
        <v>8.4693318263023387E-4</v>
      </c>
      <c r="S2" s="7">
        <f>$B2 * IFERROR(VLOOKUP("electricity|NOx|Premature mortality", US_national_yearly!$D:$AM, 27, FALSE) / VLOOKUP("electricity|NOx|Premature mortality", US_national_yearly!$D:$AM, 10, FALSE), 1)</f>
        <v>8.5169541861667591E-4</v>
      </c>
      <c r="T2" s="7">
        <f>$B2 * IFERROR(VLOOKUP("electricity|NOx|Premature mortality", US_national_yearly!$D:$AM, 28, FALSE) / VLOOKUP("electricity|NOx|Premature mortality", US_national_yearly!$D:$AM, 10, FALSE), 1)</f>
        <v>8.5645765460311794E-4</v>
      </c>
      <c r="U2" s="7">
        <f>$B2 * IFERROR(VLOOKUP("electricity|NOx|Premature mortality", US_national_yearly!$D:$AM, 29, FALSE) / VLOOKUP("electricity|NOx|Premature mortality", US_national_yearly!$D:$AM, 10, FALSE), 1)</f>
        <v>8.6121989058956031E-4</v>
      </c>
      <c r="V2" s="7">
        <f>$B2 * IFERROR(VLOOKUP("electricity|NOx|Premature mortality", US_national_yearly!$D:$AM, 30, FALSE) / VLOOKUP("electricity|NOx|Premature mortality", US_national_yearly!$D:$AM, 10, FALSE), 1)</f>
        <v>8.6598212657600223E-4</v>
      </c>
      <c r="W2" s="7">
        <f>$B2 * IFERROR(VLOOKUP("electricity|NOx|Premature mortality", US_national_yearly!$D:$AM, 31, FALSE) / VLOOKUP("electricity|NOx|Premature mortality", US_national_yearly!$D:$AM, 10, FALSE), 1)</f>
        <v>8.7074436256244427E-4</v>
      </c>
      <c r="X2" s="7">
        <f>$B2 * IFERROR(VLOOKUP("electricity|NOx|Premature mortality", US_national_yearly!$D:$AM, 32, FALSE) / VLOOKUP("electricity|NOx|Premature mortality", US_national_yearly!$D:$AM, 10, FALSE), 1)</f>
        <v>8.7182172828742825E-4</v>
      </c>
      <c r="Y2" s="7">
        <f>$B2 * IFERROR(VLOOKUP("electricity|NOx|Premature mortality", US_national_yearly!$D:$AM, 33, FALSE) / VLOOKUP("electricity|NOx|Premature mortality", US_national_yearly!$D:$AM, 10, FALSE), 1)</f>
        <v>8.7289909401241234E-4</v>
      </c>
      <c r="Z2" s="7">
        <f>$B2 * IFERROR(VLOOKUP("electricity|NOx|Premature mortality", US_national_yearly!$D:$AM, 34, FALSE) / VLOOKUP("electricity|NOx|Premature mortality", US_national_yearly!$D:$AM, 10, FALSE), 1)</f>
        <v>8.7397645973739631E-4</v>
      </c>
      <c r="AA2" s="7">
        <f>$B2 * IFERROR(VLOOKUP("electricity|NOx|Premature mortality", US_national_yearly!$D:$AM, 35, FALSE) / VLOOKUP("electricity|NOx|Premature mortality", US_national_yearly!$D:$AM, 10, FALSE), 1)</f>
        <v>8.7505382546238018E-4</v>
      </c>
      <c r="AB2" s="7">
        <f>$B2 * IFERROR(VLOOKUP("electricity|NOx|Premature mortality", US_national_yearly!$D:$AM, 36, FALSE) / VLOOKUP("electricity|NOx|Premature mortality", US_national_yearly!$D:$AM, 10, FALSE), 1)</f>
        <v>8.7613119118736416E-4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1.7648226024511552E-6</v>
      </c>
      <c r="C3" s="7">
        <f>$B3 * IFERROR(VLOOKUP("electricity|NOx|Infant mortality", US_national_yearly!$D:$AM, 11, FALSE) / VLOOKUP("electricity|NOx|Infant mortality", US_national_yearly!$D:$AM, 10, FALSE), 1)</f>
        <v>1.7483116786711758E-6</v>
      </c>
      <c r="D3" s="7">
        <f>$B3 * IFERROR(VLOOKUP("electricity|NOx|Infant mortality", US_national_yearly!$D:$AM, 12, FALSE) / VLOOKUP("electricity|NOx|Infant mortality", US_national_yearly!$D:$AM, 10, FALSE), 1)</f>
        <v>1.731800754891196E-6</v>
      </c>
      <c r="E3" s="7">
        <f>$B3 * IFERROR(VLOOKUP("electricity|NOx|Infant mortality", US_national_yearly!$D:$AM, 13, FALSE) / VLOOKUP("electricity|NOx|Infant mortality", US_national_yearly!$D:$AM, 10, FALSE), 1)</f>
        <v>1.7152898311112169E-6</v>
      </c>
      <c r="F3" s="7">
        <f>$B3 * IFERROR(VLOOKUP("electricity|NOx|Infant mortality", US_national_yearly!$D:$AM, 14, FALSE) / VLOOKUP("electricity|NOx|Infant mortality", US_national_yearly!$D:$AM, 10, FALSE), 1)</f>
        <v>1.6987789073312371E-6</v>
      </c>
      <c r="G3" s="7">
        <f>$B3 * IFERROR(VLOOKUP("electricity|NOx|Infant mortality", US_national_yearly!$D:$AM, 15, FALSE) / VLOOKUP("electricity|NOx|Infant mortality", US_national_yearly!$D:$AM, 10, FALSE), 1)</f>
        <v>1.1255251897544722E-6</v>
      </c>
      <c r="H3" s="7">
        <f>$B3 * IFERROR(VLOOKUP("electricity|NOx|Infant mortality", US_national_yearly!$D:$AM, 16, FALSE) / VLOOKUP("electricity|NOx|Infant mortality", US_national_yearly!$D:$AM, 10, FALSE), 1)</f>
        <v>5.5227147217770757E-7</v>
      </c>
      <c r="I3" s="7">
        <f>$B3 * IFERROR(VLOOKUP("electricity|NOx|Infant mortality", US_national_yearly!$D:$AM, 17, FALSE) / VLOOKUP("electricity|NOx|Infant mortality", US_national_yearly!$D:$AM, 10, FALSE), 1)</f>
        <v>5.4825505223876272E-7</v>
      </c>
      <c r="J3" s="7">
        <f>$B3 * IFERROR(VLOOKUP("electricity|NOx|Infant mortality", US_national_yearly!$D:$AM, 18, FALSE) / VLOOKUP("electricity|NOx|Infant mortality", US_national_yearly!$D:$AM, 10, FALSE), 1)</f>
        <v>5.4423863229981776E-7</v>
      </c>
      <c r="K3" s="7">
        <f>$B3 * IFERROR(VLOOKUP("electricity|NOx|Infant mortality", US_national_yearly!$D:$AM, 19, FALSE) / VLOOKUP("electricity|NOx|Infant mortality", US_national_yearly!$D:$AM, 10, FALSE), 1)</f>
        <v>5.4022221236087291E-7</v>
      </c>
      <c r="L3" s="7">
        <f>$B3 * IFERROR(VLOOKUP("electricity|NOx|Infant mortality", US_national_yearly!$D:$AM, 20, FALSE) / VLOOKUP("electricity|NOx|Infant mortality", US_national_yearly!$D:$AM, 10, FALSE), 1)</f>
        <v>5.3620579242192807E-7</v>
      </c>
      <c r="M3" s="7">
        <f>$B3 * IFERROR(VLOOKUP("electricity|NOx|Infant mortality", US_national_yearly!$D:$AM, 21, FALSE) / VLOOKUP("electricity|NOx|Infant mortality", US_national_yearly!$D:$AM, 10, FALSE), 1)</f>
        <v>5.3218937248298311E-7</v>
      </c>
      <c r="N3" s="7">
        <f>$B3 * IFERROR(VLOOKUP("electricity|NOx|Infant mortality", US_national_yearly!$D:$AM, 22, FALSE) / VLOOKUP("electricity|NOx|Infant mortality", US_national_yearly!$D:$AM, 10, FALSE), 1)</f>
        <v>5.2949231764239217E-7</v>
      </c>
      <c r="O3" s="7">
        <f>$B3 * IFERROR(VLOOKUP("electricity|NOx|Infant mortality", US_national_yearly!$D:$AM, 23, FALSE) / VLOOKUP("electricity|NOx|Infant mortality", US_national_yearly!$D:$AM, 10, FALSE), 1)</f>
        <v>5.2679526280180123E-7</v>
      </c>
      <c r="P3" s="7">
        <f>$B3 * IFERROR(VLOOKUP("electricity|NOx|Infant mortality", US_national_yearly!$D:$AM, 24, FALSE) / VLOOKUP("electricity|NOx|Infant mortality", US_national_yearly!$D:$AM, 10, FALSE), 1)</f>
        <v>5.2409820796121028E-7</v>
      </c>
      <c r="Q3" s="7">
        <f>$B3 * IFERROR(VLOOKUP("electricity|NOx|Infant mortality", US_national_yearly!$D:$AM, 25, FALSE) / VLOOKUP("electricity|NOx|Infant mortality", US_national_yearly!$D:$AM, 10, FALSE), 1)</f>
        <v>5.2140115312061924E-7</v>
      </c>
      <c r="R3" s="7">
        <f>$B3 * IFERROR(VLOOKUP("electricity|NOx|Infant mortality", US_national_yearly!$D:$AM, 26, FALSE) / VLOOKUP("electricity|NOx|Infant mortality", US_national_yearly!$D:$AM, 10, FALSE), 1)</f>
        <v>5.187040982800284E-7</v>
      </c>
      <c r="S3" s="7">
        <f>$B3 * IFERROR(VLOOKUP("electricity|NOx|Infant mortality", US_national_yearly!$D:$AM, 27, FALSE) / VLOOKUP("electricity|NOx|Infant mortality", US_national_yearly!$D:$AM, 10, FALSE), 1)</f>
        <v>5.1550222450705563E-7</v>
      </c>
      <c r="T3" s="7">
        <f>$B3 * IFERROR(VLOOKUP("electricity|NOx|Infant mortality", US_national_yearly!$D:$AM, 28, FALSE) / VLOOKUP("electricity|NOx|Infant mortality", US_national_yearly!$D:$AM, 10, FALSE), 1)</f>
        <v>5.1230035073408285E-7</v>
      </c>
      <c r="U3" s="7">
        <f>$B3 * IFERROR(VLOOKUP("electricity|NOx|Infant mortality", US_national_yearly!$D:$AM, 29, FALSE) / VLOOKUP("electricity|NOx|Infant mortality", US_national_yearly!$D:$AM, 10, FALSE), 1)</f>
        <v>5.0909847696111018E-7</v>
      </c>
      <c r="V3" s="7">
        <f>$B3 * IFERROR(VLOOKUP("electricity|NOx|Infant mortality", US_national_yearly!$D:$AM, 30, FALSE) / VLOOKUP("electricity|NOx|Infant mortality", US_national_yearly!$D:$AM, 10, FALSE), 1)</f>
        <v>5.0589660318813751E-7</v>
      </c>
      <c r="W3" s="7">
        <f>$B3 * IFERROR(VLOOKUP("electricity|NOx|Infant mortality", US_national_yearly!$D:$AM, 31, FALSE) / VLOOKUP("electricity|NOx|Infant mortality", US_national_yearly!$D:$AM, 10, FALSE), 1)</f>
        <v>5.0269472941516474E-7</v>
      </c>
      <c r="X3" s="7">
        <f>$B3 * IFERROR(VLOOKUP("electricity|NOx|Infant mortality", US_national_yearly!$D:$AM, 32, FALSE) / VLOOKUP("electricity|NOx|Infant mortality", US_national_yearly!$D:$AM, 10, FALSE), 1)</f>
        <v>4.9939784204837187E-7</v>
      </c>
      <c r="Y3" s="7">
        <f>$B3 * IFERROR(VLOOKUP("electricity|NOx|Infant mortality", US_national_yearly!$D:$AM, 33, FALSE) / VLOOKUP("electricity|NOx|Infant mortality", US_national_yearly!$D:$AM, 10, FALSE), 1)</f>
        <v>4.9610095468157911E-7</v>
      </c>
      <c r="Z3" s="7">
        <f>$B3 * IFERROR(VLOOKUP("electricity|NOx|Infant mortality", US_national_yearly!$D:$AM, 34, FALSE) / VLOOKUP("electricity|NOx|Infant mortality", US_national_yearly!$D:$AM, 10, FALSE), 1)</f>
        <v>4.9280406731478624E-7</v>
      </c>
      <c r="AA3" s="7">
        <f>$B3 * IFERROR(VLOOKUP("electricity|NOx|Infant mortality", US_national_yearly!$D:$AM, 35, FALSE) / VLOOKUP("electricity|NOx|Infant mortality", US_national_yearly!$D:$AM, 10, FALSE), 1)</f>
        <v>4.8950717994799348E-7</v>
      </c>
      <c r="AB3" s="7">
        <f>$B3 * IFERROR(VLOOKUP("electricity|NOx|Infant mortality", US_national_yearly!$D:$AM, 36, FALSE) / VLOOKUP("electricity|NOx|Infant mortality", US_national_yearly!$D:$AM, 10, FALSE), 1)</f>
        <v>4.8621029258120061E-7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1.6335718080504073E-3</v>
      </c>
      <c r="C6" s="7">
        <f>$B6 * IFERROR(VLOOKUP("electricity|NOx|Asthma symptoms cough", US_national_yearly!$D:$AM, 11, FALSE) / VLOOKUP("electricity|NOx|Asthma symptoms cough", US_national_yearly!$D:$AM, 10, FALSE), 1)</f>
        <v>1.6559986758841923E-3</v>
      </c>
      <c r="D6" s="7">
        <f>$B6 * IFERROR(VLOOKUP("electricity|NOx|Asthma symptoms cough", US_national_yearly!$D:$AM, 12, FALSE) / VLOOKUP("electricity|NOx|Asthma symptoms cough", US_national_yearly!$D:$AM, 10, FALSE), 1)</f>
        <v>1.6784255437179776E-3</v>
      </c>
      <c r="E6" s="7">
        <f>$B6 * IFERROR(VLOOKUP("electricity|NOx|Asthma symptoms cough", US_national_yearly!$D:$AM, 13, FALSE) / VLOOKUP("electricity|NOx|Asthma symptoms cough", US_national_yearly!$D:$AM, 10, FALSE), 1)</f>
        <v>1.7008524115517626E-3</v>
      </c>
      <c r="F6" s="7">
        <f>$B6 * IFERROR(VLOOKUP("electricity|NOx|Asthma symptoms cough", US_national_yearly!$D:$AM, 14, FALSE) / VLOOKUP("electricity|NOx|Asthma symptoms cough", US_national_yearly!$D:$AM, 10, FALSE), 1)</f>
        <v>1.7232792793855476E-3</v>
      </c>
      <c r="G6" s="7">
        <f>$B6 * IFERROR(VLOOKUP("electricity|NOx|Asthma symptoms cough", US_national_yearly!$D:$AM, 15, FALSE) / VLOOKUP("electricity|NOx|Asthma symptoms cough", US_national_yearly!$D:$AM, 10, FALSE), 1)</f>
        <v>1.7415135120571962E-3</v>
      </c>
      <c r="H6" s="7">
        <f>$B6 * IFERROR(VLOOKUP("electricity|NOx|Asthma symptoms cough", US_national_yearly!$D:$AM, 16, FALSE) / VLOOKUP("electricity|NOx|Asthma symptoms cough", US_national_yearly!$D:$AM, 10, FALSE), 1)</f>
        <v>1.7597477447288447E-3</v>
      </c>
      <c r="I6" s="7">
        <f>$B6 * IFERROR(VLOOKUP("electricity|NOx|Asthma symptoms cough", US_national_yearly!$D:$AM, 17, FALSE) / VLOOKUP("electricity|NOx|Asthma symptoms cough", US_national_yearly!$D:$AM, 10, FALSE), 1)</f>
        <v>1.7665261026885441E-3</v>
      </c>
      <c r="J6" s="7">
        <f>$B6 * IFERROR(VLOOKUP("electricity|NOx|Asthma symptoms cough", US_national_yearly!$D:$AM, 18, FALSE) / VLOOKUP("electricity|NOx|Asthma symptoms cough", US_national_yearly!$D:$AM, 10, FALSE), 1)</f>
        <v>1.7733044606482434E-3</v>
      </c>
      <c r="K6" s="7">
        <f>$B6 * IFERROR(VLOOKUP("electricity|NOx|Asthma symptoms cough", US_national_yearly!$D:$AM, 19, FALSE) / VLOOKUP("electricity|NOx|Asthma symptoms cough", US_national_yearly!$D:$AM, 10, FALSE), 1)</f>
        <v>1.7800828186079433E-3</v>
      </c>
      <c r="L6" s="7">
        <f>$B6 * IFERROR(VLOOKUP("electricity|NOx|Asthma symptoms cough", US_national_yearly!$D:$AM, 20, FALSE) / VLOOKUP("electricity|NOx|Asthma symptoms cough", US_national_yearly!$D:$AM, 10, FALSE), 1)</f>
        <v>1.7868611765676425E-3</v>
      </c>
      <c r="M6" s="7">
        <f>$B6 * IFERROR(VLOOKUP("electricity|NOx|Asthma symptoms cough", US_national_yearly!$D:$AM, 21, FALSE) / VLOOKUP("electricity|NOx|Asthma symptoms cough", US_national_yearly!$D:$AM, 10, FALSE), 1)</f>
        <v>1.7936395345273422E-3</v>
      </c>
      <c r="N6" s="7">
        <f>$B6 * IFERROR(VLOOKUP("electricity|NOx|Asthma symptoms cough", US_national_yearly!$D:$AM, 22, FALSE) / VLOOKUP("electricity|NOx|Asthma symptoms cough", US_national_yearly!$D:$AM, 10, FALSE), 1)</f>
        <v>1.8011498986861766E-3</v>
      </c>
      <c r="O6" s="7">
        <f>$B6 * IFERROR(VLOOKUP("electricity|NOx|Asthma symptoms cough", US_national_yearly!$D:$AM, 23, FALSE) / VLOOKUP("electricity|NOx|Asthma symptoms cough", US_national_yearly!$D:$AM, 10, FALSE), 1)</f>
        <v>1.8086602628450113E-3</v>
      </c>
      <c r="P6" s="7">
        <f>$B6 * IFERROR(VLOOKUP("electricity|NOx|Asthma symptoms cough", US_national_yearly!$D:$AM, 24, FALSE) / VLOOKUP("electricity|NOx|Asthma symptoms cough", US_national_yearly!$D:$AM, 10, FALSE), 1)</f>
        <v>1.8161706270038455E-3</v>
      </c>
      <c r="Q6" s="7">
        <f>$B6 * IFERROR(VLOOKUP("electricity|NOx|Asthma symptoms cough", US_national_yearly!$D:$AM, 25, FALSE) / VLOOKUP("electricity|NOx|Asthma symptoms cough", US_national_yearly!$D:$AM, 10, FALSE), 1)</f>
        <v>1.8236809911626802E-3</v>
      </c>
      <c r="R6" s="7">
        <f>$B6 * IFERROR(VLOOKUP("electricity|NOx|Asthma symptoms cough", US_national_yearly!$D:$AM, 26, FALSE) / VLOOKUP("electricity|NOx|Asthma symptoms cough", US_national_yearly!$D:$AM, 10, FALSE), 1)</f>
        <v>1.8311913553215146E-3</v>
      </c>
      <c r="S6" s="7">
        <f>$B6 * IFERROR(VLOOKUP("electricity|NOx|Asthma symptoms cough", US_national_yearly!$D:$AM, 27, FALSE) / VLOOKUP("electricity|NOx|Asthma symptoms cough", US_national_yearly!$D:$AM, 10, FALSE), 1)</f>
        <v>1.8405612262233212E-3</v>
      </c>
      <c r="T6" s="7">
        <f>$B6 * IFERROR(VLOOKUP("electricity|NOx|Asthma symptoms cough", US_national_yearly!$D:$AM, 28, FALSE) / VLOOKUP("electricity|NOx|Asthma symptoms cough", US_national_yearly!$D:$AM, 10, FALSE), 1)</f>
        <v>1.8499310971251274E-3</v>
      </c>
      <c r="U6" s="7">
        <f>$B6 * IFERROR(VLOOKUP("electricity|NOx|Asthma symptoms cough", US_national_yearly!$D:$AM, 29, FALSE) / VLOOKUP("electricity|NOx|Asthma symptoms cough", US_national_yearly!$D:$AM, 10, FALSE), 1)</f>
        <v>1.8593009680269341E-3</v>
      </c>
      <c r="V6" s="7">
        <f>$B6 * IFERROR(VLOOKUP("electricity|NOx|Asthma symptoms cough", US_national_yearly!$D:$AM, 30, FALSE) / VLOOKUP("electricity|NOx|Asthma symptoms cough", US_national_yearly!$D:$AM, 10, FALSE), 1)</f>
        <v>1.8686708389287403E-3</v>
      </c>
      <c r="W6" s="7">
        <f>$B6 * IFERROR(VLOOKUP("electricity|NOx|Asthma symptoms cough", US_national_yearly!$D:$AM, 31, FALSE) / VLOOKUP("electricity|NOx|Asthma symptoms cough", US_national_yearly!$D:$AM, 10, FALSE), 1)</f>
        <v>1.8780407098305469E-3</v>
      </c>
      <c r="X6" s="7">
        <f>$B6 * IFERROR(VLOOKUP("electricity|NOx|Asthma symptoms cough", US_national_yearly!$D:$AM, 32, FALSE) / VLOOKUP("electricity|NOx|Asthma symptoms cough", US_national_yearly!$D:$AM, 10, FALSE), 1)</f>
        <v>1.8866732344379063E-3</v>
      </c>
      <c r="Y6" s="7">
        <f>$B6 * IFERROR(VLOOKUP("electricity|NOx|Asthma symptoms cough", US_national_yearly!$D:$AM, 33, FALSE) / VLOOKUP("electricity|NOx|Asthma symptoms cough", US_national_yearly!$D:$AM, 10, FALSE), 1)</f>
        <v>1.8953057590452662E-3</v>
      </c>
      <c r="Z6" s="7">
        <f>$B6 * IFERROR(VLOOKUP("electricity|NOx|Asthma symptoms cough", US_national_yearly!$D:$AM, 34, FALSE) / VLOOKUP("electricity|NOx|Asthma symptoms cough", US_national_yearly!$D:$AM, 10, FALSE), 1)</f>
        <v>1.9039382836526261E-3</v>
      </c>
      <c r="AA6" s="7">
        <f>$B6 * IFERROR(VLOOKUP("electricity|NOx|Asthma symptoms cough", US_national_yearly!$D:$AM, 35, FALSE) / VLOOKUP("electricity|NOx|Asthma symptoms cough", US_national_yearly!$D:$AM, 10, FALSE), 1)</f>
        <v>1.9125708082599856E-3</v>
      </c>
      <c r="AB6" s="7">
        <f>$B6 * IFERROR(VLOOKUP("electricity|NOx|Asthma symptoms cough", US_national_yearly!$D:$AM, 36, FALSE) / VLOOKUP("electricity|NOx|Asthma symptoms cough", US_national_yearly!$D:$AM, 10, FALSE), 1)</f>
        <v>1.9212033328673455E-3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2.1998131417531822E-3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2.2300137844515717E-3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2.2602144271499621E-3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2.2904150698483516E-3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2.3206157125467415E-3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2.3451704363350026E-3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2.3697251601232628E-3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2.378853085019918E-3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2.3879810099165719E-3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2.3971089348132266E-3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2.4062368597098805E-3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2.4153647846065353E-3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2.4254784493796281E-3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2.4355921141527214E-3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2.4457057789258143E-3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2.4558194436989076E-3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2.4659331084720005E-3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2.4785508366549909E-3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2.49116856483798E-3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2.5037862930209699E-3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2.5164040212039595E-3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2.5290217493869494E-3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2.5406465465804755E-3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2.5522713437740019E-3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2.563896140967528E-3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2.5755209381610536E-3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2.5871457353545801E-3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3.3610427085384725E-3</v>
      </c>
      <c r="C8" s="7">
        <f>$B8 * IFERROR(VLOOKUP("electricity|NOx|Asthma symptoms wheeze", US_national_yearly!$D:$AM, 11, FALSE) / VLOOKUP("electricity|NOx|Asthma symptoms wheeze", US_national_yearly!$D:$AM, 10, FALSE), 1)</f>
        <v>3.4071855595702218E-3</v>
      </c>
      <c r="D8" s="7">
        <f>$B8 * IFERROR(VLOOKUP("electricity|NOx|Asthma symptoms wheeze", US_national_yearly!$D:$AM, 12, FALSE) / VLOOKUP("electricity|NOx|Asthma symptoms wheeze", US_national_yearly!$D:$AM, 10, FALSE), 1)</f>
        <v>3.4533284106019716E-3</v>
      </c>
      <c r="E8" s="7">
        <f>$B8 * IFERROR(VLOOKUP("electricity|NOx|Asthma symptoms wheeze", US_national_yearly!$D:$AM, 13, FALSE) / VLOOKUP("electricity|NOx|Asthma symptoms wheeze", US_national_yearly!$D:$AM, 10, FALSE), 1)</f>
        <v>3.4994712616337209E-3</v>
      </c>
      <c r="F8" s="7">
        <f>$B8 * IFERROR(VLOOKUP("electricity|NOx|Asthma symptoms wheeze", US_national_yearly!$D:$AM, 14, FALSE) / VLOOKUP("electricity|NOx|Asthma symptoms wheeze", US_national_yearly!$D:$AM, 10, FALSE), 1)</f>
        <v>3.545614112665471E-3</v>
      </c>
      <c r="G8" s="7">
        <f>$B8 * IFERROR(VLOOKUP("electricity|NOx|Asthma symptoms wheeze", US_national_yearly!$D:$AM, 15, FALSE) / VLOOKUP("electricity|NOx|Asthma symptoms wheeze", US_national_yearly!$D:$AM, 10, FALSE), 1)</f>
        <v>3.5831306971433018E-3</v>
      </c>
      <c r="H8" s="7">
        <f>$B8 * IFERROR(VLOOKUP("electricity|NOx|Asthma symptoms wheeze", US_national_yearly!$D:$AM, 16, FALSE) / VLOOKUP("electricity|NOx|Asthma symptoms wheeze", US_national_yearly!$D:$AM, 10, FALSE), 1)</f>
        <v>3.6206472816211329E-3</v>
      </c>
      <c r="I8" s="7">
        <f>$B8 * IFERROR(VLOOKUP("electricity|NOx|Asthma symptoms wheeze", US_national_yearly!$D:$AM, 17, FALSE) / VLOOKUP("electricity|NOx|Asthma symptoms wheeze", US_national_yearly!$D:$AM, 10, FALSE), 1)</f>
        <v>3.6345936232767685E-3</v>
      </c>
      <c r="J8" s="7">
        <f>$B8 * IFERROR(VLOOKUP("electricity|NOx|Asthma symptoms wheeze", US_national_yearly!$D:$AM, 18, FALSE) / VLOOKUP("electricity|NOx|Asthma symptoms wheeze", US_national_yearly!$D:$AM, 10, FALSE), 1)</f>
        <v>3.6485399649324041E-3</v>
      </c>
      <c r="K8" s="7">
        <f>$B8 * IFERROR(VLOOKUP("electricity|NOx|Asthma symptoms wheeze", US_national_yearly!$D:$AM, 19, FALSE) / VLOOKUP("electricity|NOx|Asthma symptoms wheeze", US_national_yearly!$D:$AM, 10, FALSE), 1)</f>
        <v>3.6624863065880409E-3</v>
      </c>
      <c r="L8" s="7">
        <f>$B8 * IFERROR(VLOOKUP("electricity|NOx|Asthma symptoms wheeze", US_national_yearly!$D:$AM, 20, FALSE) / VLOOKUP("electricity|NOx|Asthma symptoms wheeze", US_national_yearly!$D:$AM, 10, FALSE), 1)</f>
        <v>3.6764326482436765E-3</v>
      </c>
      <c r="M8" s="7">
        <f>$B8 * IFERROR(VLOOKUP("electricity|NOx|Asthma symptoms wheeze", US_national_yearly!$D:$AM, 21, FALSE) / VLOOKUP("electricity|NOx|Asthma symptoms wheeze", US_national_yearly!$D:$AM, 10, FALSE), 1)</f>
        <v>3.6903789898993121E-3</v>
      </c>
      <c r="N8" s="7">
        <f>$B8 * IFERROR(VLOOKUP("electricity|NOx|Asthma symptoms wheeze", US_national_yearly!$D:$AM, 22, FALSE) / VLOOKUP("electricity|NOx|Asthma symptoms wheeze", US_national_yearly!$D:$AM, 10, FALSE), 1)</f>
        <v>3.7058314202890776E-3</v>
      </c>
      <c r="O8" s="7">
        <f>$B8 * IFERROR(VLOOKUP("electricity|NOx|Asthma symptoms wheeze", US_national_yearly!$D:$AM, 23, FALSE) / VLOOKUP("electricity|NOx|Asthma symptoms wheeze", US_national_yearly!$D:$AM, 10, FALSE), 1)</f>
        <v>3.7212838506788439E-3</v>
      </c>
      <c r="P8" s="7">
        <f>$B8 * IFERROR(VLOOKUP("electricity|NOx|Asthma symptoms wheeze", US_national_yearly!$D:$AM, 24, FALSE) / VLOOKUP("electricity|NOx|Asthma symptoms wheeze", US_national_yearly!$D:$AM, 10, FALSE), 1)</f>
        <v>3.7367362810686103E-3</v>
      </c>
      <c r="Q8" s="7">
        <f>$B8 * IFERROR(VLOOKUP("electricity|NOx|Asthma symptoms wheeze", US_national_yearly!$D:$AM, 25, FALSE) / VLOOKUP("electricity|NOx|Asthma symptoms wheeze", US_national_yearly!$D:$AM, 10, FALSE), 1)</f>
        <v>3.7521887114583758E-3</v>
      </c>
      <c r="R8" s="7">
        <f>$B8 * IFERROR(VLOOKUP("electricity|NOx|Asthma symptoms wheeze", US_national_yearly!$D:$AM, 26, FALSE) / VLOOKUP("electricity|NOx|Asthma symptoms wheeze", US_national_yearly!$D:$AM, 10, FALSE), 1)</f>
        <v>3.7676411418481413E-3</v>
      </c>
      <c r="S8" s="7">
        <f>$B8 * IFERROR(VLOOKUP("electricity|NOx|Asthma symptoms wheeze", US_national_yearly!$D:$AM, 27, FALSE) / VLOOKUP("electricity|NOx|Asthma symptoms wheeze", US_national_yearly!$D:$AM, 10, FALSE), 1)</f>
        <v>3.7869194717469264E-3</v>
      </c>
      <c r="T8" s="7">
        <f>$B8 * IFERROR(VLOOKUP("electricity|NOx|Asthma symptoms wheeze", US_national_yearly!$D:$AM, 28, FALSE) / VLOOKUP("electricity|NOx|Asthma symptoms wheeze", US_national_yearly!$D:$AM, 10, FALSE), 1)</f>
        <v>3.8061978016457115E-3</v>
      </c>
      <c r="U8" s="7">
        <f>$B8 * IFERROR(VLOOKUP("electricity|NOx|Asthma symptoms wheeze", US_national_yearly!$D:$AM, 29, FALSE) / VLOOKUP("electricity|NOx|Asthma symptoms wheeze", US_national_yearly!$D:$AM, 10, FALSE), 1)</f>
        <v>3.8254761315444962E-3</v>
      </c>
      <c r="V8" s="7">
        <f>$B8 * IFERROR(VLOOKUP("electricity|NOx|Asthma symptoms wheeze", US_national_yearly!$D:$AM, 30, FALSE) / VLOOKUP("electricity|NOx|Asthma symptoms wheeze", US_national_yearly!$D:$AM, 10, FALSE), 1)</f>
        <v>3.8447544614432813E-3</v>
      </c>
      <c r="W8" s="7">
        <f>$B8 * IFERROR(VLOOKUP("electricity|NOx|Asthma symptoms wheeze", US_national_yearly!$D:$AM, 31, FALSE) / VLOOKUP("electricity|NOx|Asthma symptoms wheeze", US_national_yearly!$D:$AM, 10, FALSE), 1)</f>
        <v>3.8640327913420664E-3</v>
      </c>
      <c r="X8" s="7">
        <f>$B8 * IFERROR(VLOOKUP("electricity|NOx|Asthma symptoms wheeze", US_national_yearly!$D:$AM, 32, FALSE) / VLOOKUP("electricity|NOx|Asthma symptoms wheeze", US_national_yearly!$D:$AM, 10, FALSE), 1)</f>
        <v>3.8817940453610925E-3</v>
      </c>
      <c r="Y8" s="7">
        <f>$B8 * IFERROR(VLOOKUP("electricity|NOx|Asthma symptoms wheeze", US_national_yearly!$D:$AM, 33, FALSE) / VLOOKUP("electricity|NOx|Asthma symptoms wheeze", US_national_yearly!$D:$AM, 10, FALSE), 1)</f>
        <v>3.8995552993801191E-3</v>
      </c>
      <c r="Z8" s="7">
        <f>$B8 * IFERROR(VLOOKUP("electricity|NOx|Asthma symptoms wheeze", US_national_yearly!$D:$AM, 34, FALSE) / VLOOKUP("electricity|NOx|Asthma symptoms wheeze", US_national_yearly!$D:$AM, 10, FALSE), 1)</f>
        <v>3.9173165533991448E-3</v>
      </c>
      <c r="AA8" s="7">
        <f>$B8 * IFERROR(VLOOKUP("electricity|NOx|Asthma symptoms wheeze", US_national_yearly!$D:$AM, 35, FALSE) / VLOOKUP("electricity|NOx|Asthma symptoms wheeze", US_national_yearly!$D:$AM, 10, FALSE), 1)</f>
        <v>3.9350778074181709E-3</v>
      </c>
      <c r="AB8" s="7">
        <f>$B8 * IFERROR(VLOOKUP("electricity|NOx|Asthma symptoms wheeze", US_national_yearly!$D:$AM, 36, FALSE) / VLOOKUP("electricity|NOx|Asthma symptoms wheeze", US_national_yearly!$D:$AM, 10, FALSE), 1)</f>
        <v>3.952839061437197E-3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4.7014444572597805E-5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4.8218563023374896E-5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4.9422681474152007E-5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5.0626799924929097E-5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5.1830918375706181E-5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5.2990068161860859E-5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5.4149217948015551E-5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5.5145991402734018E-5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5.6142764857452491E-5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5.7139538312170979E-5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5.8136311766889445E-5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5.9133085221607919E-5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5.9816186586702128E-5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6.049928795179633E-5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6.1182389316890532E-5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6.1865490681984727E-5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6.2548592047078936E-5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6.2937640067613193E-5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6.3326688088147465E-5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6.3715736108681722E-5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6.410478412921598E-5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6.4493832149750251E-5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6.4776804512803698E-5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6.5059776875857131E-5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6.5342749238910591E-5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6.562572160196405E-5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6.5908693965017483E-5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2.8047654049426934E-4</v>
      </c>
      <c r="C13" s="7">
        <f>$B13 * IFERROR(VLOOKUP("electricity|NOx|Non-fatal heart attacks", US_national_yearly!$D:$AM, 11, FALSE) / VLOOKUP("electricity|NOx|Non-fatal heart attacks", US_national_yearly!$D:$AM, 10, FALSE), 1)</f>
        <v>2.8852544450776022E-4</v>
      </c>
      <c r="D13" s="7">
        <f>$B13 * IFERROR(VLOOKUP("electricity|NOx|Non-fatal heart attacks", US_national_yearly!$D:$AM, 12, FALSE) / VLOOKUP("electricity|NOx|Non-fatal heart attacks", US_national_yearly!$D:$AM, 10, FALSE), 1)</f>
        <v>2.9657434852125111E-4</v>
      </c>
      <c r="E13" s="7">
        <f>$B13 * IFERROR(VLOOKUP("electricity|NOx|Non-fatal heart attacks", US_national_yearly!$D:$AM, 13, FALSE) / VLOOKUP("electricity|NOx|Non-fatal heart attacks", US_national_yearly!$D:$AM, 10, FALSE), 1)</f>
        <v>3.0462325253474205E-4</v>
      </c>
      <c r="F13" s="7">
        <f>$B13 * IFERROR(VLOOKUP("electricity|NOx|Non-fatal heart attacks", US_national_yearly!$D:$AM, 14, FALSE) / VLOOKUP("electricity|NOx|Non-fatal heart attacks", US_national_yearly!$D:$AM, 10, FALSE), 1)</f>
        <v>3.1267215654823299E-4</v>
      </c>
      <c r="G13" s="7">
        <f>$B13 * IFERROR(VLOOKUP("electricity|NOx|Non-fatal heart attacks", US_national_yearly!$D:$AM, 15, FALSE) / VLOOKUP("electricity|NOx|Non-fatal heart attacks", US_national_yearly!$D:$AM, 10, FALSE), 1)</f>
        <v>3.2025453295207338E-4</v>
      </c>
      <c r="H13" s="7">
        <f>$B13 * IFERROR(VLOOKUP("electricity|NOx|Non-fatal heart attacks", US_national_yearly!$D:$AM, 16, FALSE) / VLOOKUP("electricity|NOx|Non-fatal heart attacks", US_national_yearly!$D:$AM, 10, FALSE), 1)</f>
        <v>3.2783690935591373E-4</v>
      </c>
      <c r="I13" s="7">
        <f>$B13 * IFERROR(VLOOKUP("electricity|NOx|Non-fatal heart attacks", US_national_yearly!$D:$AM, 17, FALSE) / VLOOKUP("electricity|NOx|Non-fatal heart attacks", US_national_yearly!$D:$AM, 10, FALSE), 1)</f>
        <v>3.3391720812796656E-4</v>
      </c>
      <c r="J13" s="7">
        <f>$B13 * IFERROR(VLOOKUP("electricity|NOx|Non-fatal heart attacks", US_national_yearly!$D:$AM, 18, FALSE) / VLOOKUP("electricity|NOx|Non-fatal heart attacks", US_national_yearly!$D:$AM, 10, FALSE), 1)</f>
        <v>3.3999750690001933E-4</v>
      </c>
      <c r="K13" s="7">
        <f>$B13 * IFERROR(VLOOKUP("electricity|NOx|Non-fatal heart attacks", US_national_yearly!$D:$AM, 19, FALSE) / VLOOKUP("electricity|NOx|Non-fatal heart attacks", US_national_yearly!$D:$AM, 10, FALSE), 1)</f>
        <v>3.4607780567207178E-4</v>
      </c>
      <c r="L13" s="7">
        <f>$B13 * IFERROR(VLOOKUP("electricity|NOx|Non-fatal heart attacks", US_national_yearly!$D:$AM, 20, FALSE) / VLOOKUP("electricity|NOx|Non-fatal heart attacks", US_national_yearly!$D:$AM, 10, FALSE), 1)</f>
        <v>3.5215810444412456E-4</v>
      </c>
      <c r="M13" s="7">
        <f>$B13 * IFERROR(VLOOKUP("electricity|NOx|Non-fatal heart attacks", US_national_yearly!$D:$AM, 21, FALSE) / VLOOKUP("electricity|NOx|Non-fatal heart attacks", US_national_yearly!$D:$AM, 10, FALSE), 1)</f>
        <v>3.5823840321617744E-4</v>
      </c>
      <c r="N13" s="7">
        <f>$B13 * IFERROR(VLOOKUP("electricity|NOx|Non-fatal heart attacks", US_national_yearly!$D:$AM, 22, FALSE) / VLOOKUP("electricity|NOx|Non-fatal heart attacks", US_national_yearly!$D:$AM, 10, FALSE), 1)</f>
        <v>3.6198824980199771E-4</v>
      </c>
      <c r="O13" s="7">
        <f>$B13 * IFERROR(VLOOKUP("electricity|NOx|Non-fatal heart attacks", US_national_yearly!$D:$AM, 23, FALSE) / VLOOKUP("electricity|NOx|Non-fatal heart attacks", US_national_yearly!$D:$AM, 10, FALSE), 1)</f>
        <v>3.6573809638781814E-4</v>
      </c>
      <c r="P13" s="7">
        <f>$B13 * IFERROR(VLOOKUP("electricity|NOx|Non-fatal heart attacks", US_national_yearly!$D:$AM, 24, FALSE) / VLOOKUP("electricity|NOx|Non-fatal heart attacks", US_national_yearly!$D:$AM, 10, FALSE), 1)</f>
        <v>3.6948794297363851E-4</v>
      </c>
      <c r="Q13" s="7">
        <f>$B13 * IFERROR(VLOOKUP("electricity|NOx|Non-fatal heart attacks", US_national_yearly!$D:$AM, 25, FALSE) / VLOOKUP("electricity|NOx|Non-fatal heart attacks", US_national_yearly!$D:$AM, 10, FALSE), 1)</f>
        <v>3.7323778955945883E-4</v>
      </c>
      <c r="R13" s="7">
        <f>$B13 * IFERROR(VLOOKUP("electricity|NOx|Non-fatal heart attacks", US_national_yearly!$D:$AM, 26, FALSE) / VLOOKUP("electricity|NOx|Non-fatal heart attacks", US_national_yearly!$D:$AM, 10, FALSE), 1)</f>
        <v>3.7698763614527921E-4</v>
      </c>
      <c r="S13" s="7">
        <f>$B13 * IFERROR(VLOOKUP("electricity|NOx|Non-fatal heart attacks", US_national_yearly!$D:$AM, 27, FALSE) / VLOOKUP("electricity|NOx|Non-fatal heart attacks", US_national_yearly!$D:$AM, 10, FALSE), 1)</f>
        <v>3.7881979869443304E-4</v>
      </c>
      <c r="T13" s="7">
        <f>$B13 * IFERROR(VLOOKUP("electricity|NOx|Non-fatal heart attacks", US_national_yearly!$D:$AM, 28, FALSE) / VLOOKUP("electricity|NOx|Non-fatal heart attacks", US_national_yearly!$D:$AM, 10, FALSE), 1)</f>
        <v>3.8065196124358681E-4</v>
      </c>
      <c r="U13" s="7">
        <f>$B13 * IFERROR(VLOOKUP("electricity|NOx|Non-fatal heart attacks", US_national_yearly!$D:$AM, 29, FALSE) / VLOOKUP("electricity|NOx|Non-fatal heart attacks", US_national_yearly!$D:$AM, 10, FALSE), 1)</f>
        <v>3.824841237927407E-4</v>
      </c>
      <c r="V13" s="7">
        <f>$B13 * IFERROR(VLOOKUP("electricity|NOx|Non-fatal heart attacks", US_national_yearly!$D:$AM, 30, FALSE) / VLOOKUP("electricity|NOx|Non-fatal heart attacks", US_national_yearly!$D:$AM, 10, FALSE), 1)</f>
        <v>3.8431628634189447E-4</v>
      </c>
      <c r="W13" s="7">
        <f>$B13 * IFERROR(VLOOKUP("electricity|NOx|Non-fatal heart attacks", US_national_yearly!$D:$AM, 31, FALSE) / VLOOKUP("electricity|NOx|Non-fatal heart attacks", US_national_yearly!$D:$AM, 10, FALSE), 1)</f>
        <v>3.8614844889104841E-4</v>
      </c>
      <c r="X13" s="7">
        <f>$B13 * IFERROR(VLOOKUP("electricity|NOx|Non-fatal heart attacks", US_national_yearly!$D:$AM, 32, FALSE) / VLOOKUP("electricity|NOx|Non-fatal heart attacks", US_national_yearly!$D:$AM, 10, FALSE), 1)</f>
        <v>3.8742724966040555E-4</v>
      </c>
      <c r="Y13" s="7">
        <f>$B13 * IFERROR(VLOOKUP("electricity|NOx|Non-fatal heart attacks", US_national_yearly!$D:$AM, 33, FALSE) / VLOOKUP("electricity|NOx|Non-fatal heart attacks", US_national_yearly!$D:$AM, 10, FALSE), 1)</f>
        <v>3.8870605042976291E-4</v>
      </c>
      <c r="Z13" s="7">
        <f>$B13 * IFERROR(VLOOKUP("electricity|NOx|Non-fatal heart attacks", US_national_yearly!$D:$AM, 34, FALSE) / VLOOKUP("electricity|NOx|Non-fatal heart attacks", US_national_yearly!$D:$AM, 10, FALSE), 1)</f>
        <v>3.8998485119912004E-4</v>
      </c>
      <c r="AA13" s="7">
        <f>$B13 * IFERROR(VLOOKUP("electricity|NOx|Non-fatal heart attacks", US_national_yearly!$D:$AM, 35, FALSE) / VLOOKUP("electricity|NOx|Non-fatal heart attacks", US_national_yearly!$D:$AM, 10, FALSE), 1)</f>
        <v>3.9126365196847724E-4</v>
      </c>
      <c r="AB13" s="7">
        <f>$B13 * IFERROR(VLOOKUP("electricity|NOx|Non-fatal heart attacks", US_national_yearly!$D:$AM, 36, FALSE) / VLOOKUP("electricity|NOx|Non-fatal heart attacks", US_national_yearly!$D:$AM, 10, FALSE), 1)</f>
        <v>3.9254245273783454E-4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0.192192347436694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0.19248702026866005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0.19278169310062612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0.19307636593259217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0.19337103876455827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0.19388505115918436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0.19439906355381043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0.19541603359560958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0.19643300363740862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0.19744997367920777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0.19846694372100684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0.199483913762806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0.20095453788942971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0.2024251620160534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0.20389578614267709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0.2053664102693008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0.20683703439592452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0.20831877985633926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0.209800525316754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0.2112822707771688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0.21276401623758351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0.21424576169799825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0.21549887923910482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0.21675199678021126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0.218005114321318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0.21925823186242452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0.22051134940353104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3.2428404690587574E-2</v>
      </c>
      <c r="C15" s="7">
        <f>$B15 * IFERROR(VLOOKUP("electricity|NOx|Work loss days", US_national_yearly!$D:$AM, 11, FALSE) / VLOOKUP("electricity|NOx|Work loss days", US_national_yearly!$D:$AM, 10, FALSE), 1)</f>
        <v>3.2500731622971166E-2</v>
      </c>
      <c r="D15" s="7">
        <f>$B15 * IFERROR(VLOOKUP("electricity|NOx|Work loss days", US_national_yearly!$D:$AM, 12, FALSE) / VLOOKUP("electricity|NOx|Work loss days", US_national_yearly!$D:$AM, 10, FALSE), 1)</f>
        <v>3.2573058555354757E-2</v>
      </c>
      <c r="E15" s="7">
        <f>$B15 * IFERROR(VLOOKUP("electricity|NOx|Work loss days", US_national_yearly!$D:$AM, 13, FALSE) / VLOOKUP("electricity|NOx|Work loss days", US_national_yearly!$D:$AM, 10, FALSE), 1)</f>
        <v>3.2645385487738349E-2</v>
      </c>
      <c r="F15" s="7">
        <f>$B15 * IFERROR(VLOOKUP("electricity|NOx|Work loss days", US_national_yearly!$D:$AM, 14, FALSE) / VLOOKUP("electricity|NOx|Work loss days", US_national_yearly!$D:$AM, 10, FALSE), 1)</f>
        <v>3.2717712420121933E-2</v>
      </c>
      <c r="G15" s="7">
        <f>$B15 * IFERROR(VLOOKUP("electricity|NOx|Work loss days", US_national_yearly!$D:$AM, 15, FALSE) / VLOOKUP("electricity|NOx|Work loss days", US_national_yearly!$D:$AM, 10, FALSE), 1)</f>
        <v>3.281967681442443E-2</v>
      </c>
      <c r="H15" s="7">
        <f>$B15 * IFERROR(VLOOKUP("electricity|NOx|Work loss days", US_national_yearly!$D:$AM, 16, FALSE) / VLOOKUP("electricity|NOx|Work loss days", US_national_yearly!$D:$AM, 10, FALSE), 1)</f>
        <v>3.2921641208726912E-2</v>
      </c>
      <c r="I15" s="7">
        <f>$B15 * IFERROR(VLOOKUP("electricity|NOx|Work loss days", US_national_yearly!$D:$AM, 17, FALSE) / VLOOKUP("electricity|NOx|Work loss days", US_national_yearly!$D:$AM, 10, FALSE), 1)</f>
        <v>3.3087204012983623E-2</v>
      </c>
      <c r="J15" s="7">
        <f>$B15 * IFERROR(VLOOKUP("electricity|NOx|Work loss days", US_national_yearly!$D:$AM, 18, FALSE) / VLOOKUP("electricity|NOx|Work loss days", US_national_yearly!$D:$AM, 10, FALSE), 1)</f>
        <v>3.3252766817240334E-2</v>
      </c>
      <c r="K15" s="7">
        <f>$B15 * IFERROR(VLOOKUP("electricity|NOx|Work loss days", US_national_yearly!$D:$AM, 19, FALSE) / VLOOKUP("electricity|NOx|Work loss days", US_national_yearly!$D:$AM, 10, FALSE), 1)</f>
        <v>3.3418329621497038E-2</v>
      </c>
      <c r="L15" s="7">
        <f>$B15 * IFERROR(VLOOKUP("electricity|NOx|Work loss days", US_national_yearly!$D:$AM, 20, FALSE) / VLOOKUP("electricity|NOx|Work loss days", US_national_yearly!$D:$AM, 10, FALSE), 1)</f>
        <v>3.3583892425753742E-2</v>
      </c>
      <c r="M15" s="7">
        <f>$B15 * IFERROR(VLOOKUP("electricity|NOx|Work loss days", US_national_yearly!$D:$AM, 21, FALSE) / VLOOKUP("electricity|NOx|Work loss days", US_national_yearly!$D:$AM, 10, FALSE), 1)</f>
        <v>3.3749455230010446E-2</v>
      </c>
      <c r="N15" s="7">
        <f>$B15 * IFERROR(VLOOKUP("electricity|NOx|Work loss days", US_national_yearly!$D:$AM, 22, FALSE) / VLOOKUP("electricity|NOx|Work loss days", US_national_yearly!$D:$AM, 10, FALSE), 1)</f>
        <v>3.3967893671859886E-2</v>
      </c>
      <c r="O15" s="7">
        <f>$B15 * IFERROR(VLOOKUP("electricity|NOx|Work loss days", US_national_yearly!$D:$AM, 23, FALSE) / VLOOKUP("electricity|NOx|Work loss days", US_national_yearly!$D:$AM, 10, FALSE), 1)</f>
        <v>3.4186332113709327E-2</v>
      </c>
      <c r="P15" s="7">
        <f>$B15 * IFERROR(VLOOKUP("electricity|NOx|Work loss days", US_national_yearly!$D:$AM, 24, FALSE) / VLOOKUP("electricity|NOx|Work loss days", US_national_yearly!$D:$AM, 10, FALSE), 1)</f>
        <v>3.4404770555558767E-2</v>
      </c>
      <c r="Q15" s="7">
        <f>$B15 * IFERROR(VLOOKUP("electricity|NOx|Work loss days", US_national_yearly!$D:$AM, 25, FALSE) / VLOOKUP("electricity|NOx|Work loss days", US_national_yearly!$D:$AM, 10, FALSE), 1)</f>
        <v>3.4623208997408207E-2</v>
      </c>
      <c r="R15" s="7">
        <f>$B15 * IFERROR(VLOOKUP("electricity|NOx|Work loss days", US_national_yearly!$D:$AM, 26, FALSE) / VLOOKUP("electricity|NOx|Work loss days", US_national_yearly!$D:$AM, 10, FALSE), 1)</f>
        <v>3.4841647439257641E-2</v>
      </c>
      <c r="S15" s="7">
        <f>$B15 * IFERROR(VLOOKUP("electricity|NOx|Work loss days", US_national_yearly!$D:$AM, 27, FALSE) / VLOOKUP("electricity|NOx|Work loss days", US_national_yearly!$D:$AM, 10, FALSE), 1)</f>
        <v>3.5086435529331765E-2</v>
      </c>
      <c r="T15" s="7">
        <f>$B15 * IFERROR(VLOOKUP("electricity|NOx|Work loss days", US_national_yearly!$D:$AM, 28, FALSE) / VLOOKUP("electricity|NOx|Work loss days", US_national_yearly!$D:$AM, 10, FALSE), 1)</f>
        <v>3.533122361940589E-2</v>
      </c>
      <c r="U15" s="7">
        <f>$B15 * IFERROR(VLOOKUP("electricity|NOx|Work loss days", US_national_yearly!$D:$AM, 29, FALSE) / VLOOKUP("electricity|NOx|Work loss days", US_national_yearly!$D:$AM, 10, FALSE), 1)</f>
        <v>3.5576011709480014E-2</v>
      </c>
      <c r="V15" s="7">
        <f>$B15 * IFERROR(VLOOKUP("electricity|NOx|Work loss days", US_national_yearly!$D:$AM, 30, FALSE) / VLOOKUP("electricity|NOx|Work loss days", US_national_yearly!$D:$AM, 10, FALSE), 1)</f>
        <v>3.5820799799554132E-2</v>
      </c>
      <c r="W15" s="7">
        <f>$B15 * IFERROR(VLOOKUP("electricity|NOx|Work loss days", US_national_yearly!$D:$AM, 31, FALSE) / VLOOKUP("electricity|NOx|Work loss days", US_national_yearly!$D:$AM, 10, FALSE), 1)</f>
        <v>3.6065587889628263E-2</v>
      </c>
      <c r="X15" s="7">
        <f>$B15 * IFERROR(VLOOKUP("electricity|NOx|Work loss days", US_national_yearly!$D:$AM, 32, FALSE) / VLOOKUP("electricity|NOx|Work loss days", US_national_yearly!$D:$AM, 10, FALSE), 1)</f>
        <v>3.6278970727592424E-2</v>
      </c>
      <c r="Y15" s="7">
        <f>$B15 * IFERROR(VLOOKUP("electricity|NOx|Work loss days", US_national_yearly!$D:$AM, 33, FALSE) / VLOOKUP("electricity|NOx|Work loss days", US_national_yearly!$D:$AM, 10, FALSE), 1)</f>
        <v>3.6492353565556586E-2</v>
      </c>
      <c r="Z15" s="7">
        <f>$B15 * IFERROR(VLOOKUP("electricity|NOx|Work loss days", US_national_yearly!$D:$AM, 34, FALSE) / VLOOKUP("electricity|NOx|Work loss days", US_national_yearly!$D:$AM, 10, FALSE), 1)</f>
        <v>3.6705736403520747E-2</v>
      </c>
      <c r="AA15" s="7">
        <f>$B15 * IFERROR(VLOOKUP("electricity|NOx|Work loss days", US_national_yearly!$D:$AM, 35, FALSE) / VLOOKUP("electricity|NOx|Work loss days", US_national_yearly!$D:$AM, 10, FALSE), 1)</f>
        <v>3.6919119241484916E-2</v>
      </c>
      <c r="AB15" s="7">
        <f>$B15 * IFERROR(VLOOKUP("electricity|NOx|Work loss days", US_national_yearly!$D:$AM, 36, FALSE) / VLOOKUP("electricity|NOx|Work loss days", US_national_yearly!$D:$AM, 10, FALSE), 1)</f>
        <v>3.7132502079449077E-2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7.0598522418900095E-5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7.2678117212889051E-5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7.475771200687802E-5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7.6837306800866962E-5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7.8916901594855931E-5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8.0908275076882637E-5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8.2899648558909357E-5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8.4599388052470739E-5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8.6299127546032135E-5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8.7998867039593544E-5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8.969860653315494E-5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9.1398346026716335E-5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9.2489191451391648E-5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9.3580036876066974E-5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9.4670882300742286E-5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9.5761727725417612E-5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9.6852573150092938E-5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9.7389397407757092E-5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9.7926221665421259E-5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9.8463045923085425E-5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9.8999870180749606E-5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9.9536694438413759E-5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9.9858433606566199E-5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1.0018017277471864E-4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1.0050191194287106E-4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1.008236511110235E-4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1.0114539027917594E-4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2.659224973737806E-4</v>
      </c>
      <c r="C2" s="7">
        <f>$B2 * IFERROR(VLOOKUP("electricity|SO2|Premature mortality", US_national_yearly!$D:$AM, 11, FALSE) / VLOOKUP("electricity|SO2|Premature mortality", US_national_yearly!$D:$AM, 10, FALSE), 1)</f>
        <v>2.6933168514016426E-4</v>
      </c>
      <c r="D2" s="7">
        <f>$B2 * IFERROR(VLOOKUP("electricity|SO2|Premature mortality", US_national_yearly!$D:$AM, 12, FALSE) / VLOOKUP("electricity|SO2|Premature mortality", US_national_yearly!$D:$AM, 10, FALSE), 1)</f>
        <v>2.7274087290654793E-4</v>
      </c>
      <c r="E2" s="7">
        <f>$B2 * IFERROR(VLOOKUP("electricity|SO2|Premature mortality", US_national_yearly!$D:$AM, 13, FALSE) / VLOOKUP("electricity|SO2|Premature mortality", US_national_yearly!$D:$AM, 10, FALSE), 1)</f>
        <v>2.7615006067293159E-4</v>
      </c>
      <c r="F2" s="7">
        <f>$B2 * IFERROR(VLOOKUP("electricity|SO2|Premature mortality", US_national_yearly!$D:$AM, 14, FALSE) / VLOOKUP("electricity|SO2|Premature mortality", US_national_yearly!$D:$AM, 10, FALSE), 1)</f>
        <v>2.7955924843931521E-4</v>
      </c>
      <c r="G2" s="7">
        <f>$B2 * IFERROR(VLOOKUP("electricity|SO2|Premature mortality", US_national_yearly!$D:$AM, 15, FALSE) / VLOOKUP("electricity|SO2|Premature mortality", US_national_yearly!$D:$AM, 10, FALSE), 1)</f>
        <v>2.8612671148763226E-4</v>
      </c>
      <c r="H2" s="7">
        <f>$B2 * IFERROR(VLOOKUP("electricity|SO2|Premature mortality", US_national_yearly!$D:$AM, 16, FALSE) / VLOOKUP("electricity|SO2|Premature mortality", US_national_yearly!$D:$AM, 10, FALSE), 1)</f>
        <v>2.9269417453594931E-4</v>
      </c>
      <c r="I2" s="7">
        <f>$B2 * IFERROR(VLOOKUP("electricity|SO2|Premature mortality", US_national_yearly!$D:$AM, 17, FALSE) / VLOOKUP("electricity|SO2|Premature mortality", US_national_yearly!$D:$AM, 10, FALSE), 1)</f>
        <v>2.9711498424205707E-4</v>
      </c>
      <c r="J2" s="7">
        <f>$B2 * IFERROR(VLOOKUP("electricity|SO2|Premature mortality", US_national_yearly!$D:$AM, 18, FALSE) / VLOOKUP("electricity|SO2|Premature mortality", US_national_yearly!$D:$AM, 10, FALSE), 1)</f>
        <v>3.0153579394816488E-4</v>
      </c>
      <c r="K2" s="7">
        <f>$B2 * IFERROR(VLOOKUP("electricity|SO2|Premature mortality", US_national_yearly!$D:$AM, 19, FALSE) / VLOOKUP("electricity|SO2|Premature mortality", US_national_yearly!$D:$AM, 10, FALSE), 1)</f>
        <v>3.0595660365427259E-4</v>
      </c>
      <c r="L2" s="7">
        <f>$B2 * IFERROR(VLOOKUP("electricity|SO2|Premature mortality", US_national_yearly!$D:$AM, 20, FALSE) / VLOOKUP("electricity|SO2|Premature mortality", US_national_yearly!$D:$AM, 10, FALSE), 1)</f>
        <v>3.103774133603804E-4</v>
      </c>
      <c r="M2" s="7">
        <f>$B2 * IFERROR(VLOOKUP("electricity|SO2|Premature mortality", US_national_yearly!$D:$AM, 21, FALSE) / VLOOKUP("electricity|SO2|Premature mortality", US_national_yearly!$D:$AM, 10, FALSE), 1)</f>
        <v>3.1479822306648816E-4</v>
      </c>
      <c r="N2" s="7">
        <f>$B2 * IFERROR(VLOOKUP("electricity|SO2|Premature mortality", US_national_yearly!$D:$AM, 22, FALSE) / VLOOKUP("electricity|SO2|Premature mortality", US_national_yearly!$D:$AM, 10, FALSE), 1)</f>
        <v>3.1834114968812619E-4</v>
      </c>
      <c r="O2" s="7">
        <f>$B2 * IFERROR(VLOOKUP("electricity|SO2|Premature mortality", US_national_yearly!$D:$AM, 23, FALSE) / VLOOKUP("electricity|SO2|Premature mortality", US_national_yearly!$D:$AM, 10, FALSE), 1)</f>
        <v>3.2188407630976426E-4</v>
      </c>
      <c r="P2" s="7">
        <f>$B2 * IFERROR(VLOOKUP("electricity|SO2|Premature mortality", US_national_yearly!$D:$AM, 24, FALSE) / VLOOKUP("electricity|SO2|Premature mortality", US_national_yearly!$D:$AM, 10, FALSE), 1)</f>
        <v>3.2542700293140218E-4</v>
      </c>
      <c r="Q2" s="7">
        <f>$B2 * IFERROR(VLOOKUP("electricity|SO2|Premature mortality", US_national_yearly!$D:$AM, 25, FALSE) / VLOOKUP("electricity|SO2|Premature mortality", US_national_yearly!$D:$AM, 10, FALSE), 1)</f>
        <v>3.289699295530402E-4</v>
      </c>
      <c r="R2" s="7">
        <f>$B2 * IFERROR(VLOOKUP("electricity|SO2|Premature mortality", US_national_yearly!$D:$AM, 26, FALSE) / VLOOKUP("electricity|SO2|Premature mortality", US_national_yearly!$D:$AM, 10, FALSE), 1)</f>
        <v>3.3251285617467822E-4</v>
      </c>
      <c r="S2" s="7">
        <f>$B2 * IFERROR(VLOOKUP("electricity|SO2|Premature mortality", US_national_yearly!$D:$AM, 27, FALSE) / VLOOKUP("electricity|SO2|Premature mortality", US_national_yearly!$D:$AM, 10, FALSE), 1)</f>
        <v>3.3454411949413983E-4</v>
      </c>
      <c r="T2" s="7">
        <f>$B2 * IFERROR(VLOOKUP("electricity|SO2|Premature mortality", US_national_yearly!$D:$AM, 28, FALSE) / VLOOKUP("electricity|SO2|Premature mortality", US_national_yearly!$D:$AM, 10, FALSE), 1)</f>
        <v>3.3657538281360149E-4</v>
      </c>
      <c r="U2" s="7">
        <f>$B2 * IFERROR(VLOOKUP("electricity|SO2|Premature mortality", US_national_yearly!$D:$AM, 29, FALSE) / VLOOKUP("electricity|SO2|Premature mortality", US_national_yearly!$D:$AM, 10, FALSE), 1)</f>
        <v>3.386066461330631E-4</v>
      </c>
      <c r="V2" s="7">
        <f>$B2 * IFERROR(VLOOKUP("electricity|SO2|Premature mortality", US_national_yearly!$D:$AM, 30, FALSE) / VLOOKUP("electricity|SO2|Premature mortality", US_national_yearly!$D:$AM, 10, FALSE), 1)</f>
        <v>3.4063790945252476E-4</v>
      </c>
      <c r="W2" s="7">
        <f>$B2 * IFERROR(VLOOKUP("electricity|SO2|Premature mortality", US_national_yearly!$D:$AM, 31, FALSE) / VLOOKUP("electricity|SO2|Premature mortality", US_national_yearly!$D:$AM, 10, FALSE), 1)</f>
        <v>3.4266917277198637E-4</v>
      </c>
      <c r="X2" s="7">
        <f>$B2 * IFERROR(VLOOKUP("electricity|SO2|Premature mortality", US_national_yearly!$D:$AM, 32, FALSE) / VLOOKUP("electricity|SO2|Premature mortality", US_national_yearly!$D:$AM, 10, FALSE), 1)</f>
        <v>3.4326767571035981E-4</v>
      </c>
      <c r="Y2" s="7">
        <f>$B2 * IFERROR(VLOOKUP("electricity|SO2|Premature mortality", US_national_yearly!$D:$AM, 33, FALSE) / VLOOKUP("electricity|SO2|Premature mortality", US_national_yearly!$D:$AM, 10, FALSE), 1)</f>
        <v>3.4386617864873325E-4</v>
      </c>
      <c r="Z2" s="7">
        <f>$B2 * IFERROR(VLOOKUP("electricity|SO2|Premature mortality", US_national_yearly!$D:$AM, 34, FALSE) / VLOOKUP("electricity|SO2|Premature mortality", US_national_yearly!$D:$AM, 10, FALSE), 1)</f>
        <v>3.4446468158710663E-4</v>
      </c>
      <c r="AA2" s="7">
        <f>$B2 * IFERROR(VLOOKUP("electricity|SO2|Premature mortality", US_national_yearly!$D:$AM, 35, FALSE) / VLOOKUP("electricity|SO2|Premature mortality", US_national_yearly!$D:$AM, 10, FALSE), 1)</f>
        <v>3.4506318452548013E-4</v>
      </c>
      <c r="AB2" s="7">
        <f>$B2 * IFERROR(VLOOKUP("electricity|SO2|Premature mortality", US_national_yearly!$D:$AM, 36, FALSE) / VLOOKUP("electricity|SO2|Premature mortality", US_national_yearly!$D:$AM, 10, FALSE), 1)</f>
        <v>3.4566168746385351E-4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7.123144208791635E-7</v>
      </c>
      <c r="C3" s="7">
        <f>$B3 * IFERROR(VLOOKUP("electricity|SO2|Infant mortality", US_national_yearly!$D:$AM, 11, FALSE) / VLOOKUP("electricity|SO2|Infant mortality", US_national_yearly!$D:$AM, 10, FALSE), 1)</f>
        <v>7.062967183926782E-7</v>
      </c>
      <c r="D3" s="7">
        <f>$B3 * IFERROR(VLOOKUP("electricity|SO2|Infant mortality", US_national_yearly!$D:$AM, 12, FALSE) / VLOOKUP("electricity|SO2|Infant mortality", US_national_yearly!$D:$AM, 10, FALSE), 1)</f>
        <v>7.002790159061929E-7</v>
      </c>
      <c r="E3" s="7">
        <f>$B3 * IFERROR(VLOOKUP("electricity|SO2|Infant mortality", US_national_yearly!$D:$AM, 13, FALSE) / VLOOKUP("electricity|SO2|Infant mortality", US_national_yearly!$D:$AM, 10, FALSE), 1)</f>
        <v>6.942613134197076E-7</v>
      </c>
      <c r="F3" s="7">
        <f>$B3 * IFERROR(VLOOKUP("electricity|SO2|Infant mortality", US_national_yearly!$D:$AM, 14, FALSE) / VLOOKUP("electricity|SO2|Infant mortality", US_national_yearly!$D:$AM, 10, FALSE), 1)</f>
        <v>6.8824361093322241E-7</v>
      </c>
      <c r="G3" s="7">
        <f>$B3 * IFERROR(VLOOKUP("electricity|SO2|Infant mortality", US_national_yearly!$D:$AM, 15, FALSE) / VLOOKUP("electricity|SO2|Infant mortality", US_national_yearly!$D:$AM, 10, FALSE), 1)</f>
        <v>4.5771765316148409E-7</v>
      </c>
      <c r="H3" s="7">
        <f>$B3 * IFERROR(VLOOKUP("electricity|SO2|Infant mortality", US_national_yearly!$D:$AM, 16, FALSE) / VLOOKUP("electricity|SO2|Infant mortality", US_national_yearly!$D:$AM, 10, FALSE), 1)</f>
        <v>2.2719169538974577E-7</v>
      </c>
      <c r="I3" s="7">
        <f>$B3 * IFERROR(VLOOKUP("electricity|SO2|Infant mortality", US_national_yearly!$D:$AM, 17, FALSE) / VLOOKUP("electricity|SO2|Infant mortality", US_national_yearly!$D:$AM, 10, FALSE), 1)</f>
        <v>2.257382409170213E-7</v>
      </c>
      <c r="J3" s="7">
        <f>$B3 * IFERROR(VLOOKUP("electricity|SO2|Infant mortality", US_national_yearly!$D:$AM, 18, FALSE) / VLOOKUP("electricity|SO2|Infant mortality", US_national_yearly!$D:$AM, 10, FALSE), 1)</f>
        <v>2.2428478644429678E-7</v>
      </c>
      <c r="K3" s="7">
        <f>$B3 * IFERROR(VLOOKUP("electricity|SO2|Infant mortality", US_national_yearly!$D:$AM, 19, FALSE) / VLOOKUP("electricity|SO2|Infant mortality", US_national_yearly!$D:$AM, 10, FALSE), 1)</f>
        <v>2.2283133197157236E-7</v>
      </c>
      <c r="L3" s="7">
        <f>$B3 * IFERROR(VLOOKUP("electricity|SO2|Infant mortality", US_national_yearly!$D:$AM, 20, FALSE) / VLOOKUP("electricity|SO2|Infant mortality", US_national_yearly!$D:$AM, 10, FALSE), 1)</f>
        <v>2.2137787749884784E-7</v>
      </c>
      <c r="M3" s="7">
        <f>$B3 * IFERROR(VLOOKUP("electricity|SO2|Infant mortality", US_national_yearly!$D:$AM, 21, FALSE) / VLOOKUP("electricity|SO2|Infant mortality", US_national_yearly!$D:$AM, 10, FALSE), 1)</f>
        <v>2.1992442302612337E-7</v>
      </c>
      <c r="N3" s="7">
        <f>$B3 * IFERROR(VLOOKUP("electricity|SO2|Infant mortality", US_national_yearly!$D:$AM, 22, FALSE) / VLOOKUP("electricity|SO2|Infant mortality", US_national_yearly!$D:$AM, 10, FALSE), 1)</f>
        <v>2.1900344986523408E-7</v>
      </c>
      <c r="O3" s="7">
        <f>$B3 * IFERROR(VLOOKUP("electricity|SO2|Infant mortality", US_national_yearly!$D:$AM, 23, FALSE) / VLOOKUP("electricity|SO2|Infant mortality", US_national_yearly!$D:$AM, 10, FALSE), 1)</f>
        <v>2.1808247670434473E-7</v>
      </c>
      <c r="P3" s="7">
        <f>$B3 * IFERROR(VLOOKUP("electricity|SO2|Infant mortality", US_national_yearly!$D:$AM, 24, FALSE) / VLOOKUP("electricity|SO2|Infant mortality", US_national_yearly!$D:$AM, 10, FALSE), 1)</f>
        <v>2.1716150354345541E-7</v>
      </c>
      <c r="Q3" s="7">
        <f>$B3 * IFERROR(VLOOKUP("electricity|SO2|Infant mortality", US_national_yearly!$D:$AM, 25, FALSE) / VLOOKUP("electricity|SO2|Infant mortality", US_national_yearly!$D:$AM, 10, FALSE), 1)</f>
        <v>2.1624053038256608E-7</v>
      </c>
      <c r="R3" s="7">
        <f>$B3 * IFERROR(VLOOKUP("electricity|SO2|Infant mortality", US_national_yearly!$D:$AM, 26, FALSE) / VLOOKUP("electricity|SO2|Infant mortality", US_national_yearly!$D:$AM, 10, FALSE), 1)</f>
        <v>2.1531955722167679E-7</v>
      </c>
      <c r="S3" s="7">
        <f>$B3 * IFERROR(VLOOKUP("electricity|SO2|Infant mortality", US_national_yearly!$D:$AM, 27, FALSE) / VLOOKUP("electricity|SO2|Infant mortality", US_national_yearly!$D:$AM, 10, FALSE), 1)</f>
        <v>2.1417168087389024E-7</v>
      </c>
      <c r="T3" s="7">
        <f>$B3 * IFERROR(VLOOKUP("electricity|SO2|Infant mortality", US_national_yearly!$D:$AM, 28, FALSE) / VLOOKUP("electricity|SO2|Infant mortality", US_national_yearly!$D:$AM, 10, FALSE), 1)</f>
        <v>2.1302380452610372E-7</v>
      </c>
      <c r="U3" s="7">
        <f>$B3 * IFERROR(VLOOKUP("electricity|SO2|Infant mortality", US_national_yearly!$D:$AM, 29, FALSE) / VLOOKUP("electricity|SO2|Infant mortality", US_national_yearly!$D:$AM, 10, FALSE), 1)</f>
        <v>2.1187592817831721E-7</v>
      </c>
      <c r="V3" s="7">
        <f>$B3 * IFERROR(VLOOKUP("electricity|SO2|Infant mortality", US_national_yearly!$D:$AM, 30, FALSE) / VLOOKUP("electricity|SO2|Infant mortality", US_national_yearly!$D:$AM, 10, FALSE), 1)</f>
        <v>2.1072805183053071E-7</v>
      </c>
      <c r="W3" s="7">
        <f>$B3 * IFERROR(VLOOKUP("electricity|SO2|Infant mortality", US_national_yearly!$D:$AM, 31, FALSE) / VLOOKUP("electricity|SO2|Infant mortality", US_national_yearly!$D:$AM, 10, FALSE), 1)</f>
        <v>2.0958017548274414E-7</v>
      </c>
      <c r="X3" s="7">
        <f>$B3 * IFERROR(VLOOKUP("electricity|SO2|Infant mortality", US_national_yearly!$D:$AM, 32, FALSE) / VLOOKUP("electricity|SO2|Infant mortality", US_national_yearly!$D:$AM, 10, FALSE), 1)</f>
        <v>2.0835542503397152E-7</v>
      </c>
      <c r="Y3" s="7">
        <f>$B3 * IFERROR(VLOOKUP("electricity|SO2|Infant mortality", US_national_yearly!$D:$AM, 33, FALSE) / VLOOKUP("electricity|SO2|Infant mortality", US_national_yearly!$D:$AM, 10, FALSE), 1)</f>
        <v>2.0713067458519882E-7</v>
      </c>
      <c r="Z3" s="7">
        <f>$B3 * IFERROR(VLOOKUP("electricity|SO2|Infant mortality", US_national_yearly!$D:$AM, 34, FALSE) / VLOOKUP("electricity|SO2|Infant mortality", US_national_yearly!$D:$AM, 10, FALSE), 1)</f>
        <v>2.059059241364262E-7</v>
      </c>
      <c r="AA3" s="7">
        <f>$B3 * IFERROR(VLOOKUP("electricity|SO2|Infant mortality", US_national_yearly!$D:$AM, 35, FALSE) / VLOOKUP("electricity|SO2|Infant mortality", US_national_yearly!$D:$AM, 10, FALSE), 1)</f>
        <v>2.0468117368765358E-7</v>
      </c>
      <c r="AB3" s="7">
        <f>$B3 * IFERROR(VLOOKUP("electricity|SO2|Infant mortality", US_national_yearly!$D:$AM, 36, FALSE) / VLOOKUP("electricity|SO2|Infant mortality", US_national_yearly!$D:$AM, 10, FALSE), 1)</f>
        <v>2.0345642323888094E-7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6.4352614648300515E-4</v>
      </c>
      <c r="C6" s="7">
        <f>$B6 * IFERROR(VLOOKUP("electricity|SO2|Asthma symptoms cough", US_national_yearly!$D:$AM, 11, FALSE) / VLOOKUP("electricity|SO2|Asthma symptoms cough", US_national_yearly!$D:$AM, 10, FALSE), 1)</f>
        <v>6.4352614648300515E-4</v>
      </c>
      <c r="D6" s="7">
        <f>$B6 * IFERROR(VLOOKUP("electricity|SO2|Asthma symptoms cough", US_national_yearly!$D:$AM, 12, FALSE) / VLOOKUP("electricity|SO2|Asthma symptoms cough", US_national_yearly!$D:$AM, 10, FALSE), 1)</f>
        <v>6.4352614648300515E-4</v>
      </c>
      <c r="E6" s="7">
        <f>$B6 * IFERROR(VLOOKUP("electricity|SO2|Asthma symptoms cough", US_national_yearly!$D:$AM, 13, FALSE) / VLOOKUP("electricity|SO2|Asthma symptoms cough", US_national_yearly!$D:$AM, 10, FALSE), 1)</f>
        <v>6.4352614648300515E-4</v>
      </c>
      <c r="F6" s="7">
        <f>$B6 * IFERROR(VLOOKUP("electricity|SO2|Asthma symptoms cough", US_national_yearly!$D:$AM, 14, FALSE) / VLOOKUP("electricity|SO2|Asthma symptoms cough", US_national_yearly!$D:$AM, 10, FALSE), 1)</f>
        <v>6.4352614648300515E-4</v>
      </c>
      <c r="G6" s="7">
        <f>$B6 * IFERROR(VLOOKUP("electricity|SO2|Asthma symptoms cough", US_national_yearly!$D:$AM, 15, FALSE) / VLOOKUP("electricity|SO2|Asthma symptoms cough", US_national_yearly!$D:$AM, 10, FALSE), 1)</f>
        <v>6.4352614648300515E-4</v>
      </c>
      <c r="H6" s="7">
        <f>$B6 * IFERROR(VLOOKUP("electricity|SO2|Asthma symptoms cough", US_national_yearly!$D:$AM, 16, FALSE) / VLOOKUP("electricity|SO2|Asthma symptoms cough", US_national_yearly!$D:$AM, 10, FALSE), 1)</f>
        <v>6.4352614648300515E-4</v>
      </c>
      <c r="I6" s="7">
        <f>$B6 * IFERROR(VLOOKUP("electricity|SO2|Asthma symptoms cough", US_national_yearly!$D:$AM, 17, FALSE) / VLOOKUP("electricity|SO2|Asthma symptoms cough", US_national_yearly!$D:$AM, 10, FALSE), 1)</f>
        <v>6.4352614648300515E-4</v>
      </c>
      <c r="J6" s="7">
        <f>$B6 * IFERROR(VLOOKUP("electricity|SO2|Asthma symptoms cough", US_national_yearly!$D:$AM, 18, FALSE) / VLOOKUP("electricity|SO2|Asthma symptoms cough", US_national_yearly!$D:$AM, 10, FALSE), 1)</f>
        <v>6.4352614648300515E-4</v>
      </c>
      <c r="K6" s="7">
        <f>$B6 * IFERROR(VLOOKUP("electricity|SO2|Asthma symptoms cough", US_national_yearly!$D:$AM, 19, FALSE) / VLOOKUP("electricity|SO2|Asthma symptoms cough", US_national_yearly!$D:$AM, 10, FALSE), 1)</f>
        <v>6.4352614648300515E-4</v>
      </c>
      <c r="L6" s="7">
        <f>$B6 * IFERROR(VLOOKUP("electricity|SO2|Asthma symptoms cough", US_national_yearly!$D:$AM, 20, FALSE) / VLOOKUP("electricity|SO2|Asthma symptoms cough", US_national_yearly!$D:$AM, 10, FALSE), 1)</f>
        <v>6.4352614648300515E-4</v>
      </c>
      <c r="M6" s="7">
        <f>$B6 * IFERROR(VLOOKUP("electricity|SO2|Asthma symptoms cough", US_national_yearly!$D:$AM, 21, FALSE) / VLOOKUP("electricity|SO2|Asthma symptoms cough", US_national_yearly!$D:$AM, 10, FALSE), 1)</f>
        <v>6.4352614648300515E-4</v>
      </c>
      <c r="N6" s="7">
        <f>$B6 * IFERROR(VLOOKUP("electricity|SO2|Asthma symptoms cough", US_national_yearly!$D:$AM, 22, FALSE) / VLOOKUP("electricity|SO2|Asthma symptoms cough", US_national_yearly!$D:$AM, 10, FALSE), 1)</f>
        <v>6.4352614648300515E-4</v>
      </c>
      <c r="O6" s="7">
        <f>$B6 * IFERROR(VLOOKUP("electricity|SO2|Asthma symptoms cough", US_national_yearly!$D:$AM, 23, FALSE) / VLOOKUP("electricity|SO2|Asthma symptoms cough", US_national_yearly!$D:$AM, 10, FALSE), 1)</f>
        <v>6.4352614648300515E-4</v>
      </c>
      <c r="P6" s="7">
        <f>$B6 * IFERROR(VLOOKUP("electricity|SO2|Asthma symptoms cough", US_national_yearly!$D:$AM, 24, FALSE) / VLOOKUP("electricity|SO2|Asthma symptoms cough", US_national_yearly!$D:$AM, 10, FALSE), 1)</f>
        <v>6.4352614648300515E-4</v>
      </c>
      <c r="Q6" s="7">
        <f>$B6 * IFERROR(VLOOKUP("electricity|SO2|Asthma symptoms cough", US_national_yearly!$D:$AM, 25, FALSE) / VLOOKUP("electricity|SO2|Asthma symptoms cough", US_national_yearly!$D:$AM, 10, FALSE), 1)</f>
        <v>6.4352614648300515E-4</v>
      </c>
      <c r="R6" s="7">
        <f>$B6 * IFERROR(VLOOKUP("electricity|SO2|Asthma symptoms cough", US_national_yearly!$D:$AM, 26, FALSE) / VLOOKUP("electricity|SO2|Asthma symptoms cough", US_national_yearly!$D:$AM, 10, FALSE), 1)</f>
        <v>6.4352614648300515E-4</v>
      </c>
      <c r="S6" s="7">
        <f>$B6 * IFERROR(VLOOKUP("electricity|SO2|Asthma symptoms cough", US_national_yearly!$D:$AM, 27, FALSE) / VLOOKUP("electricity|SO2|Asthma symptoms cough", US_national_yearly!$D:$AM, 10, FALSE), 1)</f>
        <v>6.4352614648300515E-4</v>
      </c>
      <c r="T6" s="7">
        <f>$B6 * IFERROR(VLOOKUP("electricity|SO2|Asthma symptoms cough", US_national_yearly!$D:$AM, 28, FALSE) / VLOOKUP("electricity|SO2|Asthma symptoms cough", US_national_yearly!$D:$AM, 10, FALSE), 1)</f>
        <v>6.4352614648300515E-4</v>
      </c>
      <c r="U6" s="7">
        <f>$B6 * IFERROR(VLOOKUP("electricity|SO2|Asthma symptoms cough", US_national_yearly!$D:$AM, 29, FALSE) / VLOOKUP("electricity|SO2|Asthma symptoms cough", US_national_yearly!$D:$AM, 10, FALSE), 1)</f>
        <v>6.4352614648300515E-4</v>
      </c>
      <c r="V6" s="7">
        <f>$B6 * IFERROR(VLOOKUP("electricity|SO2|Asthma symptoms cough", US_national_yearly!$D:$AM, 30, FALSE) / VLOOKUP("electricity|SO2|Asthma symptoms cough", US_national_yearly!$D:$AM, 10, FALSE), 1)</f>
        <v>6.4352614648300515E-4</v>
      </c>
      <c r="W6" s="7">
        <f>$B6 * IFERROR(VLOOKUP("electricity|SO2|Asthma symptoms cough", US_national_yearly!$D:$AM, 31, FALSE) / VLOOKUP("electricity|SO2|Asthma symptoms cough", US_national_yearly!$D:$AM, 10, FALSE), 1)</f>
        <v>6.4352614648300515E-4</v>
      </c>
      <c r="X6" s="7">
        <f>$B6 * IFERROR(VLOOKUP("electricity|SO2|Asthma symptoms cough", US_national_yearly!$D:$AM, 32, FALSE) / VLOOKUP("electricity|SO2|Asthma symptoms cough", US_national_yearly!$D:$AM, 10, FALSE), 1)</f>
        <v>6.4352614648300515E-4</v>
      </c>
      <c r="Y6" s="7">
        <f>$B6 * IFERROR(VLOOKUP("electricity|SO2|Asthma symptoms cough", US_national_yearly!$D:$AM, 33, FALSE) / VLOOKUP("electricity|SO2|Asthma symptoms cough", US_national_yearly!$D:$AM, 10, FALSE), 1)</f>
        <v>6.4352614648300515E-4</v>
      </c>
      <c r="Z6" s="7">
        <f>$B6 * IFERROR(VLOOKUP("electricity|SO2|Asthma symptoms cough", US_national_yearly!$D:$AM, 34, FALSE) / VLOOKUP("electricity|SO2|Asthma symptoms cough", US_national_yearly!$D:$AM, 10, FALSE), 1)</f>
        <v>6.4352614648300515E-4</v>
      </c>
      <c r="AA6" s="7">
        <f>$B6 * IFERROR(VLOOKUP("electricity|SO2|Asthma symptoms cough", US_national_yearly!$D:$AM, 35, FALSE) / VLOOKUP("electricity|SO2|Asthma symptoms cough", US_national_yearly!$D:$AM, 10, FALSE), 1)</f>
        <v>6.4352614648300515E-4</v>
      </c>
      <c r="AB6" s="7">
        <f>$B6 * IFERROR(VLOOKUP("electricity|SO2|Asthma symptoms cough", US_national_yearly!$D:$AM, 36, FALSE) / VLOOKUP("electricity|SO2|Asthma symptoms cough", US_national_yearly!$D:$AM, 10, FALSE), 1)</f>
        <v>6.4352614648300515E-4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8.6659855144480919E-4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8.6659855144480919E-4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8.6659855144480919E-4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8.6659855144480919E-4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8.6659855144480919E-4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8.6659855144480919E-4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8.6659855144480919E-4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8.6659855144480919E-4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8.6659855144480919E-4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8.6659855144480919E-4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8.6659855144480919E-4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8.6659855144480919E-4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8.6659855144480919E-4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8.6659855144480919E-4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8.6659855144480919E-4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8.6659855144480919E-4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8.6659855144480919E-4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8.6659855144480919E-4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8.6659855144480919E-4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8.6659855144480919E-4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8.6659855144480919E-4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8.6659855144480919E-4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8.6659855144480919E-4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8.6659855144480919E-4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8.6659855144480919E-4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8.6659855144480919E-4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8.6659855144480919E-4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1.324025646763643E-3</v>
      </c>
      <c r="C8" s="7">
        <f>$B8 * IFERROR(VLOOKUP("electricity|SO2|Asthma symptoms wheeze", US_national_yearly!$D:$AM, 11, FALSE) / VLOOKUP("electricity|SO2|Asthma symptoms wheeze", US_national_yearly!$D:$AM, 10, FALSE), 1)</f>
        <v>1.324025646763643E-3</v>
      </c>
      <c r="D8" s="7">
        <f>$B8 * IFERROR(VLOOKUP("electricity|SO2|Asthma symptoms wheeze", US_national_yearly!$D:$AM, 12, FALSE) / VLOOKUP("electricity|SO2|Asthma symptoms wheeze", US_national_yearly!$D:$AM, 10, FALSE), 1)</f>
        <v>1.324025646763643E-3</v>
      </c>
      <c r="E8" s="7">
        <f>$B8 * IFERROR(VLOOKUP("electricity|SO2|Asthma symptoms wheeze", US_national_yearly!$D:$AM, 13, FALSE) / VLOOKUP("electricity|SO2|Asthma symptoms wheeze", US_national_yearly!$D:$AM, 10, FALSE), 1)</f>
        <v>1.324025646763643E-3</v>
      </c>
      <c r="F8" s="7">
        <f>$B8 * IFERROR(VLOOKUP("electricity|SO2|Asthma symptoms wheeze", US_national_yearly!$D:$AM, 14, FALSE) / VLOOKUP("electricity|SO2|Asthma symptoms wheeze", US_national_yearly!$D:$AM, 10, FALSE), 1)</f>
        <v>1.324025646763643E-3</v>
      </c>
      <c r="G8" s="7">
        <f>$B8 * IFERROR(VLOOKUP("electricity|SO2|Asthma symptoms wheeze", US_national_yearly!$D:$AM, 15, FALSE) / VLOOKUP("electricity|SO2|Asthma symptoms wheeze", US_national_yearly!$D:$AM, 10, FALSE), 1)</f>
        <v>1.324025646763643E-3</v>
      </c>
      <c r="H8" s="7">
        <f>$B8 * IFERROR(VLOOKUP("electricity|SO2|Asthma symptoms wheeze", US_national_yearly!$D:$AM, 16, FALSE) / VLOOKUP("electricity|SO2|Asthma symptoms wheeze", US_national_yearly!$D:$AM, 10, FALSE), 1)</f>
        <v>1.324025646763643E-3</v>
      </c>
      <c r="I8" s="7">
        <f>$B8 * IFERROR(VLOOKUP("electricity|SO2|Asthma symptoms wheeze", US_national_yearly!$D:$AM, 17, FALSE) / VLOOKUP("electricity|SO2|Asthma symptoms wheeze", US_national_yearly!$D:$AM, 10, FALSE), 1)</f>
        <v>1.324025646763643E-3</v>
      </c>
      <c r="J8" s="7">
        <f>$B8 * IFERROR(VLOOKUP("electricity|SO2|Asthma symptoms wheeze", US_national_yearly!$D:$AM, 18, FALSE) / VLOOKUP("electricity|SO2|Asthma symptoms wheeze", US_national_yearly!$D:$AM, 10, FALSE), 1)</f>
        <v>1.324025646763643E-3</v>
      </c>
      <c r="K8" s="7">
        <f>$B8 * IFERROR(VLOOKUP("electricity|SO2|Asthma symptoms wheeze", US_national_yearly!$D:$AM, 19, FALSE) / VLOOKUP("electricity|SO2|Asthma symptoms wheeze", US_national_yearly!$D:$AM, 10, FALSE), 1)</f>
        <v>1.324025646763643E-3</v>
      </c>
      <c r="L8" s="7">
        <f>$B8 * IFERROR(VLOOKUP("electricity|SO2|Asthma symptoms wheeze", US_national_yearly!$D:$AM, 20, FALSE) / VLOOKUP("electricity|SO2|Asthma symptoms wheeze", US_national_yearly!$D:$AM, 10, FALSE), 1)</f>
        <v>1.324025646763643E-3</v>
      </c>
      <c r="M8" s="7">
        <f>$B8 * IFERROR(VLOOKUP("electricity|SO2|Asthma symptoms wheeze", US_national_yearly!$D:$AM, 21, FALSE) / VLOOKUP("electricity|SO2|Asthma symptoms wheeze", US_national_yearly!$D:$AM, 10, FALSE), 1)</f>
        <v>1.324025646763643E-3</v>
      </c>
      <c r="N8" s="7">
        <f>$B8 * IFERROR(VLOOKUP("electricity|SO2|Asthma symptoms wheeze", US_national_yearly!$D:$AM, 22, FALSE) / VLOOKUP("electricity|SO2|Asthma symptoms wheeze", US_national_yearly!$D:$AM, 10, FALSE), 1)</f>
        <v>1.324025646763643E-3</v>
      </c>
      <c r="O8" s="7">
        <f>$B8 * IFERROR(VLOOKUP("electricity|SO2|Asthma symptoms wheeze", US_national_yearly!$D:$AM, 23, FALSE) / VLOOKUP("electricity|SO2|Asthma symptoms wheeze", US_national_yearly!$D:$AM, 10, FALSE), 1)</f>
        <v>1.324025646763643E-3</v>
      </c>
      <c r="P8" s="7">
        <f>$B8 * IFERROR(VLOOKUP("electricity|SO2|Asthma symptoms wheeze", US_national_yearly!$D:$AM, 24, FALSE) / VLOOKUP("electricity|SO2|Asthma symptoms wheeze", US_national_yearly!$D:$AM, 10, FALSE), 1)</f>
        <v>1.324025646763643E-3</v>
      </c>
      <c r="Q8" s="7">
        <f>$B8 * IFERROR(VLOOKUP("electricity|SO2|Asthma symptoms wheeze", US_national_yearly!$D:$AM, 25, FALSE) / VLOOKUP("electricity|SO2|Asthma symptoms wheeze", US_national_yearly!$D:$AM, 10, FALSE), 1)</f>
        <v>1.324025646763643E-3</v>
      </c>
      <c r="R8" s="7">
        <f>$B8 * IFERROR(VLOOKUP("electricity|SO2|Asthma symptoms wheeze", US_national_yearly!$D:$AM, 26, FALSE) / VLOOKUP("electricity|SO2|Asthma symptoms wheeze", US_national_yearly!$D:$AM, 10, FALSE), 1)</f>
        <v>1.324025646763643E-3</v>
      </c>
      <c r="S8" s="7">
        <f>$B8 * IFERROR(VLOOKUP("electricity|SO2|Asthma symptoms wheeze", US_national_yearly!$D:$AM, 27, FALSE) / VLOOKUP("electricity|SO2|Asthma symptoms wheeze", US_national_yearly!$D:$AM, 10, FALSE), 1)</f>
        <v>1.324025646763643E-3</v>
      </c>
      <c r="T8" s="7">
        <f>$B8 * IFERROR(VLOOKUP("electricity|SO2|Asthma symptoms wheeze", US_national_yearly!$D:$AM, 28, FALSE) / VLOOKUP("electricity|SO2|Asthma symptoms wheeze", US_national_yearly!$D:$AM, 10, FALSE), 1)</f>
        <v>1.324025646763643E-3</v>
      </c>
      <c r="U8" s="7">
        <f>$B8 * IFERROR(VLOOKUP("electricity|SO2|Asthma symptoms wheeze", US_national_yearly!$D:$AM, 29, FALSE) / VLOOKUP("electricity|SO2|Asthma symptoms wheeze", US_national_yearly!$D:$AM, 10, FALSE), 1)</f>
        <v>1.324025646763643E-3</v>
      </c>
      <c r="V8" s="7">
        <f>$B8 * IFERROR(VLOOKUP("electricity|SO2|Asthma symptoms wheeze", US_national_yearly!$D:$AM, 30, FALSE) / VLOOKUP("electricity|SO2|Asthma symptoms wheeze", US_national_yearly!$D:$AM, 10, FALSE), 1)</f>
        <v>1.324025646763643E-3</v>
      </c>
      <c r="W8" s="7">
        <f>$B8 * IFERROR(VLOOKUP("electricity|SO2|Asthma symptoms wheeze", US_national_yearly!$D:$AM, 31, FALSE) / VLOOKUP("electricity|SO2|Asthma symptoms wheeze", US_national_yearly!$D:$AM, 10, FALSE), 1)</f>
        <v>1.324025646763643E-3</v>
      </c>
      <c r="X8" s="7">
        <f>$B8 * IFERROR(VLOOKUP("electricity|SO2|Asthma symptoms wheeze", US_national_yearly!$D:$AM, 32, FALSE) / VLOOKUP("electricity|SO2|Asthma symptoms wheeze", US_national_yearly!$D:$AM, 10, FALSE), 1)</f>
        <v>1.324025646763643E-3</v>
      </c>
      <c r="Y8" s="7">
        <f>$B8 * IFERROR(VLOOKUP("electricity|SO2|Asthma symptoms wheeze", US_national_yearly!$D:$AM, 33, FALSE) / VLOOKUP("electricity|SO2|Asthma symptoms wheeze", US_national_yearly!$D:$AM, 10, FALSE), 1)</f>
        <v>1.324025646763643E-3</v>
      </c>
      <c r="Z8" s="7">
        <f>$B8 * IFERROR(VLOOKUP("electricity|SO2|Asthma symptoms wheeze", US_national_yearly!$D:$AM, 34, FALSE) / VLOOKUP("electricity|SO2|Asthma symptoms wheeze", US_national_yearly!$D:$AM, 10, FALSE), 1)</f>
        <v>1.324025646763643E-3</v>
      </c>
      <c r="AA8" s="7">
        <f>$B8 * IFERROR(VLOOKUP("electricity|SO2|Asthma symptoms wheeze", US_national_yearly!$D:$AM, 35, FALSE) / VLOOKUP("electricity|SO2|Asthma symptoms wheeze", US_national_yearly!$D:$AM, 10, FALSE), 1)</f>
        <v>1.324025646763643E-3</v>
      </c>
      <c r="AB8" s="7">
        <f>$B8 * IFERROR(VLOOKUP("electricity|SO2|Asthma symptoms wheeze", US_national_yearly!$D:$AM, 36, FALSE) / VLOOKUP("electricity|SO2|Asthma symptoms wheeze", US_national_yearly!$D:$AM, 10, FALSE), 1)</f>
        <v>1.324025646763643E-3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1.8843019601686508E-5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1.8953998032507979E-5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1.9064976463329454E-5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1.9175954894150922E-5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1.9286933324972396E-5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1.9407866028665592E-5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1.9528798732358791E-5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1.9645137760648127E-5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1.9761476788937469E-5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1.9877815817226809E-5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1.9994154845516145E-5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2.0110493873805484E-5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2.0193939252018807E-5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2.0277384630232133E-5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2.0360830008445452E-5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2.0444275386658775E-5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2.0527720764872101E-5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2.0606480918815315E-5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2.068524107275853E-5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2.0764001226701744E-5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2.0842761380644961E-5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2.0921521534588179E-5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2.0997078272132613E-5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2.1072635009677055E-5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2.1148191747221496E-5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2.1223748484765927E-5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2.1299305222310368E-5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1.1212670124070858E-4</v>
      </c>
      <c r="C13" s="7">
        <f>$B13 * IFERROR(VLOOKUP("electricity|SO2|Non-fatal heart attacks", US_national_yearly!$D:$AM, 11, FALSE) / VLOOKUP("electricity|SO2|Non-fatal heart attacks", US_national_yearly!$D:$AM, 10, FALSE), 1)</f>
        <v>1.1542945708385282E-4</v>
      </c>
      <c r="D13" s="7">
        <f>$B13 * IFERROR(VLOOKUP("electricity|SO2|Non-fatal heart attacks", US_national_yearly!$D:$AM, 12, FALSE) / VLOOKUP("electricity|SO2|Non-fatal heart attacks", US_national_yearly!$D:$AM, 10, FALSE), 1)</f>
        <v>1.18732212926997E-4</v>
      </c>
      <c r="E13" s="7">
        <f>$B13 * IFERROR(VLOOKUP("electricity|SO2|Non-fatal heart attacks", US_national_yearly!$D:$AM, 13, FALSE) / VLOOKUP("electricity|SO2|Non-fatal heart attacks", US_national_yearly!$D:$AM, 10, FALSE), 1)</f>
        <v>1.2203496877014123E-4</v>
      </c>
      <c r="F13" s="7">
        <f>$B13 * IFERROR(VLOOKUP("electricity|SO2|Non-fatal heart attacks", US_national_yearly!$D:$AM, 14, FALSE) / VLOOKUP("electricity|SO2|Non-fatal heart attacks", US_national_yearly!$D:$AM, 10, FALSE), 1)</f>
        <v>1.2533772461328544E-4</v>
      </c>
      <c r="G13" s="7">
        <f>$B13 * IFERROR(VLOOKUP("electricity|SO2|Non-fatal heart attacks", US_national_yearly!$D:$AM, 15, FALSE) / VLOOKUP("electricity|SO2|Non-fatal heart attacks", US_national_yearly!$D:$AM, 10, FALSE), 1)</f>
        <v>1.2847213900122318E-4</v>
      </c>
      <c r="H13" s="7">
        <f>$B13 * IFERROR(VLOOKUP("electricity|SO2|Non-fatal heart attacks", US_national_yearly!$D:$AM, 16, FALSE) / VLOOKUP("electricity|SO2|Non-fatal heart attacks", US_national_yearly!$D:$AM, 10, FALSE), 1)</f>
        <v>1.3160655338916095E-4</v>
      </c>
      <c r="I13" s="7">
        <f>$B13 * IFERROR(VLOOKUP("electricity|SO2|Non-fatal heart attacks", US_national_yearly!$D:$AM, 17, FALSE) / VLOOKUP("electricity|SO2|Non-fatal heart attacks", US_national_yearly!$D:$AM, 10, FALSE), 1)</f>
        <v>1.3415917513751038E-4</v>
      </c>
      <c r="J13" s="7">
        <f>$B13 * IFERROR(VLOOKUP("electricity|SO2|Non-fatal heart attacks", US_national_yearly!$D:$AM, 18, FALSE) / VLOOKUP("electricity|SO2|Non-fatal heart attacks", US_national_yearly!$D:$AM, 10, FALSE), 1)</f>
        <v>1.3671179688585982E-4</v>
      </c>
      <c r="K13" s="7">
        <f>$B13 * IFERROR(VLOOKUP("electricity|SO2|Non-fatal heart attacks", US_national_yearly!$D:$AM, 19, FALSE) / VLOOKUP("electricity|SO2|Non-fatal heart attacks", US_national_yearly!$D:$AM, 10, FALSE), 1)</f>
        <v>1.3926441863420925E-4</v>
      </c>
      <c r="L13" s="7">
        <f>$B13 * IFERROR(VLOOKUP("electricity|SO2|Non-fatal heart attacks", US_national_yearly!$D:$AM, 20, FALSE) / VLOOKUP("electricity|SO2|Non-fatal heart attacks", US_national_yearly!$D:$AM, 10, FALSE), 1)</f>
        <v>1.4181704038255868E-4</v>
      </c>
      <c r="M13" s="7">
        <f>$B13 * IFERROR(VLOOKUP("electricity|SO2|Non-fatal heart attacks", US_national_yearly!$D:$AM, 21, FALSE) / VLOOKUP("electricity|SO2|Non-fatal heart attacks", US_national_yearly!$D:$AM, 10, FALSE), 1)</f>
        <v>1.4436966213090814E-4</v>
      </c>
      <c r="N13" s="7">
        <f>$B13 * IFERROR(VLOOKUP("electricity|SO2|Non-fatal heart attacks", US_national_yearly!$D:$AM, 22, FALSE) / VLOOKUP("electricity|SO2|Non-fatal heart attacks", US_national_yearly!$D:$AM, 10, FALSE), 1)</f>
        <v>1.460529960004782E-4</v>
      </c>
      <c r="O13" s="7">
        <f>$B13 * IFERROR(VLOOKUP("electricity|SO2|Non-fatal heart attacks", US_national_yearly!$D:$AM, 23, FALSE) / VLOOKUP("electricity|SO2|Non-fatal heart attacks", US_national_yearly!$D:$AM, 10, FALSE), 1)</f>
        <v>1.4773632987004822E-4</v>
      </c>
      <c r="P13" s="7">
        <f>$B13 * IFERROR(VLOOKUP("electricity|SO2|Non-fatal heart attacks", US_national_yearly!$D:$AM, 24, FALSE) / VLOOKUP("electricity|SO2|Non-fatal heart attacks", US_national_yearly!$D:$AM, 10, FALSE), 1)</f>
        <v>1.4941966373961825E-4</v>
      </c>
      <c r="Q13" s="7">
        <f>$B13 * IFERROR(VLOOKUP("electricity|SO2|Non-fatal heart attacks", US_national_yearly!$D:$AM, 25, FALSE) / VLOOKUP("electricity|SO2|Non-fatal heart attacks", US_national_yearly!$D:$AM, 10, FALSE), 1)</f>
        <v>1.5110299760918831E-4</v>
      </c>
      <c r="R13" s="7">
        <f>$B13 * IFERROR(VLOOKUP("electricity|SO2|Non-fatal heart attacks", US_national_yearly!$D:$AM, 26, FALSE) / VLOOKUP("electricity|SO2|Non-fatal heart attacks", US_national_yearly!$D:$AM, 10, FALSE), 1)</f>
        <v>1.5278633147875837E-4</v>
      </c>
      <c r="S13" s="7">
        <f>$B13 * IFERROR(VLOOKUP("electricity|SO2|Non-fatal heart attacks", US_national_yearly!$D:$AM, 27, FALSE) / VLOOKUP("electricity|SO2|Non-fatal heart attacks", US_national_yearly!$D:$AM, 10, FALSE), 1)</f>
        <v>1.5370236171224008E-4</v>
      </c>
      <c r="T13" s="7">
        <f>$B13 * IFERROR(VLOOKUP("electricity|SO2|Non-fatal heart attacks", US_national_yearly!$D:$AM, 28, FALSE) / VLOOKUP("electricity|SO2|Non-fatal heart attacks", US_national_yearly!$D:$AM, 10, FALSE), 1)</f>
        <v>1.5461839194572181E-4</v>
      </c>
      <c r="U13" s="7">
        <f>$B13 * IFERROR(VLOOKUP("electricity|SO2|Non-fatal heart attacks", US_national_yearly!$D:$AM, 29, FALSE) / VLOOKUP("electricity|SO2|Non-fatal heart attacks", US_national_yearly!$D:$AM, 10, FALSE), 1)</f>
        <v>1.5553442217920355E-4</v>
      </c>
      <c r="V13" s="7">
        <f>$B13 * IFERROR(VLOOKUP("electricity|SO2|Non-fatal heart attacks", US_national_yearly!$D:$AM, 30, FALSE) / VLOOKUP("electricity|SO2|Non-fatal heart attacks", US_national_yearly!$D:$AM, 10, FALSE), 1)</f>
        <v>1.5645045241268523E-4</v>
      </c>
      <c r="W13" s="7">
        <f>$B13 * IFERROR(VLOOKUP("electricity|SO2|Non-fatal heart attacks", US_national_yearly!$D:$AM, 31, FALSE) / VLOOKUP("electricity|SO2|Non-fatal heart attacks", US_national_yearly!$D:$AM, 10, FALSE), 1)</f>
        <v>1.5736648264616694E-4</v>
      </c>
      <c r="X13" s="7">
        <f>$B13 * IFERROR(VLOOKUP("electricity|SO2|Non-fatal heart attacks", US_national_yearly!$D:$AM, 32, FALSE) / VLOOKUP("electricity|SO2|Non-fatal heart attacks", US_national_yearly!$D:$AM, 10, FALSE), 1)</f>
        <v>1.5807014679299023E-4</v>
      </c>
      <c r="Y13" s="7">
        <f>$B13 * IFERROR(VLOOKUP("electricity|SO2|Non-fatal heart attacks", US_national_yearly!$D:$AM, 33, FALSE) / VLOOKUP("electricity|SO2|Non-fatal heart attacks", US_national_yearly!$D:$AM, 10, FALSE), 1)</f>
        <v>1.5877381093981353E-4</v>
      </c>
      <c r="Z13" s="7">
        <f>$B13 * IFERROR(VLOOKUP("electricity|SO2|Non-fatal heart attacks", US_national_yearly!$D:$AM, 34, FALSE) / VLOOKUP("electricity|SO2|Non-fatal heart attacks", US_national_yearly!$D:$AM, 10, FALSE), 1)</f>
        <v>1.5947747508663677E-4</v>
      </c>
      <c r="AA13" s="7">
        <f>$B13 * IFERROR(VLOOKUP("electricity|SO2|Non-fatal heart attacks", US_national_yearly!$D:$AM, 35, FALSE) / VLOOKUP("electricity|SO2|Non-fatal heart attacks", US_national_yearly!$D:$AM, 10, FALSE), 1)</f>
        <v>1.6018113923346006E-4</v>
      </c>
      <c r="AB13" s="7">
        <f>$B13 * IFERROR(VLOOKUP("electricity|SO2|Non-fatal heart attacks", US_national_yearly!$D:$AM, 36, FALSE) / VLOOKUP("electricity|SO2|Non-fatal heart attacks", US_national_yearly!$D:$AM, 10, FALSE), 1)</f>
        <v>1.6088480338028333E-4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7.5518330490883731E-2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7.5708104442802029E-2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7.5897878394720314E-2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7.6087652346638626E-2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7.6277426298556897E-2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7.6551608631190343E-2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7.682579096382379E-2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7.729603477391303E-2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7.7766278584002299E-2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7.823652239409154E-2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7.8706766204180822E-2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7.9177010014270077E-2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7.982460366627929E-2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8.0472197318288488E-2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8.11197909702977E-2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8.1767384622306913E-2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8.2414978274316125E-2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8.3078863866335478E-2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8.3742749458354845E-2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8.4406635050374185E-2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8.5070520642393552E-2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8.5734406234412905E-2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8.6318552795228057E-2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8.6902699356043181E-2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8.7486845916858319E-2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8.8070992477673457E-2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8.8655139038488595E-2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1.2738112124447117E-2</v>
      </c>
      <c r="C15" s="7">
        <f>$B15 * IFERROR(VLOOKUP("electricity|SO2|Work loss days", US_national_yearly!$D:$AM, 11, FALSE) / VLOOKUP("electricity|SO2|Work loss days", US_national_yearly!$D:$AM, 10, FALSE), 1)</f>
        <v>1.2779358516746993E-2</v>
      </c>
      <c r="D15" s="7">
        <f>$B15 * IFERROR(VLOOKUP("electricity|SO2|Work loss days", US_national_yearly!$D:$AM, 12, FALSE) / VLOOKUP("electricity|SO2|Work loss days", US_national_yearly!$D:$AM, 10, FALSE), 1)</f>
        <v>1.282060490904687E-2</v>
      </c>
      <c r="E15" s="7">
        <f>$B15 * IFERROR(VLOOKUP("electricity|SO2|Work loss days", US_national_yearly!$D:$AM, 13, FALSE) / VLOOKUP("electricity|SO2|Work loss days", US_national_yearly!$D:$AM, 10, FALSE), 1)</f>
        <v>1.2861851301346748E-2</v>
      </c>
      <c r="F15" s="7">
        <f>$B15 * IFERROR(VLOOKUP("electricity|SO2|Work loss days", US_national_yearly!$D:$AM, 14, FALSE) / VLOOKUP("electricity|SO2|Work loss days", US_national_yearly!$D:$AM, 10, FALSE), 1)</f>
        <v>1.2903097693646625E-2</v>
      </c>
      <c r="G15" s="7">
        <f>$B15 * IFERROR(VLOOKUP("electricity|SO2|Work loss days", US_national_yearly!$D:$AM, 15, FALSE) / VLOOKUP("electricity|SO2|Work loss days", US_national_yearly!$D:$AM, 10, FALSE), 1)</f>
        <v>1.2955936877972094E-2</v>
      </c>
      <c r="H15" s="7">
        <f>$B15 * IFERROR(VLOOKUP("electricity|SO2|Work loss days", US_national_yearly!$D:$AM, 16, FALSE) / VLOOKUP("electricity|SO2|Work loss days", US_national_yearly!$D:$AM, 10, FALSE), 1)</f>
        <v>1.3008776062297563E-2</v>
      </c>
      <c r="I15" s="7">
        <f>$B15 * IFERROR(VLOOKUP("electricity|SO2|Work loss days", US_national_yearly!$D:$AM, 17, FALSE) / VLOOKUP("electricity|SO2|Work loss days", US_national_yearly!$D:$AM, 10, FALSE), 1)</f>
        <v>1.3086086004389246E-2</v>
      </c>
      <c r="J15" s="7">
        <f>$B15 * IFERROR(VLOOKUP("electricity|SO2|Work loss days", US_national_yearly!$D:$AM, 18, FALSE) / VLOOKUP("electricity|SO2|Work loss days", US_national_yearly!$D:$AM, 10, FALSE), 1)</f>
        <v>1.3163395946480928E-2</v>
      </c>
      <c r="K15" s="7">
        <f>$B15 * IFERROR(VLOOKUP("electricity|SO2|Work loss days", US_national_yearly!$D:$AM, 19, FALSE) / VLOOKUP("electricity|SO2|Work loss days", US_national_yearly!$D:$AM, 10, FALSE), 1)</f>
        <v>1.3240705888572613E-2</v>
      </c>
      <c r="L15" s="7">
        <f>$B15 * IFERROR(VLOOKUP("electricity|SO2|Work loss days", US_national_yearly!$D:$AM, 20, FALSE) / VLOOKUP("electricity|SO2|Work loss days", US_national_yearly!$D:$AM, 10, FALSE), 1)</f>
        <v>1.3318015830664295E-2</v>
      </c>
      <c r="M15" s="7">
        <f>$B15 * IFERROR(VLOOKUP("electricity|SO2|Work loss days", US_national_yearly!$D:$AM, 21, FALSE) / VLOOKUP("electricity|SO2|Work loss days", US_national_yearly!$D:$AM, 10, FALSE), 1)</f>
        <v>1.3395325772755982E-2</v>
      </c>
      <c r="N15" s="7">
        <f>$B15 * IFERROR(VLOOKUP("electricity|SO2|Work loss days", US_national_yearly!$D:$AM, 22, FALSE) / VLOOKUP("electricity|SO2|Work loss days", US_national_yearly!$D:$AM, 10, FALSE), 1)</f>
        <v>1.3493142076039329E-2</v>
      </c>
      <c r="O15" s="7">
        <f>$B15 * IFERROR(VLOOKUP("electricity|SO2|Work loss days", US_national_yearly!$D:$AM, 23, FALSE) / VLOOKUP("electricity|SO2|Work loss days", US_national_yearly!$D:$AM, 10, FALSE), 1)</f>
        <v>1.3590958379322678E-2</v>
      </c>
      <c r="P15" s="7">
        <f>$B15 * IFERROR(VLOOKUP("electricity|SO2|Work loss days", US_national_yearly!$D:$AM, 24, FALSE) / VLOOKUP("electricity|SO2|Work loss days", US_national_yearly!$D:$AM, 10, FALSE), 1)</f>
        <v>1.3688774682606028E-2</v>
      </c>
      <c r="Q15" s="7">
        <f>$B15 * IFERROR(VLOOKUP("electricity|SO2|Work loss days", US_national_yearly!$D:$AM, 25, FALSE) / VLOOKUP("electricity|SO2|Work loss days", US_national_yearly!$D:$AM, 10, FALSE), 1)</f>
        <v>1.3786590985889375E-2</v>
      </c>
      <c r="R15" s="7">
        <f>$B15 * IFERROR(VLOOKUP("electricity|SO2|Work loss days", US_national_yearly!$D:$AM, 26, FALSE) / VLOOKUP("electricity|SO2|Work loss days", US_national_yearly!$D:$AM, 10, FALSE), 1)</f>
        <v>1.3884407289172725E-2</v>
      </c>
      <c r="S15" s="7">
        <f>$B15 * IFERROR(VLOOKUP("electricity|SO2|Work loss days", US_national_yearly!$D:$AM, 27, FALSE) / VLOOKUP("electricity|SO2|Work loss days", US_national_yearly!$D:$AM, 10, FALSE), 1)</f>
        <v>1.3994068493083524E-2</v>
      </c>
      <c r="T15" s="7">
        <f>$B15 * IFERROR(VLOOKUP("electricity|SO2|Work loss days", US_national_yearly!$D:$AM, 28, FALSE) / VLOOKUP("electricity|SO2|Work loss days", US_national_yearly!$D:$AM, 10, FALSE), 1)</f>
        <v>1.4103729696994326E-2</v>
      </c>
      <c r="U15" s="7">
        <f>$B15 * IFERROR(VLOOKUP("electricity|SO2|Work loss days", US_national_yearly!$D:$AM, 29, FALSE) / VLOOKUP("electricity|SO2|Work loss days", US_national_yearly!$D:$AM, 10, FALSE), 1)</f>
        <v>1.4213390900905126E-2</v>
      </c>
      <c r="V15" s="7">
        <f>$B15 * IFERROR(VLOOKUP("electricity|SO2|Work loss days", US_national_yearly!$D:$AM, 30, FALSE) / VLOOKUP("electricity|SO2|Work loss days", US_national_yearly!$D:$AM, 10, FALSE), 1)</f>
        <v>1.4323052104815928E-2</v>
      </c>
      <c r="W15" s="7">
        <f>$B15 * IFERROR(VLOOKUP("electricity|SO2|Work loss days", US_national_yearly!$D:$AM, 31, FALSE) / VLOOKUP("electricity|SO2|Work loss days", US_national_yearly!$D:$AM, 10, FALSE), 1)</f>
        <v>1.443271330872673E-2</v>
      </c>
      <c r="X15" s="7">
        <f>$B15 * IFERROR(VLOOKUP("electricity|SO2|Work loss days", US_national_yearly!$D:$AM, 32, FALSE) / VLOOKUP("electricity|SO2|Work loss days", US_national_yearly!$D:$AM, 10, FALSE), 1)</f>
        <v>1.4531507207313181E-2</v>
      </c>
      <c r="Y15" s="7">
        <f>$B15 * IFERROR(VLOOKUP("electricity|SO2|Work loss days", US_national_yearly!$D:$AM, 33, FALSE) / VLOOKUP("electricity|SO2|Work loss days", US_national_yearly!$D:$AM, 10, FALSE), 1)</f>
        <v>1.4630301105899631E-2</v>
      </c>
      <c r="Z15" s="7">
        <f>$B15 * IFERROR(VLOOKUP("electricity|SO2|Work loss days", US_national_yearly!$D:$AM, 34, FALSE) / VLOOKUP("electricity|SO2|Work loss days", US_national_yearly!$D:$AM, 10, FALSE), 1)</f>
        <v>1.4729095004486079E-2</v>
      </c>
      <c r="AA15" s="7">
        <f>$B15 * IFERROR(VLOOKUP("electricity|SO2|Work loss days", US_national_yearly!$D:$AM, 35, FALSE) / VLOOKUP("electricity|SO2|Work loss days", US_national_yearly!$D:$AM, 10, FALSE), 1)</f>
        <v>1.4827888903072531E-2</v>
      </c>
      <c r="AB15" s="7">
        <f>$B15 * IFERROR(VLOOKUP("electricity|SO2|Work loss days", US_national_yearly!$D:$AM, 36, FALSE) / VLOOKUP("electricity|SO2|Work loss days", US_national_yearly!$D:$AM, 10, FALSE), 1)</f>
        <v>1.4926682801658982E-2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2.8197022842526825E-5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2.9051471017359956E-5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2.9905919192193087E-5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3.0760367367026221E-5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3.1614815541859352E-5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3.2438449135636665E-5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3.3262082729413985E-5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3.3975135721647705E-5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3.4688188713881426E-5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3.5401241706115147E-5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3.6114294698348861E-5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3.6827347690582581E-5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3.7314004456699843E-5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3.7800661222817091E-5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3.8287317988934359E-5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3.8773974755051607E-5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3.9260631521168869E-5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3.9527425675598607E-5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3.9794219830028339E-5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4.006101398445807E-5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4.0327808138887802E-5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4.0594602293317533E-5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4.0778767048837012E-5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4.0962931804356485E-5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4.1147096559875958E-5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4.133126131539543E-5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4.1515426070914903E-5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2.2322971106818686E-2</v>
      </c>
      <c r="C2" s="7">
        <f>$B2 * IFERROR(VLOOKUP("buildings|PM25|Premature mortality", US_national_yearly!$D:$AM, 11, FALSE) / VLOOKUP("buildings|PM25|Premature mortality", US_national_yearly!$D:$AM, 10, FALSE), 1)</f>
        <v>2.2599927486146507E-2</v>
      </c>
      <c r="D2" s="7">
        <f>$B2 * IFERROR(VLOOKUP("buildings|PM25|Premature mortality", US_national_yearly!$D:$AM, 12, FALSE) / VLOOKUP("buildings|PM25|Premature mortality", US_national_yearly!$D:$AM, 10, FALSE), 1)</f>
        <v>2.2876883865474328E-2</v>
      </c>
      <c r="E2" s="7">
        <f>$B2 * IFERROR(VLOOKUP("buildings|PM25|Premature mortality", US_national_yearly!$D:$AM, 13, FALSE) / VLOOKUP("buildings|PM25|Premature mortality", US_national_yearly!$D:$AM, 10, FALSE), 1)</f>
        <v>2.3153840244802149E-2</v>
      </c>
      <c r="F2" s="7">
        <f>$B2 * IFERROR(VLOOKUP("buildings|PM25|Premature mortality", US_national_yearly!$D:$AM, 14, FALSE) / VLOOKUP("buildings|PM25|Premature mortality", US_national_yearly!$D:$AM, 10, FALSE), 1)</f>
        <v>2.343079662412997E-2</v>
      </c>
      <c r="G2" s="7">
        <f>$B2 * IFERROR(VLOOKUP("buildings|PM25|Premature mortality", US_national_yearly!$D:$AM, 15, FALSE) / VLOOKUP("buildings|PM25|Premature mortality", US_national_yearly!$D:$AM, 10, FALSE), 1)</f>
        <v>2.3970087490424195E-2</v>
      </c>
      <c r="H2" s="7">
        <f>$B2 * IFERROR(VLOOKUP("buildings|PM25|Premature mortality", US_national_yearly!$D:$AM, 16, FALSE) / VLOOKUP("buildings|PM25|Premature mortality", US_national_yearly!$D:$AM, 10, FALSE), 1)</f>
        <v>2.4509378356718424E-2</v>
      </c>
      <c r="I2" s="7">
        <f>$B2 * IFERROR(VLOOKUP("buildings|PM25|Premature mortality", US_national_yearly!$D:$AM, 17, FALSE) / VLOOKUP("buildings|PM25|Premature mortality", US_national_yearly!$D:$AM, 10, FALSE), 1)</f>
        <v>2.4864060670715088E-2</v>
      </c>
      <c r="J2" s="7">
        <f>$B2 * IFERROR(VLOOKUP("buildings|PM25|Premature mortality", US_national_yearly!$D:$AM, 18, FALSE) / VLOOKUP("buildings|PM25|Premature mortality", US_national_yearly!$D:$AM, 10, FALSE), 1)</f>
        <v>2.5218742984711755E-2</v>
      </c>
      <c r="K2" s="7">
        <f>$B2 * IFERROR(VLOOKUP("buildings|PM25|Premature mortality", US_national_yearly!$D:$AM, 19, FALSE) / VLOOKUP("buildings|PM25|Premature mortality", US_national_yearly!$D:$AM, 10, FALSE), 1)</f>
        <v>2.5573425298708423E-2</v>
      </c>
      <c r="L2" s="7">
        <f>$B2 * IFERROR(VLOOKUP("buildings|PM25|Premature mortality", US_national_yearly!$D:$AM, 20, FALSE) / VLOOKUP("buildings|PM25|Premature mortality", US_national_yearly!$D:$AM, 10, FALSE), 1)</f>
        <v>2.592810761270509E-2</v>
      </c>
      <c r="M2" s="7">
        <f>$B2 * IFERROR(VLOOKUP("buildings|PM25|Premature mortality", US_national_yearly!$D:$AM, 21, FALSE) / VLOOKUP("buildings|PM25|Premature mortality", US_national_yearly!$D:$AM, 10, FALSE), 1)</f>
        <v>2.6282789926701758E-2</v>
      </c>
      <c r="N2" s="7">
        <f>$B2 * IFERROR(VLOOKUP("buildings|PM25|Premature mortality", US_national_yearly!$D:$AM, 22, FALSE) / VLOOKUP("buildings|PM25|Premature mortality", US_national_yearly!$D:$AM, 10, FALSE), 1)</f>
        <v>2.6558594845869293E-2</v>
      </c>
      <c r="O2" s="7">
        <f>$B2 * IFERROR(VLOOKUP("buildings|PM25|Premature mortality", US_national_yearly!$D:$AM, 23, FALSE) / VLOOKUP("buildings|PM25|Premature mortality", US_national_yearly!$D:$AM, 10, FALSE), 1)</f>
        <v>2.6834399765036831E-2</v>
      </c>
      <c r="P2" s="7">
        <f>$B2 * IFERROR(VLOOKUP("buildings|PM25|Premature mortality", US_national_yearly!$D:$AM, 24, FALSE) / VLOOKUP("buildings|PM25|Premature mortality", US_national_yearly!$D:$AM, 10, FALSE), 1)</f>
        <v>2.7110204684204366E-2</v>
      </c>
      <c r="Q2" s="7">
        <f>$B2 * IFERROR(VLOOKUP("buildings|PM25|Premature mortality", US_national_yearly!$D:$AM, 25, FALSE) / VLOOKUP("buildings|PM25|Premature mortality", US_national_yearly!$D:$AM, 10, FALSE), 1)</f>
        <v>2.7386009603371907E-2</v>
      </c>
      <c r="R2" s="7">
        <f>$B2 * IFERROR(VLOOKUP("buildings|PM25|Premature mortality", US_national_yearly!$D:$AM, 26, FALSE) / VLOOKUP("buildings|PM25|Premature mortality", US_national_yearly!$D:$AM, 10, FALSE), 1)</f>
        <v>2.7661814522539442E-2</v>
      </c>
      <c r="S2" s="7">
        <f>$B2 * IFERROR(VLOOKUP("buildings|PM25|Premature mortality", US_national_yearly!$D:$AM, 27, FALSE) / VLOOKUP("buildings|PM25|Premature mortality", US_national_yearly!$D:$AM, 10, FALSE), 1)</f>
        <v>2.7808407576613535E-2</v>
      </c>
      <c r="T2" s="7">
        <f>$B2 * IFERROR(VLOOKUP("buildings|PM25|Premature mortality", US_national_yearly!$D:$AM, 28, FALSE) / VLOOKUP("buildings|PM25|Premature mortality", US_national_yearly!$D:$AM, 10, FALSE), 1)</f>
        <v>2.7955000630687635E-2</v>
      </c>
      <c r="U2" s="7">
        <f>$B2 * IFERROR(VLOOKUP("buildings|PM25|Premature mortality", US_national_yearly!$D:$AM, 29, FALSE) / VLOOKUP("buildings|PM25|Premature mortality", US_national_yearly!$D:$AM, 10, FALSE), 1)</f>
        <v>2.8101593684761731E-2</v>
      </c>
      <c r="V2" s="7">
        <f>$B2 * IFERROR(VLOOKUP("buildings|PM25|Premature mortality", US_national_yearly!$D:$AM, 30, FALSE) / VLOOKUP("buildings|PM25|Premature mortality", US_national_yearly!$D:$AM, 10, FALSE), 1)</f>
        <v>2.8248186738835831E-2</v>
      </c>
      <c r="W2" s="7">
        <f>$B2 * IFERROR(VLOOKUP("buildings|PM25|Premature mortality", US_national_yearly!$D:$AM, 31, FALSE) / VLOOKUP("buildings|PM25|Premature mortality", US_national_yearly!$D:$AM, 10, FALSE), 1)</f>
        <v>2.8394779792909924E-2</v>
      </c>
      <c r="X2" s="7">
        <f>$B2 * IFERROR(VLOOKUP("buildings|PM25|Premature mortality", US_national_yearly!$D:$AM, 32, FALSE) / VLOOKUP("buildings|PM25|Premature mortality", US_national_yearly!$D:$AM, 10, FALSE), 1)</f>
        <v>2.8421092069242954E-2</v>
      </c>
      <c r="Y2" s="7">
        <f>$B2 * IFERROR(VLOOKUP("buildings|PM25|Premature mortality", US_national_yearly!$D:$AM, 33, FALSE) / VLOOKUP("buildings|PM25|Premature mortality", US_national_yearly!$D:$AM, 10, FALSE), 1)</f>
        <v>2.8447404345575977E-2</v>
      </c>
      <c r="Z2" s="7">
        <f>$B2 * IFERROR(VLOOKUP("buildings|PM25|Premature mortality", US_national_yearly!$D:$AM, 34, FALSE) / VLOOKUP("buildings|PM25|Premature mortality", US_national_yearly!$D:$AM, 10, FALSE), 1)</f>
        <v>2.8473716621909007E-2</v>
      </c>
      <c r="AA2" s="7">
        <f>$B2 * IFERROR(VLOOKUP("buildings|PM25|Premature mortality", US_national_yearly!$D:$AM, 35, FALSE) / VLOOKUP("buildings|PM25|Premature mortality", US_national_yearly!$D:$AM, 10, FALSE), 1)</f>
        <v>2.8500028898242036E-2</v>
      </c>
      <c r="AB2" s="7">
        <f>$B2 * IFERROR(VLOOKUP("buildings|PM25|Premature mortality", US_national_yearly!$D:$AM, 36, FALSE) / VLOOKUP("buildings|PM25|Premature mortality", US_national_yearly!$D:$AM, 10, FALSE), 1)</f>
        <v>2.8526341174575063E-2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6.9682682527982308E-5</v>
      </c>
      <c r="C3" s="7">
        <f>$B3 * IFERROR(VLOOKUP("buildings|PM25|Infant mortality", US_national_yearly!$D:$AM, 11, FALSE) / VLOOKUP("buildings|PM25|Infant mortality", US_national_yearly!$D:$AM, 10, FALSE), 1)</f>
        <v>6.9079117774975096E-5</v>
      </c>
      <c r="D3" s="7">
        <f>$B3 * IFERROR(VLOOKUP("buildings|PM25|Infant mortality", US_national_yearly!$D:$AM, 12, FALSE) / VLOOKUP("buildings|PM25|Infant mortality", US_national_yearly!$D:$AM, 10, FALSE), 1)</f>
        <v>6.8475553021967871E-5</v>
      </c>
      <c r="E3" s="7">
        <f>$B3 * IFERROR(VLOOKUP("buildings|PM25|Infant mortality", US_national_yearly!$D:$AM, 13, FALSE) / VLOOKUP("buildings|PM25|Infant mortality", US_national_yearly!$D:$AM, 10, FALSE), 1)</f>
        <v>6.7871988268960659E-5</v>
      </c>
      <c r="F3" s="7">
        <f>$B3 * IFERROR(VLOOKUP("buildings|PM25|Infant mortality", US_national_yearly!$D:$AM, 14, FALSE) / VLOOKUP("buildings|PM25|Infant mortality", US_national_yearly!$D:$AM, 10, FALSE), 1)</f>
        <v>6.7268423515953448E-5</v>
      </c>
      <c r="G3" s="7">
        <f>$B3 * IFERROR(VLOOKUP("buildings|PM25|Infant mortality", US_national_yearly!$D:$AM, 15, FALSE) / VLOOKUP("buildings|PM25|Infant mortality", US_national_yearly!$D:$AM, 10, FALSE), 1)</f>
        <v>4.4731061195185389E-5</v>
      </c>
      <c r="H3" s="7">
        <f>$B3 * IFERROR(VLOOKUP("buildings|PM25|Infant mortality", US_national_yearly!$D:$AM, 16, FALSE) / VLOOKUP("buildings|PM25|Infant mortality", US_national_yearly!$D:$AM, 10, FALSE), 1)</f>
        <v>2.2193698874417335E-5</v>
      </c>
      <c r="I3" s="7">
        <f>$B3 * IFERROR(VLOOKUP("buildings|PM25|Infant mortality", US_national_yearly!$D:$AM, 17, FALSE) / VLOOKUP("buildings|PM25|Infant mortality", US_national_yearly!$D:$AM, 10, FALSE), 1)</f>
        <v>2.2049075730102997E-5</v>
      </c>
      <c r="J3" s="7">
        <f>$B3 * IFERROR(VLOOKUP("buildings|PM25|Infant mortality", US_national_yearly!$D:$AM, 18, FALSE) / VLOOKUP("buildings|PM25|Infant mortality", US_national_yearly!$D:$AM, 10, FALSE), 1)</f>
        <v>2.1904452585788656E-5</v>
      </c>
      <c r="K3" s="7">
        <f>$B3 * IFERROR(VLOOKUP("buildings|PM25|Infant mortality", US_national_yearly!$D:$AM, 19, FALSE) / VLOOKUP("buildings|PM25|Infant mortality", US_national_yearly!$D:$AM, 10, FALSE), 1)</f>
        <v>2.1759829441474315E-5</v>
      </c>
      <c r="L3" s="7">
        <f>$B3 * IFERROR(VLOOKUP("buildings|PM25|Infant mortality", US_national_yearly!$D:$AM, 20, FALSE) / VLOOKUP("buildings|PM25|Infant mortality", US_national_yearly!$D:$AM, 10, FALSE), 1)</f>
        <v>2.1615206297159974E-5</v>
      </c>
      <c r="M3" s="7">
        <f>$B3 * IFERROR(VLOOKUP("buildings|PM25|Infant mortality", US_national_yearly!$D:$AM, 21, FALSE) / VLOOKUP("buildings|PM25|Infant mortality", US_national_yearly!$D:$AM, 10, FALSE), 1)</f>
        <v>2.1470583152845636E-5</v>
      </c>
      <c r="N3" s="7">
        <f>$B3 * IFERROR(VLOOKUP("buildings|PM25|Infant mortality", US_national_yearly!$D:$AM, 22, FALSE) / VLOOKUP("buildings|PM25|Infant mortality", US_national_yearly!$D:$AM, 10, FALSE), 1)</f>
        <v>2.1380093072116903E-5</v>
      </c>
      <c r="O3" s="7">
        <f>$B3 * IFERROR(VLOOKUP("buildings|PM25|Infant mortality", US_national_yearly!$D:$AM, 23, FALSE) / VLOOKUP("buildings|PM25|Infant mortality", US_national_yearly!$D:$AM, 10, FALSE), 1)</f>
        <v>2.128960299138817E-5</v>
      </c>
      <c r="P3" s="7">
        <f>$B3 * IFERROR(VLOOKUP("buildings|PM25|Infant mortality", US_national_yearly!$D:$AM, 24, FALSE) / VLOOKUP("buildings|PM25|Infant mortality", US_national_yearly!$D:$AM, 10, FALSE), 1)</f>
        <v>2.1199112910659441E-5</v>
      </c>
      <c r="Q3" s="7">
        <f>$B3 * IFERROR(VLOOKUP("buildings|PM25|Infant mortality", US_national_yearly!$D:$AM, 25, FALSE) / VLOOKUP("buildings|PM25|Infant mortality", US_national_yearly!$D:$AM, 10, FALSE), 1)</f>
        <v>2.1108622829930708E-5</v>
      </c>
      <c r="R3" s="7">
        <f>$B3 * IFERROR(VLOOKUP("buildings|PM25|Infant mortality", US_national_yearly!$D:$AM, 26, FALSE) / VLOOKUP("buildings|PM25|Infant mortality", US_national_yearly!$D:$AM, 10, FALSE), 1)</f>
        <v>2.1018132749201979E-5</v>
      </c>
      <c r="S3" s="7">
        <f>$B3 * IFERROR(VLOOKUP("buildings|PM25|Infant mortality", US_national_yearly!$D:$AM, 27, FALSE) / VLOOKUP("buildings|PM25|Infant mortality", US_national_yearly!$D:$AM, 10, FALSE), 1)</f>
        <v>2.0905149661080574E-5</v>
      </c>
      <c r="T3" s="7">
        <f>$B3 * IFERROR(VLOOKUP("buildings|PM25|Infant mortality", US_national_yearly!$D:$AM, 28, FALSE) / VLOOKUP("buildings|PM25|Infant mortality", US_national_yearly!$D:$AM, 10, FALSE), 1)</f>
        <v>2.0792166572959175E-5</v>
      </c>
      <c r="U3" s="7">
        <f>$B3 * IFERROR(VLOOKUP("buildings|PM25|Infant mortality", US_national_yearly!$D:$AM, 29, FALSE) / VLOOKUP("buildings|PM25|Infant mortality", US_national_yearly!$D:$AM, 10, FALSE), 1)</f>
        <v>2.0679183484837766E-5</v>
      </c>
      <c r="V3" s="7">
        <f>$B3 * IFERROR(VLOOKUP("buildings|PM25|Infant mortality", US_national_yearly!$D:$AM, 30, FALSE) / VLOOKUP("buildings|PM25|Infant mortality", US_national_yearly!$D:$AM, 10, FALSE), 1)</f>
        <v>2.0566200396716368E-5</v>
      </c>
      <c r="W3" s="7">
        <f>$B3 * IFERROR(VLOOKUP("buildings|PM25|Infant mortality", US_national_yearly!$D:$AM, 31, FALSE) / VLOOKUP("buildings|PM25|Infant mortality", US_national_yearly!$D:$AM, 10, FALSE), 1)</f>
        <v>2.0453217308594963E-5</v>
      </c>
      <c r="X3" s="7">
        <f>$B3 * IFERROR(VLOOKUP("buildings|PM25|Infant mortality", US_national_yearly!$D:$AM, 32, FALSE) / VLOOKUP("buildings|PM25|Infant mortality", US_national_yearly!$D:$AM, 10, FALSE), 1)</f>
        <v>2.0331576467226601E-5</v>
      </c>
      <c r="Y3" s="7">
        <f>$B3 * IFERROR(VLOOKUP("buildings|PM25|Infant mortality", US_national_yearly!$D:$AM, 33, FALSE) / VLOOKUP("buildings|PM25|Infant mortality", US_national_yearly!$D:$AM, 10, FALSE), 1)</f>
        <v>2.0209935625858242E-5</v>
      </c>
      <c r="Z3" s="7">
        <f>$B3 * IFERROR(VLOOKUP("buildings|PM25|Infant mortality", US_national_yearly!$D:$AM, 34, FALSE) / VLOOKUP("buildings|PM25|Infant mortality", US_national_yearly!$D:$AM, 10, FALSE), 1)</f>
        <v>2.008829478448988E-5</v>
      </c>
      <c r="AA3" s="7">
        <f>$B3 * IFERROR(VLOOKUP("buildings|PM25|Infant mortality", US_national_yearly!$D:$AM, 35, FALSE) / VLOOKUP("buildings|PM25|Infant mortality", US_national_yearly!$D:$AM, 10, FALSE), 1)</f>
        <v>1.9966653943121518E-5</v>
      </c>
      <c r="AB3" s="7">
        <f>$B3 * IFERROR(VLOOKUP("buildings|PM25|Infant mortality", US_national_yearly!$D:$AM, 36, FALSE) / VLOOKUP("buildings|PM25|Infant mortality", US_national_yearly!$D:$AM, 10, FALSE), 1)</f>
        <v>1.9845013101753159E-5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5.9106491823365942E-2</v>
      </c>
      <c r="C6" s="7">
        <f>$B6 * IFERROR(VLOOKUP("buildings|PM25|Asthma symptoms cough", US_national_yearly!$D:$AM, 11, FALSE) / VLOOKUP("buildings|PM25|Asthma symptoms cough", US_national_yearly!$D:$AM, 10, FALSE), 1)</f>
        <v>5.9106491823365942E-2</v>
      </c>
      <c r="D6" s="7">
        <f>$B6 * IFERROR(VLOOKUP("buildings|PM25|Asthma symptoms cough", US_national_yearly!$D:$AM, 12, FALSE) / VLOOKUP("buildings|PM25|Asthma symptoms cough", US_national_yearly!$D:$AM, 10, FALSE), 1)</f>
        <v>5.9106491823365942E-2</v>
      </c>
      <c r="E6" s="7">
        <f>$B6 * IFERROR(VLOOKUP("buildings|PM25|Asthma symptoms cough", US_national_yearly!$D:$AM, 13, FALSE) / VLOOKUP("buildings|PM25|Asthma symptoms cough", US_national_yearly!$D:$AM, 10, FALSE), 1)</f>
        <v>5.9106491823365942E-2</v>
      </c>
      <c r="F6" s="7">
        <f>$B6 * IFERROR(VLOOKUP("buildings|PM25|Asthma symptoms cough", US_national_yearly!$D:$AM, 14, FALSE) / VLOOKUP("buildings|PM25|Asthma symptoms cough", US_national_yearly!$D:$AM, 10, FALSE), 1)</f>
        <v>5.9106491823365942E-2</v>
      </c>
      <c r="G6" s="7">
        <f>$B6 * IFERROR(VLOOKUP("buildings|PM25|Asthma symptoms cough", US_national_yearly!$D:$AM, 15, FALSE) / VLOOKUP("buildings|PM25|Asthma symptoms cough", US_national_yearly!$D:$AM, 10, FALSE), 1)</f>
        <v>5.9106491823365942E-2</v>
      </c>
      <c r="H6" s="7">
        <f>$B6 * IFERROR(VLOOKUP("buildings|PM25|Asthma symptoms cough", US_national_yearly!$D:$AM, 16, FALSE) / VLOOKUP("buildings|PM25|Asthma symptoms cough", US_national_yearly!$D:$AM, 10, FALSE), 1)</f>
        <v>5.9106491823365942E-2</v>
      </c>
      <c r="I6" s="7">
        <f>$B6 * IFERROR(VLOOKUP("buildings|PM25|Asthma symptoms cough", US_national_yearly!$D:$AM, 17, FALSE) / VLOOKUP("buildings|PM25|Asthma symptoms cough", US_national_yearly!$D:$AM, 10, FALSE), 1)</f>
        <v>5.9106491823365942E-2</v>
      </c>
      <c r="J6" s="7">
        <f>$B6 * IFERROR(VLOOKUP("buildings|PM25|Asthma symptoms cough", US_national_yearly!$D:$AM, 18, FALSE) / VLOOKUP("buildings|PM25|Asthma symptoms cough", US_national_yearly!$D:$AM, 10, FALSE), 1)</f>
        <v>5.9106491823365942E-2</v>
      </c>
      <c r="K6" s="7">
        <f>$B6 * IFERROR(VLOOKUP("buildings|PM25|Asthma symptoms cough", US_national_yearly!$D:$AM, 19, FALSE) / VLOOKUP("buildings|PM25|Asthma symptoms cough", US_national_yearly!$D:$AM, 10, FALSE), 1)</f>
        <v>5.9106491823365942E-2</v>
      </c>
      <c r="L6" s="7">
        <f>$B6 * IFERROR(VLOOKUP("buildings|PM25|Asthma symptoms cough", US_national_yearly!$D:$AM, 20, FALSE) / VLOOKUP("buildings|PM25|Asthma symptoms cough", US_national_yearly!$D:$AM, 10, FALSE), 1)</f>
        <v>5.9106491823365942E-2</v>
      </c>
      <c r="M6" s="7">
        <f>$B6 * IFERROR(VLOOKUP("buildings|PM25|Asthma symptoms cough", US_national_yearly!$D:$AM, 21, FALSE) / VLOOKUP("buildings|PM25|Asthma symptoms cough", US_national_yearly!$D:$AM, 10, FALSE), 1)</f>
        <v>5.9106491823365942E-2</v>
      </c>
      <c r="N6" s="7">
        <f>$B6 * IFERROR(VLOOKUP("buildings|PM25|Asthma symptoms cough", US_national_yearly!$D:$AM, 22, FALSE) / VLOOKUP("buildings|PM25|Asthma symptoms cough", US_national_yearly!$D:$AM, 10, FALSE), 1)</f>
        <v>5.9106491823365942E-2</v>
      </c>
      <c r="O6" s="7">
        <f>$B6 * IFERROR(VLOOKUP("buildings|PM25|Asthma symptoms cough", US_national_yearly!$D:$AM, 23, FALSE) / VLOOKUP("buildings|PM25|Asthma symptoms cough", US_national_yearly!$D:$AM, 10, FALSE), 1)</f>
        <v>5.9106491823365942E-2</v>
      </c>
      <c r="P6" s="7">
        <f>$B6 * IFERROR(VLOOKUP("buildings|PM25|Asthma symptoms cough", US_national_yearly!$D:$AM, 24, FALSE) / VLOOKUP("buildings|PM25|Asthma symptoms cough", US_national_yearly!$D:$AM, 10, FALSE), 1)</f>
        <v>5.9106491823365942E-2</v>
      </c>
      <c r="Q6" s="7">
        <f>$B6 * IFERROR(VLOOKUP("buildings|PM25|Asthma symptoms cough", US_national_yearly!$D:$AM, 25, FALSE) / VLOOKUP("buildings|PM25|Asthma symptoms cough", US_national_yearly!$D:$AM, 10, FALSE), 1)</f>
        <v>5.9106491823365942E-2</v>
      </c>
      <c r="R6" s="7">
        <f>$B6 * IFERROR(VLOOKUP("buildings|PM25|Asthma symptoms cough", US_national_yearly!$D:$AM, 26, FALSE) / VLOOKUP("buildings|PM25|Asthma symptoms cough", US_national_yearly!$D:$AM, 10, FALSE), 1)</f>
        <v>5.9106491823365942E-2</v>
      </c>
      <c r="S6" s="7">
        <f>$B6 * IFERROR(VLOOKUP("buildings|PM25|Asthma symptoms cough", US_national_yearly!$D:$AM, 27, FALSE) / VLOOKUP("buildings|PM25|Asthma symptoms cough", US_national_yearly!$D:$AM, 10, FALSE), 1)</f>
        <v>5.9106491823365942E-2</v>
      </c>
      <c r="T6" s="7">
        <f>$B6 * IFERROR(VLOOKUP("buildings|PM25|Asthma symptoms cough", US_national_yearly!$D:$AM, 28, FALSE) / VLOOKUP("buildings|PM25|Asthma symptoms cough", US_national_yearly!$D:$AM, 10, FALSE), 1)</f>
        <v>5.9106491823365942E-2</v>
      </c>
      <c r="U6" s="7">
        <f>$B6 * IFERROR(VLOOKUP("buildings|PM25|Asthma symptoms cough", US_national_yearly!$D:$AM, 29, FALSE) / VLOOKUP("buildings|PM25|Asthma symptoms cough", US_national_yearly!$D:$AM, 10, FALSE), 1)</f>
        <v>5.9106491823365942E-2</v>
      </c>
      <c r="V6" s="7">
        <f>$B6 * IFERROR(VLOOKUP("buildings|PM25|Asthma symptoms cough", US_national_yearly!$D:$AM, 30, FALSE) / VLOOKUP("buildings|PM25|Asthma symptoms cough", US_national_yearly!$D:$AM, 10, FALSE), 1)</f>
        <v>5.9106491823365942E-2</v>
      </c>
      <c r="W6" s="7">
        <f>$B6 * IFERROR(VLOOKUP("buildings|PM25|Asthma symptoms cough", US_national_yearly!$D:$AM, 31, FALSE) / VLOOKUP("buildings|PM25|Asthma symptoms cough", US_national_yearly!$D:$AM, 10, FALSE), 1)</f>
        <v>5.9106491823365942E-2</v>
      </c>
      <c r="X6" s="7">
        <f>$B6 * IFERROR(VLOOKUP("buildings|PM25|Asthma symptoms cough", US_national_yearly!$D:$AM, 32, FALSE) / VLOOKUP("buildings|PM25|Asthma symptoms cough", US_national_yearly!$D:$AM, 10, FALSE), 1)</f>
        <v>5.9106491823365942E-2</v>
      </c>
      <c r="Y6" s="7">
        <f>$B6 * IFERROR(VLOOKUP("buildings|PM25|Asthma symptoms cough", US_national_yearly!$D:$AM, 33, FALSE) / VLOOKUP("buildings|PM25|Asthma symptoms cough", US_national_yearly!$D:$AM, 10, FALSE), 1)</f>
        <v>5.9106491823365942E-2</v>
      </c>
      <c r="Z6" s="7">
        <f>$B6 * IFERROR(VLOOKUP("buildings|PM25|Asthma symptoms cough", US_national_yearly!$D:$AM, 34, FALSE) / VLOOKUP("buildings|PM25|Asthma symptoms cough", US_national_yearly!$D:$AM, 10, FALSE), 1)</f>
        <v>5.9106491823365942E-2</v>
      </c>
      <c r="AA6" s="7">
        <f>$B6 * IFERROR(VLOOKUP("buildings|PM25|Asthma symptoms cough", US_national_yearly!$D:$AM, 35, FALSE) / VLOOKUP("buildings|PM25|Asthma symptoms cough", US_national_yearly!$D:$AM, 10, FALSE), 1)</f>
        <v>5.9106491823365942E-2</v>
      </c>
      <c r="AB6" s="7">
        <f>$B6 * IFERROR(VLOOKUP("buildings|PM25|Asthma symptoms cough", US_national_yearly!$D:$AM, 36, FALSE) / VLOOKUP("buildings|PM25|Asthma symptoms cough", US_national_yearly!$D:$AM, 10, FALSE), 1)</f>
        <v>5.9106491823365942E-2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7.9595500574556402E-2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7.9595500574556402E-2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7.9595500574556402E-2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7.9595500574556402E-2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7.9595500574556402E-2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7.9595500574556402E-2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7.9595500574556402E-2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7.9595500574556402E-2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7.9595500574556402E-2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7.9595500574556402E-2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7.9595500574556402E-2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7.9595500574556402E-2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7.9595500574556402E-2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7.9595500574556402E-2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7.9595500574556402E-2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7.9595500574556402E-2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7.9595500574556402E-2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7.9595500574556402E-2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7.9595500574556402E-2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7.9595500574556402E-2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7.9595500574556402E-2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7.9595500574556402E-2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7.9595500574556402E-2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7.9595500574556402E-2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7.9595500574556402E-2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7.9595500574556402E-2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7.9595500574556402E-2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0.12160831877571886</v>
      </c>
      <c r="C8" s="7">
        <f>$B8 * IFERROR(VLOOKUP("buildings|PM25|Asthma symptoms wheeze", US_national_yearly!$D:$AM, 11, FALSE) / VLOOKUP("buildings|PM25|Asthma symptoms wheeze", US_national_yearly!$D:$AM, 10, FALSE), 1)</f>
        <v>0.12160831877571886</v>
      </c>
      <c r="D8" s="7">
        <f>$B8 * IFERROR(VLOOKUP("buildings|PM25|Asthma symptoms wheeze", US_national_yearly!$D:$AM, 12, FALSE) / VLOOKUP("buildings|PM25|Asthma symptoms wheeze", US_national_yearly!$D:$AM, 10, FALSE), 1)</f>
        <v>0.12160831877571886</v>
      </c>
      <c r="E8" s="7">
        <f>$B8 * IFERROR(VLOOKUP("buildings|PM25|Asthma symptoms wheeze", US_national_yearly!$D:$AM, 13, FALSE) / VLOOKUP("buildings|PM25|Asthma symptoms wheeze", US_national_yearly!$D:$AM, 10, FALSE), 1)</f>
        <v>0.12160831877571886</v>
      </c>
      <c r="F8" s="7">
        <f>$B8 * IFERROR(VLOOKUP("buildings|PM25|Asthma symptoms wheeze", US_national_yearly!$D:$AM, 14, FALSE) / VLOOKUP("buildings|PM25|Asthma symptoms wheeze", US_national_yearly!$D:$AM, 10, FALSE), 1)</f>
        <v>0.12160831877571886</v>
      </c>
      <c r="G8" s="7">
        <f>$B8 * IFERROR(VLOOKUP("buildings|PM25|Asthma symptoms wheeze", US_national_yearly!$D:$AM, 15, FALSE) / VLOOKUP("buildings|PM25|Asthma symptoms wheeze", US_national_yearly!$D:$AM, 10, FALSE), 1)</f>
        <v>0.12160831877571886</v>
      </c>
      <c r="H8" s="7">
        <f>$B8 * IFERROR(VLOOKUP("buildings|PM25|Asthma symptoms wheeze", US_national_yearly!$D:$AM, 16, FALSE) / VLOOKUP("buildings|PM25|Asthma symptoms wheeze", US_national_yearly!$D:$AM, 10, FALSE), 1)</f>
        <v>0.12160831877571886</v>
      </c>
      <c r="I8" s="7">
        <f>$B8 * IFERROR(VLOOKUP("buildings|PM25|Asthma symptoms wheeze", US_national_yearly!$D:$AM, 17, FALSE) / VLOOKUP("buildings|PM25|Asthma symptoms wheeze", US_national_yearly!$D:$AM, 10, FALSE), 1)</f>
        <v>0.12160831877571886</v>
      </c>
      <c r="J8" s="7">
        <f>$B8 * IFERROR(VLOOKUP("buildings|PM25|Asthma symptoms wheeze", US_national_yearly!$D:$AM, 18, FALSE) / VLOOKUP("buildings|PM25|Asthma symptoms wheeze", US_national_yearly!$D:$AM, 10, FALSE), 1)</f>
        <v>0.12160831877571886</v>
      </c>
      <c r="K8" s="7">
        <f>$B8 * IFERROR(VLOOKUP("buildings|PM25|Asthma symptoms wheeze", US_national_yearly!$D:$AM, 19, FALSE) / VLOOKUP("buildings|PM25|Asthma symptoms wheeze", US_national_yearly!$D:$AM, 10, FALSE), 1)</f>
        <v>0.12160831877571886</v>
      </c>
      <c r="L8" s="7">
        <f>$B8 * IFERROR(VLOOKUP("buildings|PM25|Asthma symptoms wheeze", US_national_yearly!$D:$AM, 20, FALSE) / VLOOKUP("buildings|PM25|Asthma symptoms wheeze", US_national_yearly!$D:$AM, 10, FALSE), 1)</f>
        <v>0.12160831877571886</v>
      </c>
      <c r="M8" s="7">
        <f>$B8 * IFERROR(VLOOKUP("buildings|PM25|Asthma symptoms wheeze", US_national_yearly!$D:$AM, 21, FALSE) / VLOOKUP("buildings|PM25|Asthma symptoms wheeze", US_national_yearly!$D:$AM, 10, FALSE), 1)</f>
        <v>0.12160831877571886</v>
      </c>
      <c r="N8" s="7">
        <f>$B8 * IFERROR(VLOOKUP("buildings|PM25|Asthma symptoms wheeze", US_national_yearly!$D:$AM, 22, FALSE) / VLOOKUP("buildings|PM25|Asthma symptoms wheeze", US_national_yearly!$D:$AM, 10, FALSE), 1)</f>
        <v>0.12160831877571886</v>
      </c>
      <c r="O8" s="7">
        <f>$B8 * IFERROR(VLOOKUP("buildings|PM25|Asthma symptoms wheeze", US_national_yearly!$D:$AM, 23, FALSE) / VLOOKUP("buildings|PM25|Asthma symptoms wheeze", US_national_yearly!$D:$AM, 10, FALSE), 1)</f>
        <v>0.12160831877571886</v>
      </c>
      <c r="P8" s="7">
        <f>$B8 * IFERROR(VLOOKUP("buildings|PM25|Asthma symptoms wheeze", US_national_yearly!$D:$AM, 24, FALSE) / VLOOKUP("buildings|PM25|Asthma symptoms wheeze", US_national_yearly!$D:$AM, 10, FALSE), 1)</f>
        <v>0.12160831877571886</v>
      </c>
      <c r="Q8" s="7">
        <f>$B8 * IFERROR(VLOOKUP("buildings|PM25|Asthma symptoms wheeze", US_national_yearly!$D:$AM, 25, FALSE) / VLOOKUP("buildings|PM25|Asthma symptoms wheeze", US_national_yearly!$D:$AM, 10, FALSE), 1)</f>
        <v>0.12160831877571886</v>
      </c>
      <c r="R8" s="7">
        <f>$B8 * IFERROR(VLOOKUP("buildings|PM25|Asthma symptoms wheeze", US_national_yearly!$D:$AM, 26, FALSE) / VLOOKUP("buildings|PM25|Asthma symptoms wheeze", US_national_yearly!$D:$AM, 10, FALSE), 1)</f>
        <v>0.12160831877571886</v>
      </c>
      <c r="S8" s="7">
        <f>$B8 * IFERROR(VLOOKUP("buildings|PM25|Asthma symptoms wheeze", US_national_yearly!$D:$AM, 27, FALSE) / VLOOKUP("buildings|PM25|Asthma symptoms wheeze", US_national_yearly!$D:$AM, 10, FALSE), 1)</f>
        <v>0.12160831877571886</v>
      </c>
      <c r="T8" s="7">
        <f>$B8 * IFERROR(VLOOKUP("buildings|PM25|Asthma symptoms wheeze", US_national_yearly!$D:$AM, 28, FALSE) / VLOOKUP("buildings|PM25|Asthma symptoms wheeze", US_national_yearly!$D:$AM, 10, FALSE), 1)</f>
        <v>0.12160831877571886</v>
      </c>
      <c r="U8" s="7">
        <f>$B8 * IFERROR(VLOOKUP("buildings|PM25|Asthma symptoms wheeze", US_national_yearly!$D:$AM, 29, FALSE) / VLOOKUP("buildings|PM25|Asthma symptoms wheeze", US_national_yearly!$D:$AM, 10, FALSE), 1)</f>
        <v>0.12160831877571886</v>
      </c>
      <c r="V8" s="7">
        <f>$B8 * IFERROR(VLOOKUP("buildings|PM25|Asthma symptoms wheeze", US_national_yearly!$D:$AM, 30, FALSE) / VLOOKUP("buildings|PM25|Asthma symptoms wheeze", US_national_yearly!$D:$AM, 10, FALSE), 1)</f>
        <v>0.12160831877571886</v>
      </c>
      <c r="W8" s="7">
        <f>$B8 * IFERROR(VLOOKUP("buildings|PM25|Asthma symptoms wheeze", US_national_yearly!$D:$AM, 31, FALSE) / VLOOKUP("buildings|PM25|Asthma symptoms wheeze", US_national_yearly!$D:$AM, 10, FALSE), 1)</f>
        <v>0.12160831877571886</v>
      </c>
      <c r="X8" s="7">
        <f>$B8 * IFERROR(VLOOKUP("buildings|PM25|Asthma symptoms wheeze", US_national_yearly!$D:$AM, 32, FALSE) / VLOOKUP("buildings|PM25|Asthma symptoms wheeze", US_national_yearly!$D:$AM, 10, FALSE), 1)</f>
        <v>0.12160831877571886</v>
      </c>
      <c r="Y8" s="7">
        <f>$B8 * IFERROR(VLOOKUP("buildings|PM25|Asthma symptoms wheeze", US_national_yearly!$D:$AM, 33, FALSE) / VLOOKUP("buildings|PM25|Asthma symptoms wheeze", US_national_yearly!$D:$AM, 10, FALSE), 1)</f>
        <v>0.12160831877571886</v>
      </c>
      <c r="Z8" s="7">
        <f>$B8 * IFERROR(VLOOKUP("buildings|PM25|Asthma symptoms wheeze", US_national_yearly!$D:$AM, 34, FALSE) / VLOOKUP("buildings|PM25|Asthma symptoms wheeze", US_national_yearly!$D:$AM, 10, FALSE), 1)</f>
        <v>0.12160831877571886</v>
      </c>
      <c r="AA8" s="7">
        <f>$B8 * IFERROR(VLOOKUP("buildings|PM25|Asthma symptoms wheeze", US_national_yearly!$D:$AM, 35, FALSE) / VLOOKUP("buildings|PM25|Asthma symptoms wheeze", US_national_yearly!$D:$AM, 10, FALSE), 1)</f>
        <v>0.12160831877571886</v>
      </c>
      <c r="AB8" s="7">
        <f>$B8 * IFERROR(VLOOKUP("buildings|PM25|Asthma symptoms wheeze", US_national_yearly!$D:$AM, 36, FALSE) / VLOOKUP("buildings|PM25|Asthma symptoms wheeze", US_national_yearly!$D:$AM, 10, FALSE), 1)</f>
        <v>0.12160831877571886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1.5564765655555447E-3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1.5654483552705657E-3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1.5744201449855871E-3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1.5833919347006085E-3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1.5923637244156298E-3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1.602045116739478E-3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1.6117265090633262E-3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1.6209343886349366E-3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1.6301422682065468E-3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1.6393501477781568E-3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1.6485580273497673E-3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1.6577659069213775E-3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1.6643888667032215E-3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1.6710118264850655E-3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1.6776347862669093E-3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1.6842577460487531E-3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1.690880705830597E-3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1.6971908824952103E-3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1.7035010591598242E-3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1.7098112358244373E-3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1.7161214124890507E-3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1.7224315891536646E-3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1.7285262195353387E-3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1.7346208499170132E-3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1.7407154802986874E-3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1.7468101106803619E-3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1.7529047410620362E-3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9.4673910449709648E-3</v>
      </c>
      <c r="C13" s="7">
        <f>$B13 * IFERROR(VLOOKUP("buildings|PM25|Non-fatal heart attacks", US_national_yearly!$D:$AM, 11, FALSE) / VLOOKUP("buildings|PM25|Non-fatal heart attacks", US_national_yearly!$D:$AM, 10, FALSE), 1)</f>
        <v>9.7427635101377183E-3</v>
      </c>
      <c r="D13" s="7">
        <f>$B13 * IFERROR(VLOOKUP("buildings|PM25|Non-fatal heart attacks", US_national_yearly!$D:$AM, 12, FALSE) / VLOOKUP("buildings|PM25|Non-fatal heart attacks", US_national_yearly!$D:$AM, 10, FALSE), 1)</f>
        <v>1.0018135975304468E-2</v>
      </c>
      <c r="E13" s="7">
        <f>$B13 * IFERROR(VLOOKUP("buildings|PM25|Non-fatal heart attacks", US_national_yearly!$D:$AM, 13, FALSE) / VLOOKUP("buildings|PM25|Non-fatal heart attacks", US_national_yearly!$D:$AM, 10, FALSE), 1)</f>
        <v>1.0293508440471218E-2</v>
      </c>
      <c r="F13" s="7">
        <f>$B13 * IFERROR(VLOOKUP("buildings|PM25|Non-fatal heart attacks", US_national_yearly!$D:$AM, 14, FALSE) / VLOOKUP("buildings|PM25|Non-fatal heart attacks", US_national_yearly!$D:$AM, 10, FALSE), 1)</f>
        <v>1.0568880905637972E-2</v>
      </c>
      <c r="G13" s="7">
        <f>$B13 * IFERROR(VLOOKUP("buildings|PM25|Non-fatal heart attacks", US_national_yearly!$D:$AM, 15, FALSE) / VLOOKUP("buildings|PM25|Non-fatal heart attacks", US_national_yearly!$D:$AM, 10, FALSE), 1)</f>
        <v>1.0828710554467416E-2</v>
      </c>
      <c r="H13" s="7">
        <f>$B13 * IFERROR(VLOOKUP("buildings|PM25|Non-fatal heart attacks", US_national_yearly!$D:$AM, 16, FALSE) / VLOOKUP("buildings|PM25|Non-fatal heart attacks", US_national_yearly!$D:$AM, 10, FALSE), 1)</f>
        <v>1.1088540203296859E-2</v>
      </c>
      <c r="I13" s="7">
        <f>$B13 * IFERROR(VLOOKUP("buildings|PM25|Non-fatal heart attacks", US_national_yearly!$D:$AM, 17, FALSE) / VLOOKUP("buildings|PM25|Non-fatal heart attacks", US_national_yearly!$D:$AM, 10, FALSE), 1)</f>
        <v>1.1297593336447979E-2</v>
      </c>
      <c r="J13" s="7">
        <f>$B13 * IFERROR(VLOOKUP("buildings|PM25|Non-fatal heart attacks", US_national_yearly!$D:$AM, 18, FALSE) / VLOOKUP("buildings|PM25|Non-fatal heart attacks", US_national_yearly!$D:$AM, 10, FALSE), 1)</f>
        <v>1.1506646469599098E-2</v>
      </c>
      <c r="K13" s="7">
        <f>$B13 * IFERROR(VLOOKUP("buildings|PM25|Non-fatal heart attacks", US_national_yearly!$D:$AM, 19, FALSE) / VLOOKUP("buildings|PM25|Non-fatal heart attacks", US_national_yearly!$D:$AM, 10, FALSE), 1)</f>
        <v>1.1715699602750217E-2</v>
      </c>
      <c r="L13" s="7">
        <f>$B13 * IFERROR(VLOOKUP("buildings|PM25|Non-fatal heart attacks", US_national_yearly!$D:$AM, 20, FALSE) / VLOOKUP("buildings|PM25|Non-fatal heart attacks", US_national_yearly!$D:$AM, 10, FALSE), 1)</f>
        <v>1.1924752735901335E-2</v>
      </c>
      <c r="M13" s="7">
        <f>$B13 * IFERROR(VLOOKUP("buildings|PM25|Non-fatal heart attacks", US_national_yearly!$D:$AM, 21, FALSE) / VLOOKUP("buildings|PM25|Non-fatal heart attacks", US_national_yearly!$D:$AM, 10, FALSE), 1)</f>
        <v>1.2133805869052453E-2</v>
      </c>
      <c r="N13" s="7">
        <f>$B13 * IFERROR(VLOOKUP("buildings|PM25|Non-fatal heart attacks", US_national_yearly!$D:$AM, 22, FALSE) / VLOOKUP("buildings|PM25|Non-fatal heart attacks", US_national_yearly!$D:$AM, 10, FALSE), 1)</f>
        <v>1.2268857459163481E-2</v>
      </c>
      <c r="O13" s="7">
        <f>$B13 * IFERROR(VLOOKUP("buildings|PM25|Non-fatal heart attacks", US_national_yearly!$D:$AM, 23, FALSE) / VLOOKUP("buildings|PM25|Non-fatal heart attacks", US_national_yearly!$D:$AM, 10, FALSE), 1)</f>
        <v>1.2403909049274508E-2</v>
      </c>
      <c r="P13" s="7">
        <f>$B13 * IFERROR(VLOOKUP("buildings|PM25|Non-fatal heart attacks", US_national_yearly!$D:$AM, 24, FALSE) / VLOOKUP("buildings|PM25|Non-fatal heart attacks", US_national_yearly!$D:$AM, 10, FALSE), 1)</f>
        <v>1.2538960639385534E-2</v>
      </c>
      <c r="Q13" s="7">
        <f>$B13 * IFERROR(VLOOKUP("buildings|PM25|Non-fatal heart attacks", US_national_yearly!$D:$AM, 25, FALSE) / VLOOKUP("buildings|PM25|Non-fatal heart attacks", US_national_yearly!$D:$AM, 10, FALSE), 1)</f>
        <v>1.2674012229496563E-2</v>
      </c>
      <c r="R13" s="7">
        <f>$B13 * IFERROR(VLOOKUP("buildings|PM25|Non-fatal heart attacks", US_national_yearly!$D:$AM, 26, FALSE) / VLOOKUP("buildings|PM25|Non-fatal heart attacks", US_national_yearly!$D:$AM, 10, FALSE), 1)</f>
        <v>1.2809063819607589E-2</v>
      </c>
      <c r="S13" s="7">
        <f>$B13 * IFERROR(VLOOKUP("buildings|PM25|Non-fatal heart attacks", US_national_yearly!$D:$AM, 27, FALSE) / VLOOKUP("buildings|PM25|Non-fatal heart attacks", US_national_yearly!$D:$AM, 10, FALSE), 1)</f>
        <v>1.2880493894264593E-2</v>
      </c>
      <c r="T13" s="7">
        <f>$B13 * IFERROR(VLOOKUP("buildings|PM25|Non-fatal heart attacks", US_national_yearly!$D:$AM, 28, FALSE) / VLOOKUP("buildings|PM25|Non-fatal heart attacks", US_national_yearly!$D:$AM, 10, FALSE), 1)</f>
        <v>1.2951923968921598E-2</v>
      </c>
      <c r="U13" s="7">
        <f>$B13 * IFERROR(VLOOKUP("buildings|PM25|Non-fatal heart attacks", US_national_yearly!$D:$AM, 29, FALSE) / VLOOKUP("buildings|PM25|Non-fatal heart attacks", US_national_yearly!$D:$AM, 10, FALSE), 1)</f>
        <v>1.3023354043578603E-2</v>
      </c>
      <c r="V13" s="7">
        <f>$B13 * IFERROR(VLOOKUP("buildings|PM25|Non-fatal heart attacks", US_national_yearly!$D:$AM, 30, FALSE) / VLOOKUP("buildings|PM25|Non-fatal heart attacks", US_national_yearly!$D:$AM, 10, FALSE), 1)</f>
        <v>1.3094784118235607E-2</v>
      </c>
      <c r="W13" s="7">
        <f>$B13 * IFERROR(VLOOKUP("buildings|PM25|Non-fatal heart attacks", US_national_yearly!$D:$AM, 31, FALSE) / VLOOKUP("buildings|PM25|Non-fatal heart attacks", US_national_yearly!$D:$AM, 10, FALSE), 1)</f>
        <v>1.3166214192892614E-2</v>
      </c>
      <c r="X13" s="7">
        <f>$B13 * IFERROR(VLOOKUP("buildings|PM25|Non-fatal heart attacks", US_national_yearly!$D:$AM, 32, FALSE) / VLOOKUP("buildings|PM25|Non-fatal heart attacks", US_national_yearly!$D:$AM, 10, FALSE), 1)</f>
        <v>1.3220577696839441E-2</v>
      </c>
      <c r="Y13" s="7">
        <f>$B13 * IFERROR(VLOOKUP("buildings|PM25|Non-fatal heart attacks", US_national_yearly!$D:$AM, 33, FALSE) / VLOOKUP("buildings|PM25|Non-fatal heart attacks", US_national_yearly!$D:$AM, 10, FALSE), 1)</f>
        <v>1.327494120078627E-2</v>
      </c>
      <c r="Z13" s="7">
        <f>$B13 * IFERROR(VLOOKUP("buildings|PM25|Non-fatal heart attacks", US_national_yearly!$D:$AM, 34, FALSE) / VLOOKUP("buildings|PM25|Non-fatal heart attacks", US_national_yearly!$D:$AM, 10, FALSE), 1)</f>
        <v>1.3329304704733095E-2</v>
      </c>
      <c r="AA13" s="7">
        <f>$B13 * IFERROR(VLOOKUP("buildings|PM25|Non-fatal heart attacks", US_national_yearly!$D:$AM, 35, FALSE) / VLOOKUP("buildings|PM25|Non-fatal heart attacks", US_national_yearly!$D:$AM, 10, FALSE), 1)</f>
        <v>1.3383668208679924E-2</v>
      </c>
      <c r="AB13" s="7">
        <f>$B13 * IFERROR(VLOOKUP("buildings|PM25|Non-fatal heart attacks", US_national_yearly!$D:$AM, 36, FALSE) / VLOOKUP("buildings|PM25|Non-fatal heart attacks", US_national_yearly!$D:$AM, 10, FALSE), 1)</f>
        <v>1.3438031712626754E-2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6.8619790976802104</v>
      </c>
      <c r="C14" s="7">
        <f>$B14 * IFERROR(VLOOKUP("buildings|PM25|Minor restricted activity days", US_national_yearly!$D:$AM, 11, FALSE) / VLOOKUP("buildings|PM25|Minor restricted activity days", US_national_yearly!$D:$AM, 10, FALSE), 1)</f>
        <v>6.8790452243955444</v>
      </c>
      <c r="D14" s="7">
        <f>$B14 * IFERROR(VLOOKUP("buildings|PM25|Minor restricted activity days", US_national_yearly!$D:$AM, 12, FALSE) / VLOOKUP("buildings|PM25|Minor restricted activity days", US_national_yearly!$D:$AM, 10, FALSE), 1)</f>
        <v>6.8961113511108794</v>
      </c>
      <c r="E14" s="7">
        <f>$B14 * IFERROR(VLOOKUP("buildings|PM25|Minor restricted activity days", US_national_yearly!$D:$AM, 13, FALSE) / VLOOKUP("buildings|PM25|Minor restricted activity days", US_national_yearly!$D:$AM, 10, FALSE), 1)</f>
        <v>6.9131774778262134</v>
      </c>
      <c r="F14" s="7">
        <f>$B14 * IFERROR(VLOOKUP("buildings|PM25|Minor restricted activity days", US_national_yearly!$D:$AM, 14, FALSE) / VLOOKUP("buildings|PM25|Minor restricted activity days", US_national_yearly!$D:$AM, 10, FALSE), 1)</f>
        <v>6.9302436045415465</v>
      </c>
      <c r="G14" s="7">
        <f>$B14 * IFERROR(VLOOKUP("buildings|PM25|Minor restricted activity days", US_national_yearly!$D:$AM, 15, FALSE) / VLOOKUP("buildings|PM25|Minor restricted activity days", US_national_yearly!$D:$AM, 10, FALSE), 1)</f>
        <v>6.9552744307863481</v>
      </c>
      <c r="H14" s="7">
        <f>$B14 * IFERROR(VLOOKUP("buildings|PM25|Minor restricted activity days", US_national_yearly!$D:$AM, 16, FALSE) / VLOOKUP("buildings|PM25|Minor restricted activity days", US_national_yearly!$D:$AM, 10, FALSE), 1)</f>
        <v>6.980305257031147</v>
      </c>
      <c r="I14" s="7">
        <f>$B14 * IFERROR(VLOOKUP("buildings|PM25|Minor restricted activity days", US_national_yearly!$D:$AM, 17, FALSE) / VLOOKUP("buildings|PM25|Minor restricted activity days", US_national_yearly!$D:$AM, 10, FALSE), 1)</f>
        <v>7.0228688980144325</v>
      </c>
      <c r="J14" s="7">
        <f>$B14 * IFERROR(VLOOKUP("buildings|PM25|Minor restricted activity days", US_national_yearly!$D:$AM, 18, FALSE) / VLOOKUP("buildings|PM25|Minor restricted activity days", US_national_yearly!$D:$AM, 10, FALSE), 1)</f>
        <v>7.0654325389977206</v>
      </c>
      <c r="K14" s="7">
        <f>$B14 * IFERROR(VLOOKUP("buildings|PM25|Minor restricted activity days", US_national_yearly!$D:$AM, 19, FALSE) / VLOOKUP("buildings|PM25|Minor restricted activity days", US_national_yearly!$D:$AM, 10, FALSE), 1)</f>
        <v>7.1079961799810034</v>
      </c>
      <c r="L14" s="7">
        <f>$B14 * IFERROR(VLOOKUP("buildings|PM25|Minor restricted activity days", US_national_yearly!$D:$AM, 20, FALSE) / VLOOKUP("buildings|PM25|Minor restricted activity days", US_national_yearly!$D:$AM, 10, FALSE), 1)</f>
        <v>7.150559820964288</v>
      </c>
      <c r="M14" s="7">
        <f>$B14 * IFERROR(VLOOKUP("buildings|PM25|Minor restricted activity days", US_national_yearly!$D:$AM, 21, FALSE) / VLOOKUP("buildings|PM25|Minor restricted activity days", US_national_yearly!$D:$AM, 10, FALSE), 1)</f>
        <v>7.1931234619475717</v>
      </c>
      <c r="N14" s="7">
        <f>$B14 * IFERROR(VLOOKUP("buildings|PM25|Minor restricted activity days", US_national_yearly!$D:$AM, 22, FALSE) / VLOOKUP("buildings|PM25|Minor restricted activity days", US_national_yearly!$D:$AM, 10, FALSE), 1)</f>
        <v>7.2509571809825566</v>
      </c>
      <c r="O14" s="7">
        <f>$B14 * IFERROR(VLOOKUP("buildings|PM25|Minor restricted activity days", US_national_yearly!$D:$AM, 23, FALSE) / VLOOKUP("buildings|PM25|Minor restricted activity days", US_national_yearly!$D:$AM, 10, FALSE), 1)</f>
        <v>7.3087909000175406</v>
      </c>
      <c r="P14" s="7">
        <f>$B14 * IFERROR(VLOOKUP("buildings|PM25|Minor restricted activity days", US_national_yearly!$D:$AM, 24, FALSE) / VLOOKUP("buildings|PM25|Minor restricted activity days", US_national_yearly!$D:$AM, 10, FALSE), 1)</f>
        <v>7.3666246190525237</v>
      </c>
      <c r="Q14" s="7">
        <f>$B14 * IFERROR(VLOOKUP("buildings|PM25|Minor restricted activity days", US_national_yearly!$D:$AM, 25, FALSE) / VLOOKUP("buildings|PM25|Minor restricted activity days", US_national_yearly!$D:$AM, 10, FALSE), 1)</f>
        <v>7.4244583380875078</v>
      </c>
      <c r="R14" s="7">
        <f>$B14 * IFERROR(VLOOKUP("buildings|PM25|Minor restricted activity days", US_national_yearly!$D:$AM, 26, FALSE) / VLOOKUP("buildings|PM25|Minor restricted activity days", US_national_yearly!$D:$AM, 10, FALSE), 1)</f>
        <v>7.4822920571224909</v>
      </c>
      <c r="S14" s="7">
        <f>$B14 * IFERROR(VLOOKUP("buildings|PM25|Minor restricted activity days", US_national_yearly!$D:$AM, 27, FALSE) / VLOOKUP("buildings|PM25|Minor restricted activity days", US_national_yearly!$D:$AM, 10, FALSE), 1)</f>
        <v>7.5404841748428613</v>
      </c>
      <c r="T14" s="7">
        <f>$B14 * IFERROR(VLOOKUP("buildings|PM25|Minor restricted activity days", US_national_yearly!$D:$AM, 28, FALSE) / VLOOKUP("buildings|PM25|Minor restricted activity days", US_national_yearly!$D:$AM, 10, FALSE), 1)</f>
        <v>7.5986762925632299</v>
      </c>
      <c r="U14" s="7">
        <f>$B14 * IFERROR(VLOOKUP("buildings|PM25|Minor restricted activity days", US_national_yearly!$D:$AM, 29, FALSE) / VLOOKUP("buildings|PM25|Minor restricted activity days", US_national_yearly!$D:$AM, 10, FALSE), 1)</f>
        <v>7.6568684102835993</v>
      </c>
      <c r="V14" s="7">
        <f>$B14 * IFERROR(VLOOKUP("buildings|PM25|Minor restricted activity days", US_national_yearly!$D:$AM, 30, FALSE) / VLOOKUP("buildings|PM25|Minor restricted activity days", US_national_yearly!$D:$AM, 10, FALSE), 1)</f>
        <v>7.7150605280039679</v>
      </c>
      <c r="W14" s="7">
        <f>$B14 * IFERROR(VLOOKUP("buildings|PM25|Minor restricted activity days", US_national_yearly!$D:$AM, 31, FALSE) / VLOOKUP("buildings|PM25|Minor restricted activity days", US_national_yearly!$D:$AM, 10, FALSE), 1)</f>
        <v>7.7732526457243383</v>
      </c>
      <c r="X14" s="7">
        <f>$B14 * IFERROR(VLOOKUP("buildings|PM25|Minor restricted activity days", US_national_yearly!$D:$AM, 32, FALSE) / VLOOKUP("buildings|PM25|Minor restricted activity days", US_national_yearly!$D:$AM, 10, FALSE), 1)</f>
        <v>7.8237811868557774</v>
      </c>
      <c r="Y14" s="7">
        <f>$B14 * IFERROR(VLOOKUP("buildings|PM25|Minor restricted activity days", US_national_yearly!$D:$AM, 33, FALSE) / VLOOKUP("buildings|PM25|Minor restricted activity days", US_national_yearly!$D:$AM, 10, FALSE), 1)</f>
        <v>7.8743097279872147</v>
      </c>
      <c r="Z14" s="7">
        <f>$B14 * IFERROR(VLOOKUP("buildings|PM25|Minor restricted activity days", US_national_yearly!$D:$AM, 34, FALSE) / VLOOKUP("buildings|PM25|Minor restricted activity days", US_national_yearly!$D:$AM, 10, FALSE), 1)</f>
        <v>7.9248382691186512</v>
      </c>
      <c r="AA14" s="7">
        <f>$B14 * IFERROR(VLOOKUP("buildings|PM25|Minor restricted activity days", US_national_yearly!$D:$AM, 35, FALSE) / VLOOKUP("buildings|PM25|Minor restricted activity days", US_national_yearly!$D:$AM, 10, FALSE), 1)</f>
        <v>7.9753668102500885</v>
      </c>
      <c r="AB14" s="7">
        <f>$B14 * IFERROR(VLOOKUP("buildings|PM25|Minor restricted activity days", US_national_yearly!$D:$AM, 36, FALSE) / VLOOKUP("buildings|PM25|Minor restricted activity days", US_national_yearly!$D:$AM, 10, FALSE), 1)</f>
        <v>8.0258953513815268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1.1629064701704313</v>
      </c>
      <c r="C15" s="7">
        <f>$B15 * IFERROR(VLOOKUP("buildings|PM25|Work loss days", US_national_yearly!$D:$AM, 11, FALSE) / VLOOKUP("buildings|PM25|Work loss days", US_national_yearly!$D:$AM, 10, FALSE), 1)</f>
        <v>1.1665559214663734</v>
      </c>
      <c r="D15" s="7">
        <f>$B15 * IFERROR(VLOOKUP("buildings|PM25|Work loss days", US_national_yearly!$D:$AM, 12, FALSE) / VLOOKUP("buildings|PM25|Work loss days", US_national_yearly!$D:$AM, 10, FALSE), 1)</f>
        <v>1.1702053727623154</v>
      </c>
      <c r="E15" s="7">
        <f>$B15 * IFERROR(VLOOKUP("buildings|PM25|Work loss days", US_national_yearly!$D:$AM, 13, FALSE) / VLOOKUP("buildings|PM25|Work loss days", US_national_yearly!$D:$AM, 10, FALSE), 1)</f>
        <v>1.1738548240582576</v>
      </c>
      <c r="F15" s="7">
        <f>$B15 * IFERROR(VLOOKUP("buildings|PM25|Work loss days", US_national_yearly!$D:$AM, 14, FALSE) / VLOOKUP("buildings|PM25|Work loss days", US_national_yearly!$D:$AM, 10, FALSE), 1)</f>
        <v>1.1775042753541995</v>
      </c>
      <c r="G15" s="7">
        <f>$B15 * IFERROR(VLOOKUP("buildings|PM25|Work loss days", US_national_yearly!$D:$AM, 15, FALSE) / VLOOKUP("buildings|PM25|Work loss days", US_national_yearly!$D:$AM, 10, FALSE), 1)</f>
        <v>1.1822744352404264</v>
      </c>
      <c r="H15" s="7">
        <f>$B15 * IFERROR(VLOOKUP("buildings|PM25|Work loss days", US_national_yearly!$D:$AM, 16, FALSE) / VLOOKUP("buildings|PM25|Work loss days", US_national_yearly!$D:$AM, 10, FALSE), 1)</f>
        <v>1.1870445951266533</v>
      </c>
      <c r="I15" s="7">
        <f>$B15 * IFERROR(VLOOKUP("buildings|PM25|Work loss days", US_national_yearly!$D:$AM, 17, FALSE) / VLOOKUP("buildings|PM25|Work loss days", US_national_yearly!$D:$AM, 10, FALSE), 1)</f>
        <v>1.1940503682221444</v>
      </c>
      <c r="J15" s="7">
        <f>$B15 * IFERROR(VLOOKUP("buildings|PM25|Work loss days", US_national_yearly!$D:$AM, 18, FALSE) / VLOOKUP("buildings|PM25|Work loss days", US_national_yearly!$D:$AM, 10, FALSE), 1)</f>
        <v>1.2010561413176357</v>
      </c>
      <c r="K15" s="7">
        <f>$B15 * IFERROR(VLOOKUP("buildings|PM25|Work loss days", US_national_yearly!$D:$AM, 19, FALSE) / VLOOKUP("buildings|PM25|Work loss days", US_national_yearly!$D:$AM, 10, FALSE), 1)</f>
        <v>1.208061914413127</v>
      </c>
      <c r="L15" s="7">
        <f>$B15 * IFERROR(VLOOKUP("buildings|PM25|Work loss days", US_national_yearly!$D:$AM, 20, FALSE) / VLOOKUP("buildings|PM25|Work loss days", US_national_yearly!$D:$AM, 10, FALSE), 1)</f>
        <v>1.2150676875086184</v>
      </c>
      <c r="M15" s="7">
        <f>$B15 * IFERROR(VLOOKUP("buildings|PM25|Work loss days", US_national_yearly!$D:$AM, 21, FALSE) / VLOOKUP("buildings|PM25|Work loss days", US_national_yearly!$D:$AM, 10, FALSE), 1)</f>
        <v>1.2220734606041099</v>
      </c>
      <c r="N15" s="7">
        <f>$B15 * IFERROR(VLOOKUP("buildings|PM25|Work loss days", US_national_yearly!$D:$AM, 22, FALSE) / VLOOKUP("buildings|PM25|Work loss days", US_national_yearly!$D:$AM, 10, FALSE), 1)</f>
        <v>1.2308815769165375</v>
      </c>
      <c r="O15" s="7">
        <f>$B15 * IFERROR(VLOOKUP("buildings|PM25|Work loss days", US_national_yearly!$D:$AM, 23, FALSE) / VLOOKUP("buildings|PM25|Work loss days", US_national_yearly!$D:$AM, 10, FALSE), 1)</f>
        <v>1.2396896932289656</v>
      </c>
      <c r="P15" s="7">
        <f>$B15 * IFERROR(VLOOKUP("buildings|PM25|Work loss days", US_national_yearly!$D:$AM, 24, FALSE) / VLOOKUP("buildings|PM25|Work loss days", US_national_yearly!$D:$AM, 10, FALSE), 1)</f>
        <v>1.2484978095413932</v>
      </c>
      <c r="Q15" s="7">
        <f>$B15 * IFERROR(VLOOKUP("buildings|PM25|Work loss days", US_national_yearly!$D:$AM, 25, FALSE) / VLOOKUP("buildings|PM25|Work loss days", US_national_yearly!$D:$AM, 10, FALSE), 1)</f>
        <v>1.2573059258538208</v>
      </c>
      <c r="R15" s="7">
        <f>$B15 * IFERROR(VLOOKUP("buildings|PM25|Work loss days", US_national_yearly!$D:$AM, 26, FALSE) / VLOOKUP("buildings|PM25|Work loss days", US_national_yearly!$D:$AM, 10, FALSE), 1)</f>
        <v>1.2661140421662487</v>
      </c>
      <c r="S15" s="7">
        <f>$B15 * IFERROR(VLOOKUP("buildings|PM25|Work loss days", US_national_yearly!$D:$AM, 27, FALSE) / VLOOKUP("buildings|PM25|Work loss days", US_national_yearly!$D:$AM, 10, FALSE), 1)</f>
        <v>1.275843701336058</v>
      </c>
      <c r="T15" s="7">
        <f>$B15 * IFERROR(VLOOKUP("buildings|PM25|Work loss days", US_national_yearly!$D:$AM, 28, FALSE) / VLOOKUP("buildings|PM25|Work loss days", US_national_yearly!$D:$AM, 10, FALSE), 1)</f>
        <v>1.2855733605058672</v>
      </c>
      <c r="U15" s="7">
        <f>$B15 * IFERROR(VLOOKUP("buildings|PM25|Work loss days", US_national_yearly!$D:$AM, 29, FALSE) / VLOOKUP("buildings|PM25|Work loss days", US_national_yearly!$D:$AM, 10, FALSE), 1)</f>
        <v>1.2953030196756767</v>
      </c>
      <c r="V15" s="7">
        <f>$B15 * IFERROR(VLOOKUP("buildings|PM25|Work loss days", US_national_yearly!$D:$AM, 30, FALSE) / VLOOKUP("buildings|PM25|Work loss days", US_national_yearly!$D:$AM, 10, FALSE), 1)</f>
        <v>1.3050326788454858</v>
      </c>
      <c r="W15" s="7">
        <f>$B15 * IFERROR(VLOOKUP("buildings|PM25|Work loss days", US_national_yearly!$D:$AM, 31, FALSE) / VLOOKUP("buildings|PM25|Work loss days", US_national_yearly!$D:$AM, 10, FALSE), 1)</f>
        <v>1.3147623380152953</v>
      </c>
      <c r="X15" s="7">
        <f>$B15 * IFERROR(VLOOKUP("buildings|PM25|Work loss days", US_national_yearly!$D:$AM, 32, FALSE) / VLOOKUP("buildings|PM25|Work loss days", US_national_yearly!$D:$AM, 10, FALSE), 1)</f>
        <v>1.3233964832004208</v>
      </c>
      <c r="Y15" s="7">
        <f>$B15 * IFERROR(VLOOKUP("buildings|PM25|Work loss days", US_national_yearly!$D:$AM, 33, FALSE) / VLOOKUP("buildings|PM25|Work loss days", US_national_yearly!$D:$AM, 10, FALSE), 1)</f>
        <v>1.3320306283855465</v>
      </c>
      <c r="Z15" s="7">
        <f>$B15 * IFERROR(VLOOKUP("buildings|PM25|Work loss days", US_national_yearly!$D:$AM, 34, FALSE) / VLOOKUP("buildings|PM25|Work loss days", US_national_yearly!$D:$AM, 10, FALSE), 1)</f>
        <v>1.3406647735706723</v>
      </c>
      <c r="AA15" s="7">
        <f>$B15 * IFERROR(VLOOKUP("buildings|PM25|Work loss days", US_national_yearly!$D:$AM, 35, FALSE) / VLOOKUP("buildings|PM25|Work loss days", US_national_yearly!$D:$AM, 10, FALSE), 1)</f>
        <v>1.349298918755798</v>
      </c>
      <c r="AB15" s="7">
        <f>$B15 * IFERROR(VLOOKUP("buildings|PM25|Work loss days", US_national_yearly!$D:$AM, 36, FALSE) / VLOOKUP("buildings|PM25|Work loss days", US_national_yearly!$D:$AM, 10, FALSE), 1)</f>
        <v>1.3579330639409237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2.3837881386739907E-3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2.4550308574563268E-3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2.5262735762386626E-3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2.5975162950209983E-3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2.6687590138033341E-3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2.7370203224971333E-3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2.8052816311909322E-3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2.8637195920267213E-3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2.92215755286251E-3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2.9805955136982996E-3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3.0390334745340887E-3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3.0974714353698782E-3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3.136493430439704E-3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3.1755154255095307E-3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3.2145374205793564E-3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3.2535594156491831E-3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3.2925814107190089E-3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3.3133163893257467E-3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3.3340513679324842E-3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3.3547863465392225E-3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3.3755213251459595E-3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3.3962563037526982E-3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3.410276394220293E-3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3.4242964846878873E-3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3.4383165751554821E-3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3.4523366656230769E-3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3.4663567560906717E-3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1.1323245009872542E-3</v>
      </c>
      <c r="C2" s="7">
        <f>$B2 * IFERROR(VLOOKUP("buildings|NOx|Premature mortality", US_national_yearly!$D:$AM, 11, FALSE) / VLOOKUP("buildings|NOx|Premature mortality", US_national_yearly!$D:$AM, 10, FALSE), 1)</f>
        <v>1.1489795041872205E-3</v>
      </c>
      <c r="D2" s="7">
        <f>$B2 * IFERROR(VLOOKUP("buildings|NOx|Premature mortality", US_national_yearly!$D:$AM, 12, FALSE) / VLOOKUP("buildings|NOx|Premature mortality", US_national_yearly!$D:$AM, 10, FALSE), 1)</f>
        <v>1.1656345073871865E-3</v>
      </c>
      <c r="E2" s="7">
        <f>$B2 * IFERROR(VLOOKUP("buildings|NOx|Premature mortality", US_national_yearly!$D:$AM, 13, FALSE) / VLOOKUP("buildings|NOx|Premature mortality", US_national_yearly!$D:$AM, 10, FALSE), 1)</f>
        <v>1.1822895105871528E-3</v>
      </c>
      <c r="F2" s="7">
        <f>$B2 * IFERROR(VLOOKUP("buildings|NOx|Premature mortality", US_national_yearly!$D:$AM, 14, FALSE) / VLOOKUP("buildings|NOx|Premature mortality", US_national_yearly!$D:$AM, 10, FALSE), 1)</f>
        <v>1.1989445137871187E-3</v>
      </c>
      <c r="G2" s="7">
        <f>$B2 * IFERROR(VLOOKUP("buildings|NOx|Premature mortality", US_national_yearly!$D:$AM, 15, FALSE) / VLOOKUP("buildings|NOx|Premature mortality", US_national_yearly!$D:$AM, 10, FALSE), 1)</f>
        <v>1.2288462798098262E-3</v>
      </c>
      <c r="H2" s="7">
        <f>$B2 * IFERROR(VLOOKUP("buildings|NOx|Premature mortality", US_national_yearly!$D:$AM, 16, FALSE) / VLOOKUP("buildings|NOx|Premature mortality", US_national_yearly!$D:$AM, 10, FALSE), 1)</f>
        <v>1.2587480458325338E-3</v>
      </c>
      <c r="I2" s="7">
        <f>$B2 * IFERROR(VLOOKUP("buildings|NOx|Premature mortality", US_national_yearly!$D:$AM, 17, FALSE) / VLOOKUP("buildings|NOx|Premature mortality", US_national_yearly!$D:$AM, 10, FALSE), 1)</f>
        <v>1.2780721777805822E-3</v>
      </c>
      <c r="J2" s="7">
        <f>$B2 * IFERROR(VLOOKUP("buildings|NOx|Premature mortality", US_national_yearly!$D:$AM, 18, FALSE) / VLOOKUP("buildings|NOx|Premature mortality", US_national_yearly!$D:$AM, 10, FALSE), 1)</f>
        <v>1.2973963097286307E-3</v>
      </c>
      <c r="K2" s="7">
        <f>$B2 * IFERROR(VLOOKUP("buildings|NOx|Premature mortality", US_national_yearly!$D:$AM, 19, FALSE) / VLOOKUP("buildings|NOx|Premature mortality", US_national_yearly!$D:$AM, 10, FALSE), 1)</f>
        <v>1.3167204416766791E-3</v>
      </c>
      <c r="L2" s="7">
        <f>$B2 * IFERROR(VLOOKUP("buildings|NOx|Premature mortality", US_national_yearly!$D:$AM, 20, FALSE) / VLOOKUP("buildings|NOx|Premature mortality", US_national_yearly!$D:$AM, 10, FALSE), 1)</f>
        <v>1.3360445736247276E-3</v>
      </c>
      <c r="M2" s="7">
        <f>$B2 * IFERROR(VLOOKUP("buildings|NOx|Premature mortality", US_national_yearly!$D:$AM, 21, FALSE) / VLOOKUP("buildings|NOx|Premature mortality", US_national_yearly!$D:$AM, 10, FALSE), 1)</f>
        <v>1.355368705572776E-3</v>
      </c>
      <c r="N2" s="7">
        <f>$B2 * IFERROR(VLOOKUP("buildings|NOx|Premature mortality", US_national_yearly!$D:$AM, 22, FALSE) / VLOOKUP("buildings|NOx|Premature mortality", US_national_yearly!$D:$AM, 10, FALSE), 1)</f>
        <v>1.369687149684429E-3</v>
      </c>
      <c r="O2" s="7">
        <f>$B2 * IFERROR(VLOOKUP("buildings|NOx|Premature mortality", US_national_yearly!$D:$AM, 23, FALSE) / VLOOKUP("buildings|NOx|Premature mortality", US_national_yearly!$D:$AM, 10, FALSE), 1)</f>
        <v>1.3840055937960824E-3</v>
      </c>
      <c r="P2" s="7">
        <f>$B2 * IFERROR(VLOOKUP("buildings|NOx|Premature mortality", US_national_yearly!$D:$AM, 24, FALSE) / VLOOKUP("buildings|NOx|Premature mortality", US_national_yearly!$D:$AM, 10, FALSE), 1)</f>
        <v>1.3983240379077356E-3</v>
      </c>
      <c r="Q2" s="7">
        <f>$B2 * IFERROR(VLOOKUP("buildings|NOx|Premature mortality", US_national_yearly!$D:$AM, 25, FALSE) / VLOOKUP("buildings|NOx|Premature mortality", US_national_yearly!$D:$AM, 10, FALSE), 1)</f>
        <v>1.4126424820193886E-3</v>
      </c>
      <c r="R2" s="7">
        <f>$B2 * IFERROR(VLOOKUP("buildings|NOx|Premature mortality", US_national_yearly!$D:$AM, 26, FALSE) / VLOOKUP("buildings|NOx|Premature mortality", US_national_yearly!$D:$AM, 10, FALSE), 1)</f>
        <v>1.4269609261310418E-3</v>
      </c>
      <c r="S2" s="7">
        <f>$B2 * IFERROR(VLOOKUP("buildings|NOx|Premature mortality", US_national_yearly!$D:$AM, 27, FALSE) / VLOOKUP("buildings|NOx|Premature mortality", US_national_yearly!$D:$AM, 10, FALSE), 1)</f>
        <v>1.4334706553386679E-3</v>
      </c>
      <c r="T2" s="7">
        <f>$B2 * IFERROR(VLOOKUP("buildings|NOx|Premature mortality", US_national_yearly!$D:$AM, 28, FALSE) / VLOOKUP("buildings|NOx|Premature mortality", US_national_yearly!$D:$AM, 10, FALSE), 1)</f>
        <v>1.4399803845462939E-3</v>
      </c>
      <c r="U2" s="7">
        <f>$B2 * IFERROR(VLOOKUP("buildings|NOx|Premature mortality", US_national_yearly!$D:$AM, 29, FALSE) / VLOOKUP("buildings|NOx|Premature mortality", US_national_yearly!$D:$AM, 10, FALSE), 1)</f>
        <v>1.4464901137539201E-3</v>
      </c>
      <c r="V2" s="7">
        <f>$B2 * IFERROR(VLOOKUP("buildings|NOx|Premature mortality", US_national_yearly!$D:$AM, 30, FALSE) / VLOOKUP("buildings|NOx|Premature mortality", US_national_yearly!$D:$AM, 10, FALSE), 1)</f>
        <v>1.4529998429615462E-3</v>
      </c>
      <c r="W2" s="7">
        <f>$B2 * IFERROR(VLOOKUP("buildings|NOx|Premature mortality", US_national_yearly!$D:$AM, 31, FALSE) / VLOOKUP("buildings|NOx|Premature mortality", US_national_yearly!$D:$AM, 10, FALSE), 1)</f>
        <v>1.459509572169172E-3</v>
      </c>
      <c r="X2" s="7">
        <f>$B2 * IFERROR(VLOOKUP("buildings|NOx|Premature mortality", US_national_yearly!$D:$AM, 32, FALSE) / VLOOKUP("buildings|NOx|Premature mortality", US_national_yearly!$D:$AM, 10, FALSE), 1)</f>
        <v>1.4597388395253378E-3</v>
      </c>
      <c r="Y2" s="7">
        <f>$B2 * IFERROR(VLOOKUP("buildings|NOx|Premature mortality", US_national_yearly!$D:$AM, 33, FALSE) / VLOOKUP("buildings|NOx|Premature mortality", US_national_yearly!$D:$AM, 10, FALSE), 1)</f>
        <v>1.4599681068815035E-3</v>
      </c>
      <c r="Z2" s="7">
        <f>$B2 * IFERROR(VLOOKUP("buildings|NOx|Premature mortality", US_national_yearly!$D:$AM, 34, FALSE) / VLOOKUP("buildings|NOx|Premature mortality", US_national_yearly!$D:$AM, 10, FALSE), 1)</f>
        <v>1.4601973742376694E-3</v>
      </c>
      <c r="AA2" s="7">
        <f>$B2 * IFERROR(VLOOKUP("buildings|NOx|Premature mortality", US_national_yearly!$D:$AM, 35, FALSE) / VLOOKUP("buildings|NOx|Premature mortality", US_national_yearly!$D:$AM, 10, FALSE), 1)</f>
        <v>1.460426641593835E-3</v>
      </c>
      <c r="AB2" s="7">
        <f>$B2 * IFERROR(VLOOKUP("buildings|NOx|Premature mortality", US_national_yearly!$D:$AM, 36, FALSE) / VLOOKUP("buildings|NOx|Premature mortality", US_national_yearly!$D:$AM, 10, FALSE), 1)</f>
        <v>1.4606559089500009E-3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3.6057186449877767E-6</v>
      </c>
      <c r="C3" s="7">
        <f>$B3 * IFERROR(VLOOKUP("buildings|NOx|Infant mortality", US_national_yearly!$D:$AM, 11, FALSE) / VLOOKUP("buildings|NOx|Infant mortality", US_national_yearly!$D:$AM, 10, FALSE), 1)</f>
        <v>3.5714685496636293E-6</v>
      </c>
      <c r="D3" s="7">
        <f>$B3 * IFERROR(VLOOKUP("buildings|NOx|Infant mortality", US_national_yearly!$D:$AM, 12, FALSE) / VLOOKUP("buildings|NOx|Infant mortality", US_national_yearly!$D:$AM, 10, FALSE), 1)</f>
        <v>3.5372184543394811E-6</v>
      </c>
      <c r="E3" s="7">
        <f>$B3 * IFERROR(VLOOKUP("buildings|NOx|Infant mortality", US_national_yearly!$D:$AM, 13, FALSE) / VLOOKUP("buildings|NOx|Infant mortality", US_national_yearly!$D:$AM, 10, FALSE), 1)</f>
        <v>3.5029683590153333E-6</v>
      </c>
      <c r="F3" s="7">
        <f>$B3 * IFERROR(VLOOKUP("buildings|NOx|Infant mortality", US_national_yearly!$D:$AM, 14, FALSE) / VLOOKUP("buildings|NOx|Infant mortality", US_national_yearly!$D:$AM, 10, FALSE), 1)</f>
        <v>3.468718263691185E-6</v>
      </c>
      <c r="G3" s="7">
        <f>$B3 * IFERROR(VLOOKUP("buildings|NOx|Infant mortality", US_national_yearly!$D:$AM, 15, FALSE) / VLOOKUP("buildings|NOx|Infant mortality", US_national_yearly!$D:$AM, 10, FALSE), 1)</f>
        <v>2.3023182050136858E-6</v>
      </c>
      <c r="H3" s="7">
        <f>$B3 * IFERROR(VLOOKUP("buildings|NOx|Infant mortality", US_national_yearly!$D:$AM, 16, FALSE) / VLOOKUP("buildings|NOx|Infant mortality", US_national_yearly!$D:$AM, 10, FALSE), 1)</f>
        <v>1.1359181463361867E-6</v>
      </c>
      <c r="I3" s="7">
        <f>$B3 * IFERROR(VLOOKUP("buildings|NOx|Infant mortality", US_national_yearly!$D:$AM, 17, FALSE) / VLOOKUP("buildings|NOx|Infant mortality", US_national_yearly!$D:$AM, 10, FALSE), 1)</f>
        <v>1.1278933862804568E-6</v>
      </c>
      <c r="J3" s="7">
        <f>$B3 * IFERROR(VLOOKUP("buildings|NOx|Infant mortality", US_national_yearly!$D:$AM, 18, FALSE) / VLOOKUP("buildings|NOx|Infant mortality", US_national_yearly!$D:$AM, 10, FALSE), 1)</f>
        <v>1.1198686262247267E-6</v>
      </c>
      <c r="K3" s="7">
        <f>$B3 * IFERROR(VLOOKUP("buildings|NOx|Infant mortality", US_national_yearly!$D:$AM, 19, FALSE) / VLOOKUP("buildings|NOx|Infant mortality", US_national_yearly!$D:$AM, 10, FALSE), 1)</f>
        <v>1.1118438661689968E-6</v>
      </c>
      <c r="L3" s="7">
        <f>$B3 * IFERROR(VLOOKUP("buildings|NOx|Infant mortality", US_national_yearly!$D:$AM, 20, FALSE) / VLOOKUP("buildings|NOx|Infant mortality", US_national_yearly!$D:$AM, 10, FALSE), 1)</f>
        <v>1.1038191061132669E-6</v>
      </c>
      <c r="M3" s="7">
        <f>$B3 * IFERROR(VLOOKUP("buildings|NOx|Infant mortality", US_national_yearly!$D:$AM, 21, FALSE) / VLOOKUP("buildings|NOx|Infant mortality", US_national_yearly!$D:$AM, 10, FALSE), 1)</f>
        <v>1.0957943460575368E-6</v>
      </c>
      <c r="N3" s="7">
        <f>$B3 * IFERROR(VLOOKUP("buildings|NOx|Infant mortality", US_national_yearly!$D:$AM, 22, FALSE) / VLOOKUP("buildings|NOx|Infant mortality", US_national_yearly!$D:$AM, 10, FALSE), 1)</f>
        <v>1.0904767868743331E-6</v>
      </c>
      <c r="O3" s="7">
        <f>$B3 * IFERROR(VLOOKUP("buildings|NOx|Infant mortality", US_national_yearly!$D:$AM, 23, FALSE) / VLOOKUP("buildings|NOx|Infant mortality", US_national_yearly!$D:$AM, 10, FALSE), 1)</f>
        <v>1.0851592276911293E-6</v>
      </c>
      <c r="P3" s="7">
        <f>$B3 * IFERROR(VLOOKUP("buildings|NOx|Infant mortality", US_national_yearly!$D:$AM, 24, FALSE) / VLOOKUP("buildings|NOx|Infant mortality", US_national_yearly!$D:$AM, 10, FALSE), 1)</f>
        <v>1.0798416685079256E-6</v>
      </c>
      <c r="Q3" s="7">
        <f>$B3 * IFERROR(VLOOKUP("buildings|NOx|Infant mortality", US_national_yearly!$D:$AM, 25, FALSE) / VLOOKUP("buildings|NOx|Infant mortality", US_national_yearly!$D:$AM, 10, FALSE), 1)</f>
        <v>1.0745241093247221E-6</v>
      </c>
      <c r="R3" s="7">
        <f>$B3 * IFERROR(VLOOKUP("buildings|NOx|Infant mortality", US_national_yearly!$D:$AM, 26, FALSE) / VLOOKUP("buildings|NOx|Infant mortality", US_national_yearly!$D:$AM, 10, FALSE), 1)</f>
        <v>1.0692065501415184E-6</v>
      </c>
      <c r="S3" s="7">
        <f>$B3 * IFERROR(VLOOKUP("buildings|NOx|Infant mortality", US_national_yearly!$D:$AM, 27, FALSE) / VLOOKUP("buildings|NOx|Infant mortality", US_national_yearly!$D:$AM, 10, FALSE), 1)</f>
        <v>1.0628098660650869E-6</v>
      </c>
      <c r="T3" s="7">
        <f>$B3 * IFERROR(VLOOKUP("buildings|NOx|Infant mortality", US_national_yearly!$D:$AM, 28, FALSE) / VLOOKUP("buildings|NOx|Infant mortality", US_national_yearly!$D:$AM, 10, FALSE), 1)</f>
        <v>1.0564131819886554E-6</v>
      </c>
      <c r="U3" s="7">
        <f>$B3 * IFERROR(VLOOKUP("buildings|NOx|Infant mortality", US_national_yearly!$D:$AM, 29, FALSE) / VLOOKUP("buildings|NOx|Infant mortality", US_national_yearly!$D:$AM, 10, FALSE), 1)</f>
        <v>1.0500164979122237E-6</v>
      </c>
      <c r="V3" s="7">
        <f>$B3 * IFERROR(VLOOKUP("buildings|NOx|Infant mortality", US_national_yearly!$D:$AM, 30, FALSE) / VLOOKUP("buildings|NOx|Infant mortality", US_national_yearly!$D:$AM, 10, FALSE), 1)</f>
        <v>1.043619813835792E-6</v>
      </c>
      <c r="W3" s="7">
        <f>$B3 * IFERROR(VLOOKUP("buildings|NOx|Infant mortality", US_national_yearly!$D:$AM, 31, FALSE) / VLOOKUP("buildings|NOx|Infant mortality", US_national_yearly!$D:$AM, 10, FALSE), 1)</f>
        <v>1.0372231297593605E-6</v>
      </c>
      <c r="X3" s="7">
        <f>$B3 * IFERROR(VLOOKUP("buildings|NOx|Infant mortality", US_national_yearly!$D:$AM, 32, FALSE) / VLOOKUP("buildings|NOx|Infant mortality", US_national_yearly!$D:$AM, 10, FALSE), 1)</f>
        <v>1.0304548773746899E-6</v>
      </c>
      <c r="Y3" s="7">
        <f>$B3 * IFERROR(VLOOKUP("buildings|NOx|Infant mortality", US_national_yearly!$D:$AM, 33, FALSE) / VLOOKUP("buildings|NOx|Infant mortality", US_national_yearly!$D:$AM, 10, FALSE), 1)</f>
        <v>1.0236866249900193E-6</v>
      </c>
      <c r="Z3" s="7">
        <f>$B3 * IFERROR(VLOOKUP("buildings|NOx|Infant mortality", US_national_yearly!$D:$AM, 34, FALSE) / VLOOKUP("buildings|NOx|Infant mortality", US_national_yearly!$D:$AM, 10, FALSE), 1)</f>
        <v>1.0169183726053485E-6</v>
      </c>
      <c r="AA3" s="7">
        <f>$B3 * IFERROR(VLOOKUP("buildings|NOx|Infant mortality", US_national_yearly!$D:$AM, 35, FALSE) / VLOOKUP("buildings|NOx|Infant mortality", US_national_yearly!$D:$AM, 10, FALSE), 1)</f>
        <v>1.0101501202206777E-6</v>
      </c>
      <c r="AB3" s="7">
        <f>$B3 * IFERROR(VLOOKUP("buildings|NOx|Infant mortality", US_national_yearly!$D:$AM, 36, FALSE) / VLOOKUP("buildings|NOx|Infant mortality", US_national_yearly!$D:$AM, 10, FALSE), 1)</f>
        <v>1.0033818678360071E-6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3.0294411139017608E-3</v>
      </c>
      <c r="C6" s="7">
        <f>$B6 * IFERROR(VLOOKUP("buildings|NOx|Asthma symptoms cough", US_national_yearly!$D:$AM, 11, FALSE) / VLOOKUP("buildings|NOx|Asthma symptoms cough", US_national_yearly!$D:$AM, 10, FALSE), 1)</f>
        <v>3.0708998407092528E-3</v>
      </c>
      <c r="D6" s="7">
        <f>$B6 * IFERROR(VLOOKUP("buildings|NOx|Asthma symptoms cough", US_national_yearly!$D:$AM, 12, FALSE) / VLOOKUP("buildings|NOx|Asthma symptoms cough", US_national_yearly!$D:$AM, 10, FALSE), 1)</f>
        <v>3.1123585675167454E-3</v>
      </c>
      <c r="E6" s="7">
        <f>$B6 * IFERROR(VLOOKUP("buildings|NOx|Asthma symptoms cough", US_national_yearly!$D:$AM, 13, FALSE) / VLOOKUP("buildings|NOx|Asthma symptoms cough", US_national_yearly!$D:$AM, 10, FALSE), 1)</f>
        <v>3.153817294324237E-3</v>
      </c>
      <c r="F6" s="7">
        <f>$B6 * IFERROR(VLOOKUP("buildings|NOx|Asthma symptoms cough", US_national_yearly!$D:$AM, 14, FALSE) / VLOOKUP("buildings|NOx|Asthma symptoms cough", US_national_yearly!$D:$AM, 10, FALSE), 1)</f>
        <v>3.1952760211317291E-3</v>
      </c>
      <c r="G6" s="7">
        <f>$B6 * IFERROR(VLOOKUP("buildings|NOx|Asthma symptoms cough", US_national_yearly!$D:$AM, 15, FALSE) / VLOOKUP("buildings|NOx|Asthma symptoms cough", US_national_yearly!$D:$AM, 10, FALSE), 1)</f>
        <v>3.2284093123711708E-3</v>
      </c>
      <c r="H6" s="7">
        <f>$B6 * IFERROR(VLOOKUP("buildings|NOx|Asthma symptoms cough", US_national_yearly!$D:$AM, 16, FALSE) / VLOOKUP("buildings|NOx|Asthma symptoms cough", US_national_yearly!$D:$AM, 10, FALSE), 1)</f>
        <v>3.2615426036106121E-3</v>
      </c>
      <c r="I6" s="7">
        <f>$B6 * IFERROR(VLOOKUP("buildings|NOx|Asthma symptoms cough", US_national_yearly!$D:$AM, 17, FALSE) / VLOOKUP("buildings|NOx|Asthma symptoms cough", US_national_yearly!$D:$AM, 10, FALSE), 1)</f>
        <v>3.2730090571215834E-3</v>
      </c>
      <c r="J6" s="7">
        <f>$B6 * IFERROR(VLOOKUP("buildings|NOx|Asthma symptoms cough", US_national_yearly!$D:$AM, 18, FALSE) / VLOOKUP("buildings|NOx|Asthma symptoms cough", US_national_yearly!$D:$AM, 10, FALSE), 1)</f>
        <v>3.2844755106325543E-3</v>
      </c>
      <c r="K6" s="7">
        <f>$B6 * IFERROR(VLOOKUP("buildings|NOx|Asthma symptoms cough", US_national_yearly!$D:$AM, 19, FALSE) / VLOOKUP("buildings|NOx|Asthma symptoms cough", US_national_yearly!$D:$AM, 10, FALSE), 1)</f>
        <v>3.2959419641435243E-3</v>
      </c>
      <c r="L6" s="7">
        <f>$B6 * IFERROR(VLOOKUP("buildings|NOx|Asthma symptoms cough", US_national_yearly!$D:$AM, 20, FALSE) / VLOOKUP("buildings|NOx|Asthma symptoms cough", US_national_yearly!$D:$AM, 10, FALSE), 1)</f>
        <v>3.3074084176544956E-3</v>
      </c>
      <c r="M6" s="7">
        <f>$B6 * IFERROR(VLOOKUP("buildings|NOx|Asthma symptoms cough", US_national_yearly!$D:$AM, 21, FALSE) / VLOOKUP("buildings|NOx|Asthma symptoms cough", US_national_yearly!$D:$AM, 10, FALSE), 1)</f>
        <v>3.3188748711654656E-3</v>
      </c>
      <c r="N6" s="7">
        <f>$B6 * IFERROR(VLOOKUP("buildings|NOx|Asthma symptoms cough", US_national_yearly!$D:$AM, 22, FALSE) / VLOOKUP("buildings|NOx|Asthma symptoms cough", US_national_yearly!$D:$AM, 10, FALSE), 1)</f>
        <v>3.3321336724959315E-3</v>
      </c>
      <c r="O6" s="7">
        <f>$B6 * IFERROR(VLOOKUP("buildings|NOx|Asthma symptoms cough", US_national_yearly!$D:$AM, 23, FALSE) / VLOOKUP("buildings|NOx|Asthma symptoms cough", US_national_yearly!$D:$AM, 10, FALSE), 1)</f>
        <v>3.3453924738263965E-3</v>
      </c>
      <c r="P6" s="7">
        <f>$B6 * IFERROR(VLOOKUP("buildings|NOx|Asthma symptoms cough", US_national_yearly!$D:$AM, 24, FALSE) / VLOOKUP("buildings|NOx|Asthma symptoms cough", US_national_yearly!$D:$AM, 10, FALSE), 1)</f>
        <v>3.3586512751568615E-3</v>
      </c>
      <c r="Q6" s="7">
        <f>$B6 * IFERROR(VLOOKUP("buildings|NOx|Asthma symptoms cough", US_national_yearly!$D:$AM, 25, FALSE) / VLOOKUP("buildings|NOx|Asthma symptoms cough", US_national_yearly!$D:$AM, 10, FALSE), 1)</f>
        <v>3.3719100764873274E-3</v>
      </c>
      <c r="R6" s="7">
        <f>$B6 * IFERROR(VLOOKUP("buildings|NOx|Asthma symptoms cough", US_national_yearly!$D:$AM, 26, FALSE) / VLOOKUP("buildings|NOx|Asthma symptoms cough", US_national_yearly!$D:$AM, 10, FALSE), 1)</f>
        <v>3.3851688778177924E-3</v>
      </c>
      <c r="S6" s="7">
        <f>$B6 * IFERROR(VLOOKUP("buildings|NOx|Asthma symptoms cough", US_national_yearly!$D:$AM, 27, FALSE) / VLOOKUP("buildings|NOx|Asthma symptoms cough", US_national_yearly!$D:$AM, 10, FALSE), 1)</f>
        <v>3.4024851533456676E-3</v>
      </c>
      <c r="T6" s="7">
        <f>$B6 * IFERROR(VLOOKUP("buildings|NOx|Asthma symptoms cough", US_national_yearly!$D:$AM, 28, FALSE) / VLOOKUP("buildings|NOx|Asthma symptoms cough", US_national_yearly!$D:$AM, 10, FALSE), 1)</f>
        <v>3.4198014288735418E-3</v>
      </c>
      <c r="U6" s="7">
        <f>$B6 * IFERROR(VLOOKUP("buildings|NOx|Asthma symptoms cough", US_national_yearly!$D:$AM, 29, FALSE) / VLOOKUP("buildings|NOx|Asthma symptoms cough", US_national_yearly!$D:$AM, 10, FALSE), 1)</f>
        <v>3.4371177044014165E-3</v>
      </c>
      <c r="V6" s="7">
        <f>$B6 * IFERROR(VLOOKUP("buildings|NOx|Asthma symptoms cough", US_national_yearly!$D:$AM, 30, FALSE) / VLOOKUP("buildings|NOx|Asthma symptoms cough", US_national_yearly!$D:$AM, 10, FALSE), 1)</f>
        <v>3.454433979929292E-3</v>
      </c>
      <c r="W6" s="7">
        <f>$B6 * IFERROR(VLOOKUP("buildings|NOx|Asthma symptoms cough", US_national_yearly!$D:$AM, 31, FALSE) / VLOOKUP("buildings|NOx|Asthma symptoms cough", US_national_yearly!$D:$AM, 10, FALSE), 1)</f>
        <v>3.4717502554571667E-3</v>
      </c>
      <c r="X6" s="7">
        <f>$B6 * IFERROR(VLOOKUP("buildings|NOx|Asthma symptoms cough", US_national_yearly!$D:$AM, 32, FALSE) / VLOOKUP("buildings|NOx|Asthma symptoms cough", US_national_yearly!$D:$AM, 10, FALSE), 1)</f>
        <v>3.4878394581882096E-3</v>
      </c>
      <c r="Y6" s="7">
        <f>$B6 * IFERROR(VLOOKUP("buildings|NOx|Asthma symptoms cough", US_national_yearly!$D:$AM, 33, FALSE) / VLOOKUP("buildings|NOx|Asthma symptoms cough", US_national_yearly!$D:$AM, 10, FALSE), 1)</f>
        <v>3.5039286609192533E-3</v>
      </c>
      <c r="Z6" s="7">
        <f>$B6 * IFERROR(VLOOKUP("buildings|NOx|Asthma symptoms cough", US_national_yearly!$D:$AM, 34, FALSE) / VLOOKUP("buildings|NOx|Asthma symptoms cough", US_national_yearly!$D:$AM, 10, FALSE), 1)</f>
        <v>3.520017863650297E-3</v>
      </c>
      <c r="AA6" s="7">
        <f>$B6 * IFERROR(VLOOKUP("buildings|NOx|Asthma symptoms cough", US_national_yearly!$D:$AM, 35, FALSE) / VLOOKUP("buildings|NOx|Asthma symptoms cough", US_national_yearly!$D:$AM, 10, FALSE), 1)</f>
        <v>3.5361070663813407E-3</v>
      </c>
      <c r="AB6" s="7">
        <f>$B6 * IFERROR(VLOOKUP("buildings|NOx|Asthma symptoms cough", US_national_yearly!$D:$AM, 36, FALSE) / VLOOKUP("buildings|NOx|Asthma symptoms cough", US_national_yearly!$D:$AM, 10, FALSE), 1)</f>
        <v>3.5521962691123844E-3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4.0795574712111475E-3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4.1353873262901875E-3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4.1912171813692275E-3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4.2470470364482675E-3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4.3028768915273083E-3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4.3474954070246083E-3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4.3921139225219091E-3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4.407555072781808E-3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4.422996223041706E-3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4.4384373733016057E-3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4.4538785235615046E-3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4.4693196738214034E-3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4.487174465988379E-3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4.5050292581553554E-3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4.522884050322331E-3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4.5407388424893074E-3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4.5585936346562838E-3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4.5819123717365413E-3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4.6052311088167989E-3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4.6285498458970564E-3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4.6518685829773131E-3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4.6751873200575706E-3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4.6968536355119859E-3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4.7185199509664011E-3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4.7401862664208172E-3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4.7618525818752316E-3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4.7835188973296468E-3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6.2329600743764885E-3</v>
      </c>
      <c r="C8" s="7">
        <f>$B8 * IFERROR(VLOOKUP("buildings|NOx|Asthma symptoms wheeze", US_national_yearly!$D:$AM, 11, FALSE) / VLOOKUP("buildings|NOx|Asthma symptoms wheeze", US_national_yearly!$D:$AM, 10, FALSE), 1)</f>
        <v>6.3182598307711087E-3</v>
      </c>
      <c r="D8" s="7">
        <f>$B8 * IFERROR(VLOOKUP("buildings|NOx|Asthma symptoms wheeze", US_national_yearly!$D:$AM, 12, FALSE) / VLOOKUP("buildings|NOx|Asthma symptoms wheeze", US_national_yearly!$D:$AM, 10, FALSE), 1)</f>
        <v>6.4035595871657297E-3</v>
      </c>
      <c r="E8" s="7">
        <f>$B8 * IFERROR(VLOOKUP("buildings|NOx|Asthma symptoms wheeze", US_national_yearly!$D:$AM, 13, FALSE) / VLOOKUP("buildings|NOx|Asthma symptoms wheeze", US_national_yearly!$D:$AM, 10, FALSE), 1)</f>
        <v>6.488859343560349E-3</v>
      </c>
      <c r="F8" s="7">
        <f>$B8 * IFERROR(VLOOKUP("buildings|NOx|Asthma symptoms wheeze", US_national_yearly!$D:$AM, 14, FALSE) / VLOOKUP("buildings|NOx|Asthma symptoms wheeze", US_national_yearly!$D:$AM, 10, FALSE), 1)</f>
        <v>6.5741590999549709E-3</v>
      </c>
      <c r="G8" s="7">
        <f>$B8 * IFERROR(VLOOKUP("buildings|NOx|Asthma symptoms wheeze", US_national_yearly!$D:$AM, 15, FALSE) / VLOOKUP("buildings|NOx|Asthma symptoms wheeze", US_national_yearly!$D:$AM, 10, FALSE), 1)</f>
        <v>6.6423295887511023E-3</v>
      </c>
      <c r="H8" s="7">
        <f>$B8 * IFERROR(VLOOKUP("buildings|NOx|Asthma symptoms wheeze", US_national_yearly!$D:$AM, 16, FALSE) / VLOOKUP("buildings|NOx|Asthma symptoms wheeze", US_national_yearly!$D:$AM, 10, FALSE), 1)</f>
        <v>6.7105000775472328E-3</v>
      </c>
      <c r="I8" s="7">
        <f>$B8 * IFERROR(VLOOKUP("buildings|NOx|Asthma symptoms wheeze", US_national_yearly!$D:$AM, 17, FALSE) / VLOOKUP("buildings|NOx|Asthma symptoms wheeze", US_national_yearly!$D:$AM, 10, FALSE), 1)</f>
        <v>6.7340918703176125E-3</v>
      </c>
      <c r="J8" s="7">
        <f>$B8 * IFERROR(VLOOKUP("buildings|NOx|Asthma symptoms wheeze", US_national_yearly!$D:$AM, 18, FALSE) / VLOOKUP("buildings|NOx|Asthma symptoms wheeze", US_national_yearly!$D:$AM, 10, FALSE), 1)</f>
        <v>6.7576836630879903E-3</v>
      </c>
      <c r="K8" s="7">
        <f>$B8 * IFERROR(VLOOKUP("buildings|NOx|Asthma symptoms wheeze", US_national_yearly!$D:$AM, 19, FALSE) / VLOOKUP("buildings|NOx|Asthma symptoms wheeze", US_national_yearly!$D:$AM, 10, FALSE), 1)</f>
        <v>6.7812754558583682E-3</v>
      </c>
      <c r="L8" s="7">
        <f>$B8 * IFERROR(VLOOKUP("buildings|NOx|Asthma symptoms wheeze", US_national_yearly!$D:$AM, 20, FALSE) / VLOOKUP("buildings|NOx|Asthma symptoms wheeze", US_national_yearly!$D:$AM, 10, FALSE), 1)</f>
        <v>6.8048672486287461E-3</v>
      </c>
      <c r="M8" s="7">
        <f>$B8 * IFERROR(VLOOKUP("buildings|NOx|Asthma symptoms wheeze", US_national_yearly!$D:$AM, 21, FALSE) / VLOOKUP("buildings|NOx|Asthma symptoms wheeze", US_national_yearly!$D:$AM, 10, FALSE), 1)</f>
        <v>6.8284590413991248E-3</v>
      </c>
      <c r="N8" s="7">
        <f>$B8 * IFERROR(VLOOKUP("buildings|NOx|Asthma symptoms wheeze", US_national_yearly!$D:$AM, 22, FALSE) / VLOOKUP("buildings|NOx|Asthma symptoms wheeze", US_national_yearly!$D:$AM, 10, FALSE), 1)</f>
        <v>6.8557385217619289E-3</v>
      </c>
      <c r="O8" s="7">
        <f>$B8 * IFERROR(VLOOKUP("buildings|NOx|Asthma symptoms wheeze", US_national_yearly!$D:$AM, 23, FALSE) / VLOOKUP("buildings|NOx|Asthma symptoms wheeze", US_national_yearly!$D:$AM, 10, FALSE), 1)</f>
        <v>6.883018002124733E-3</v>
      </c>
      <c r="P8" s="7">
        <f>$B8 * IFERROR(VLOOKUP("buildings|NOx|Asthma symptoms wheeze", US_national_yearly!$D:$AM, 24, FALSE) / VLOOKUP("buildings|NOx|Asthma symptoms wheeze", US_national_yearly!$D:$AM, 10, FALSE), 1)</f>
        <v>6.910297482487537E-3</v>
      </c>
      <c r="Q8" s="7">
        <f>$B8 * IFERROR(VLOOKUP("buildings|NOx|Asthma symptoms wheeze", US_national_yearly!$D:$AM, 25, FALSE) / VLOOKUP("buildings|NOx|Asthma symptoms wheeze", US_national_yearly!$D:$AM, 10, FALSE), 1)</f>
        <v>6.9375769628503411E-3</v>
      </c>
      <c r="R8" s="7">
        <f>$B8 * IFERROR(VLOOKUP("buildings|NOx|Asthma symptoms wheeze", US_national_yearly!$D:$AM, 26, FALSE) / VLOOKUP("buildings|NOx|Asthma symptoms wheeze", US_national_yearly!$D:$AM, 10, FALSE), 1)</f>
        <v>6.9648564432131452E-3</v>
      </c>
      <c r="S8" s="7">
        <f>$B8 * IFERROR(VLOOKUP("buildings|NOx|Asthma symptoms wheeze", US_national_yearly!$D:$AM, 27, FALSE) / VLOOKUP("buildings|NOx|Asthma symptoms wheeze", US_national_yearly!$D:$AM, 10, FALSE), 1)</f>
        <v>7.0004840227022276E-3</v>
      </c>
      <c r="T8" s="7">
        <f>$B8 * IFERROR(VLOOKUP("buildings|NOx|Asthma symptoms wheeze", US_national_yearly!$D:$AM, 28, FALSE) / VLOOKUP("buildings|NOx|Asthma symptoms wheeze", US_national_yearly!$D:$AM, 10, FALSE), 1)</f>
        <v>7.0361116021913101E-3</v>
      </c>
      <c r="U8" s="7">
        <f>$B8 * IFERROR(VLOOKUP("buildings|NOx|Asthma symptoms wheeze", US_national_yearly!$D:$AM, 29, FALSE) / VLOOKUP("buildings|NOx|Asthma symptoms wheeze", US_national_yearly!$D:$AM, 10, FALSE), 1)</f>
        <v>7.0717391816803926E-3</v>
      </c>
      <c r="V8" s="7">
        <f>$B8 * IFERROR(VLOOKUP("buildings|NOx|Asthma symptoms wheeze", US_national_yearly!$D:$AM, 30, FALSE) / VLOOKUP("buildings|NOx|Asthma symptoms wheeze", US_national_yearly!$D:$AM, 10, FALSE), 1)</f>
        <v>7.1073667611694751E-3</v>
      </c>
      <c r="W8" s="7">
        <f>$B8 * IFERROR(VLOOKUP("buildings|NOx|Asthma symptoms wheeze", US_national_yearly!$D:$AM, 31, FALSE) / VLOOKUP("buildings|NOx|Asthma symptoms wheeze", US_national_yearly!$D:$AM, 10, FALSE), 1)</f>
        <v>7.1429943406585584E-3</v>
      </c>
      <c r="X8" s="7">
        <f>$B8 * IFERROR(VLOOKUP("buildings|NOx|Asthma symptoms wheeze", US_national_yearly!$D:$AM, 32, FALSE) / VLOOKUP("buildings|NOx|Asthma symptoms wheeze", US_national_yearly!$D:$AM, 10, FALSE), 1)</f>
        <v>7.1760972644554768E-3</v>
      </c>
      <c r="Y8" s="7">
        <f>$B8 * IFERROR(VLOOKUP("buildings|NOx|Asthma symptoms wheeze", US_national_yearly!$D:$AM, 33, FALSE) / VLOOKUP("buildings|NOx|Asthma symptoms wheeze", US_national_yearly!$D:$AM, 10, FALSE), 1)</f>
        <v>7.2092001882523961E-3</v>
      </c>
      <c r="Z8" s="7">
        <f>$B8 * IFERROR(VLOOKUP("buildings|NOx|Asthma symptoms wheeze", US_national_yearly!$D:$AM, 34, FALSE) / VLOOKUP("buildings|NOx|Asthma symptoms wheeze", US_national_yearly!$D:$AM, 10, FALSE), 1)</f>
        <v>7.2423031120493163E-3</v>
      </c>
      <c r="AA8" s="7">
        <f>$B8 * IFERROR(VLOOKUP("buildings|NOx|Asthma symptoms wheeze", US_national_yearly!$D:$AM, 35, FALSE) / VLOOKUP("buildings|NOx|Asthma symptoms wheeze", US_national_yearly!$D:$AM, 10, FALSE), 1)</f>
        <v>7.2754060358462347E-3</v>
      </c>
      <c r="AB8" s="7">
        <f>$B8 * IFERROR(VLOOKUP("buildings|NOx|Asthma symptoms wheeze", US_national_yearly!$D:$AM, 36, FALSE) / VLOOKUP("buildings|NOx|Asthma symptoms wheeze", US_national_yearly!$D:$AM, 10, FALSE), 1)</f>
        <v>7.3085089596431549E-3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7.8353168198670351E-5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8.0310771214914462E-5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8.2268374231158587E-5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8.4225977247402698E-5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8.6183580263646823E-5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8.8055108316611048E-5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8.9926636369575246E-5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9.1516455356870641E-5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9.3106274344166036E-5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9.4696093331461431E-5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9.6285912318756826E-5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9.7875731306052222E-5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9.8938516551545699E-5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1.0000130179703918E-4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1.0106408704253265E-4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1.0212687228802614E-4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1.0318965753351959E-4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1.0375949079712348E-4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1.0432932406072735E-4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1.0489915732433123E-4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1.054689905879351E-4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1.0603882385153895E-4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1.0642890160781841E-4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1.0681897936409786E-4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1.0720905712037734E-4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1.0759913487665678E-4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1.0798921263293624E-4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4.7979933471016214E-4</v>
      </c>
      <c r="C13" s="7">
        <f>$B13 * IFERROR(VLOOKUP("buildings|NOx|Non-fatal heart attacks", US_national_yearly!$D:$AM, 11, FALSE) / VLOOKUP("buildings|NOx|Non-fatal heart attacks", US_national_yearly!$D:$AM, 10, FALSE), 1)</f>
        <v>4.9352541543109217E-4</v>
      </c>
      <c r="D13" s="7">
        <f>$B13 * IFERROR(VLOOKUP("buildings|NOx|Non-fatal heart attacks", US_national_yearly!$D:$AM, 12, FALSE) / VLOOKUP("buildings|NOx|Non-fatal heart attacks", US_national_yearly!$D:$AM, 10, FALSE), 1)</f>
        <v>5.0725149615202247E-4</v>
      </c>
      <c r="E13" s="7">
        <f>$B13 * IFERROR(VLOOKUP("buildings|NOx|Non-fatal heart attacks", US_national_yearly!$D:$AM, 13, FALSE) / VLOOKUP("buildings|NOx|Non-fatal heart attacks", US_national_yearly!$D:$AM, 10, FALSE), 1)</f>
        <v>5.2097757687295256E-4</v>
      </c>
      <c r="F13" s="7">
        <f>$B13 * IFERROR(VLOOKUP("buildings|NOx|Non-fatal heart attacks", US_national_yearly!$D:$AM, 14, FALSE) / VLOOKUP("buildings|NOx|Non-fatal heart attacks", US_national_yearly!$D:$AM, 10, FALSE), 1)</f>
        <v>5.3470365759388265E-4</v>
      </c>
      <c r="G13" s="7">
        <f>$B13 * IFERROR(VLOOKUP("buildings|NOx|Non-fatal heart attacks", US_national_yearly!$D:$AM, 15, FALSE) / VLOOKUP("buildings|NOx|Non-fatal heart attacks", US_national_yearly!$D:$AM, 10, FALSE), 1)</f>
        <v>5.475333790768939E-4</v>
      </c>
      <c r="H13" s="7">
        <f>$B13 * IFERROR(VLOOKUP("buildings|NOx|Non-fatal heart attacks", US_national_yearly!$D:$AM, 16, FALSE) / VLOOKUP("buildings|NOx|Non-fatal heart attacks", US_national_yearly!$D:$AM, 10, FALSE), 1)</f>
        <v>5.6036310055990537E-4</v>
      </c>
      <c r="I13" s="7">
        <f>$B13 * IFERROR(VLOOKUP("buildings|NOx|Non-fatal heart attacks", US_national_yearly!$D:$AM, 17, FALSE) / VLOOKUP("buildings|NOx|Non-fatal heart attacks", US_national_yearly!$D:$AM, 10, FALSE), 1)</f>
        <v>5.7048482855125322E-4</v>
      </c>
      <c r="J13" s="7">
        <f>$B13 * IFERROR(VLOOKUP("buildings|NOx|Non-fatal heart attacks", US_national_yearly!$D:$AM, 18, FALSE) / VLOOKUP("buildings|NOx|Non-fatal heart attacks", US_national_yearly!$D:$AM, 10, FALSE), 1)</f>
        <v>5.8060655654260107E-4</v>
      </c>
      <c r="K13" s="7">
        <f>$B13 * IFERROR(VLOOKUP("buildings|NOx|Non-fatal heart attacks", US_national_yearly!$D:$AM, 19, FALSE) / VLOOKUP("buildings|NOx|Non-fatal heart attacks", US_national_yearly!$D:$AM, 10, FALSE), 1)</f>
        <v>5.9072828453394914E-4</v>
      </c>
      <c r="L13" s="7">
        <f>$B13 * IFERROR(VLOOKUP("buildings|NOx|Non-fatal heart attacks", US_national_yearly!$D:$AM, 20, FALSE) / VLOOKUP("buildings|NOx|Non-fatal heart attacks", US_national_yearly!$D:$AM, 10, FALSE), 1)</f>
        <v>6.0085001252529666E-4</v>
      </c>
      <c r="M13" s="7">
        <f>$B13 * IFERROR(VLOOKUP("buildings|NOx|Non-fatal heart attacks", US_national_yearly!$D:$AM, 21, FALSE) / VLOOKUP("buildings|NOx|Non-fatal heart attacks", US_national_yearly!$D:$AM, 10, FALSE), 1)</f>
        <v>6.1097174051664472E-4</v>
      </c>
      <c r="N13" s="7">
        <f>$B13 * IFERROR(VLOOKUP("buildings|NOx|Non-fatal heart attacks", US_national_yearly!$D:$AM, 22, FALSE) / VLOOKUP("buildings|NOx|Non-fatal heart attacks", US_national_yearly!$D:$AM, 10, FALSE), 1)</f>
        <v>6.1706330325219554E-4</v>
      </c>
      <c r="O13" s="7">
        <f>$B13 * IFERROR(VLOOKUP("buildings|NOx|Non-fatal heart attacks", US_national_yearly!$D:$AM, 23, FALSE) / VLOOKUP("buildings|NOx|Non-fatal heart attacks", US_national_yearly!$D:$AM, 10, FALSE), 1)</f>
        <v>6.2315486598774625E-4</v>
      </c>
      <c r="P13" s="7">
        <f>$B13 * IFERROR(VLOOKUP("buildings|NOx|Non-fatal heart attacks", US_national_yearly!$D:$AM, 24, FALSE) / VLOOKUP("buildings|NOx|Non-fatal heart attacks", US_national_yearly!$D:$AM, 10, FALSE), 1)</f>
        <v>6.2924642872329696E-4</v>
      </c>
      <c r="Q13" s="7">
        <f>$B13 * IFERROR(VLOOKUP("buildings|NOx|Non-fatal heart attacks", US_national_yearly!$D:$AM, 25, FALSE) / VLOOKUP("buildings|NOx|Non-fatal heart attacks", US_national_yearly!$D:$AM, 10, FALSE), 1)</f>
        <v>6.3533799145884778E-4</v>
      </c>
      <c r="R13" s="7">
        <f>$B13 * IFERROR(VLOOKUP("buildings|NOx|Non-fatal heart attacks", US_national_yearly!$D:$AM, 26, FALSE) / VLOOKUP("buildings|NOx|Non-fatal heart attacks", US_national_yearly!$D:$AM, 10, FALSE), 1)</f>
        <v>6.4142955419439838E-4</v>
      </c>
      <c r="S13" s="7">
        <f>$B13 * IFERROR(VLOOKUP("buildings|NOx|Non-fatal heart attacks", US_national_yearly!$D:$AM, 27, FALSE) / VLOOKUP("buildings|NOx|Non-fatal heart attacks", US_national_yearly!$D:$AM, 10, FALSE), 1)</f>
        <v>6.4419779927437899E-4</v>
      </c>
      <c r="T13" s="7">
        <f>$B13 * IFERROR(VLOOKUP("buildings|NOx|Non-fatal heart attacks", US_national_yearly!$D:$AM, 28, FALSE) / VLOOKUP("buildings|NOx|Non-fatal heart attacks", US_national_yearly!$D:$AM, 10, FALSE), 1)</f>
        <v>6.4696604435435972E-4</v>
      </c>
      <c r="U13" s="7">
        <f>$B13 * IFERROR(VLOOKUP("buildings|NOx|Non-fatal heart attacks", US_national_yearly!$D:$AM, 29, FALSE) / VLOOKUP("buildings|NOx|Non-fatal heart attacks", US_national_yearly!$D:$AM, 10, FALSE), 1)</f>
        <v>6.4973428943434022E-4</v>
      </c>
      <c r="V13" s="7">
        <f>$B13 * IFERROR(VLOOKUP("buildings|NOx|Non-fatal heart attacks", US_national_yearly!$D:$AM, 30, FALSE) / VLOOKUP("buildings|NOx|Non-fatal heart attacks", US_national_yearly!$D:$AM, 10, FALSE), 1)</f>
        <v>6.5250253451432083E-4</v>
      </c>
      <c r="W13" s="7">
        <f>$B13 * IFERROR(VLOOKUP("buildings|NOx|Non-fatal heart attacks", US_national_yearly!$D:$AM, 31, FALSE) / VLOOKUP("buildings|NOx|Non-fatal heart attacks", US_national_yearly!$D:$AM, 10, FALSE), 1)</f>
        <v>6.5527077959430145E-4</v>
      </c>
      <c r="X13" s="7">
        <f>$B13 * IFERROR(VLOOKUP("buildings|NOx|Non-fatal heart attacks", US_national_yearly!$D:$AM, 32, FALSE) / VLOOKUP("buildings|NOx|Non-fatal heart attacks", US_national_yearly!$D:$AM, 10, FALSE), 1)</f>
        <v>6.5712251013046283E-4</v>
      </c>
      <c r="Y13" s="7">
        <f>$B13 * IFERROR(VLOOKUP("buildings|NOx|Non-fatal heart attacks", US_national_yearly!$D:$AM, 33, FALSE) / VLOOKUP("buildings|NOx|Non-fatal heart attacks", US_national_yearly!$D:$AM, 10, FALSE), 1)</f>
        <v>6.589742406666241E-4</v>
      </c>
      <c r="Z13" s="7">
        <f>$B13 * IFERROR(VLOOKUP("buildings|NOx|Non-fatal heart attacks", US_national_yearly!$D:$AM, 34, FALSE) / VLOOKUP("buildings|NOx|Non-fatal heart attacks", US_national_yearly!$D:$AM, 10, FALSE), 1)</f>
        <v>6.608259712027856E-4</v>
      </c>
      <c r="AA13" s="7">
        <f>$B13 * IFERROR(VLOOKUP("buildings|NOx|Non-fatal heart attacks", US_national_yearly!$D:$AM, 35, FALSE) / VLOOKUP("buildings|NOx|Non-fatal heart attacks", US_national_yearly!$D:$AM, 10, FALSE), 1)</f>
        <v>6.6267770173894687E-4</v>
      </c>
      <c r="AB13" s="7">
        <f>$B13 * IFERROR(VLOOKUP("buildings|NOx|Non-fatal heart attacks", US_national_yearly!$D:$AM, 36, FALSE) / VLOOKUP("buildings|NOx|Non-fatal heart attacks", US_national_yearly!$D:$AM, 10, FALSE), 1)</f>
        <v>6.6452943227510825E-4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0.34997226522710034</v>
      </c>
      <c r="C14" s="7">
        <f>$B14 * IFERROR(VLOOKUP("buildings|NOx|Minor restricted activity days", US_national_yearly!$D:$AM, 11, FALSE) / VLOOKUP("buildings|NOx|Minor restricted activity days", US_national_yearly!$D:$AM, 10, FALSE), 1)</f>
        <v>0.35051533941677404</v>
      </c>
      <c r="D14" s="7">
        <f>$B14 * IFERROR(VLOOKUP("buildings|NOx|Minor restricted activity days", US_national_yearly!$D:$AM, 12, FALSE) / VLOOKUP("buildings|NOx|Minor restricted activity days", US_national_yearly!$D:$AM, 10, FALSE), 1)</f>
        <v>0.35105841360644774</v>
      </c>
      <c r="E14" s="7">
        <f>$B14 * IFERROR(VLOOKUP("buildings|NOx|Minor restricted activity days", US_national_yearly!$D:$AM, 13, FALSE) / VLOOKUP("buildings|NOx|Minor restricted activity days", US_national_yearly!$D:$AM, 10, FALSE), 1)</f>
        <v>0.35160148779612138</v>
      </c>
      <c r="F14" s="7">
        <f>$B14 * IFERROR(VLOOKUP("buildings|NOx|Minor restricted activity days", US_national_yearly!$D:$AM, 14, FALSE) / VLOOKUP("buildings|NOx|Minor restricted activity days", US_national_yearly!$D:$AM, 10, FALSE), 1)</f>
        <v>0.35214456198579508</v>
      </c>
      <c r="G14" s="7">
        <f>$B14 * IFERROR(VLOOKUP("buildings|NOx|Minor restricted activity days", US_national_yearly!$D:$AM, 15, FALSE) / VLOOKUP("buildings|NOx|Minor restricted activity days", US_national_yearly!$D:$AM, 10, FALSE), 1)</f>
        <v>0.35312019570995012</v>
      </c>
      <c r="H14" s="7">
        <f>$B14 * IFERROR(VLOOKUP("buildings|NOx|Minor restricted activity days", US_national_yearly!$D:$AM, 16, FALSE) / VLOOKUP("buildings|NOx|Minor restricted activity days", US_national_yearly!$D:$AM, 10, FALSE), 1)</f>
        <v>0.35409582943410517</v>
      </c>
      <c r="I14" s="7">
        <f>$B14 * IFERROR(VLOOKUP("buildings|NOx|Minor restricted activity days", US_national_yearly!$D:$AM, 17, FALSE) / VLOOKUP("buildings|NOx|Minor restricted activity days", US_national_yearly!$D:$AM, 10, FALSE), 1)</f>
        <v>0.35599803684650089</v>
      </c>
      <c r="J14" s="7">
        <f>$B14 * IFERROR(VLOOKUP("buildings|NOx|Minor restricted activity days", US_national_yearly!$D:$AM, 18, FALSE) / VLOOKUP("buildings|NOx|Minor restricted activity days", US_national_yearly!$D:$AM, 10, FALSE), 1)</f>
        <v>0.35790024425889666</v>
      </c>
      <c r="K14" s="7">
        <f>$B14 * IFERROR(VLOOKUP("buildings|NOx|Minor restricted activity days", US_national_yearly!$D:$AM, 19, FALSE) / VLOOKUP("buildings|NOx|Minor restricted activity days", US_national_yearly!$D:$AM, 10, FALSE), 1)</f>
        <v>0.35980245167129238</v>
      </c>
      <c r="L14" s="7">
        <f>$B14 * IFERROR(VLOOKUP("buildings|NOx|Minor restricted activity days", US_national_yearly!$D:$AM, 20, FALSE) / VLOOKUP("buildings|NOx|Minor restricted activity days", US_national_yearly!$D:$AM, 10, FALSE), 1)</f>
        <v>0.36170465908368815</v>
      </c>
      <c r="M14" s="7">
        <f>$B14 * IFERROR(VLOOKUP("buildings|NOx|Minor restricted activity days", US_national_yearly!$D:$AM, 21, FALSE) / VLOOKUP("buildings|NOx|Minor restricted activity days", US_national_yearly!$D:$AM, 10, FALSE), 1)</f>
        <v>0.36360686649608392</v>
      </c>
      <c r="N14" s="7">
        <f>$B14 * IFERROR(VLOOKUP("buildings|NOx|Minor restricted activity days", US_national_yearly!$D:$AM, 22, FALSE) / VLOOKUP("buildings|NOx|Minor restricted activity days", US_national_yearly!$D:$AM, 10, FALSE), 1)</f>
        <v>0.36632818018014851</v>
      </c>
      <c r="O14" s="7">
        <f>$B14 * IFERROR(VLOOKUP("buildings|NOx|Minor restricted activity days", US_national_yearly!$D:$AM, 23, FALSE) / VLOOKUP("buildings|NOx|Minor restricted activity days", US_national_yearly!$D:$AM, 10, FALSE), 1)</f>
        <v>0.3690494938642131</v>
      </c>
      <c r="P14" s="7">
        <f>$B14 * IFERROR(VLOOKUP("buildings|NOx|Minor restricted activity days", US_national_yearly!$D:$AM, 24, FALSE) / VLOOKUP("buildings|NOx|Minor restricted activity days", US_national_yearly!$D:$AM, 10, FALSE), 1)</f>
        <v>0.37177080754827768</v>
      </c>
      <c r="Q14" s="7">
        <f>$B14 * IFERROR(VLOOKUP("buildings|NOx|Minor restricted activity days", US_national_yearly!$D:$AM, 25, FALSE) / VLOOKUP("buildings|NOx|Minor restricted activity days", US_national_yearly!$D:$AM, 10, FALSE), 1)</f>
        <v>0.37449212123234221</v>
      </c>
      <c r="R14" s="7">
        <f>$B14 * IFERROR(VLOOKUP("buildings|NOx|Minor restricted activity days", US_national_yearly!$D:$AM, 26, FALSE) / VLOOKUP("buildings|NOx|Minor restricted activity days", US_national_yearly!$D:$AM, 10, FALSE), 1)</f>
        <v>0.3772134349164068</v>
      </c>
      <c r="S14" s="7">
        <f>$B14 * IFERROR(VLOOKUP("buildings|NOx|Minor restricted activity days", US_national_yearly!$D:$AM, 27, FALSE) / VLOOKUP("buildings|NOx|Minor restricted activity days", US_national_yearly!$D:$AM, 10, FALSE), 1)</f>
        <v>0.37993396520814898</v>
      </c>
      <c r="T14" s="7">
        <f>$B14 * IFERROR(VLOOKUP("buildings|NOx|Minor restricted activity days", US_national_yearly!$D:$AM, 28, FALSE) / VLOOKUP("buildings|NOx|Minor restricted activity days", US_national_yearly!$D:$AM, 10, FALSE), 1)</f>
        <v>0.38265449549989122</v>
      </c>
      <c r="U14" s="7">
        <f>$B14 * IFERROR(VLOOKUP("buildings|NOx|Minor restricted activity days", US_national_yearly!$D:$AM, 29, FALSE) / VLOOKUP("buildings|NOx|Minor restricted activity days", US_national_yearly!$D:$AM, 10, FALSE), 1)</f>
        <v>0.38537502579163352</v>
      </c>
      <c r="V14" s="7">
        <f>$B14 * IFERROR(VLOOKUP("buildings|NOx|Minor restricted activity days", US_national_yearly!$D:$AM, 30, FALSE) / VLOOKUP("buildings|NOx|Minor restricted activity days", US_national_yearly!$D:$AM, 10, FALSE), 1)</f>
        <v>0.38809555608337576</v>
      </c>
      <c r="W14" s="7">
        <f>$B14 * IFERROR(VLOOKUP("buildings|NOx|Minor restricted activity days", US_national_yearly!$D:$AM, 31, FALSE) / VLOOKUP("buildings|NOx|Minor restricted activity days", US_national_yearly!$D:$AM, 10, FALSE), 1)</f>
        <v>0.39081608637511794</v>
      </c>
      <c r="X14" s="7">
        <f>$B14 * IFERROR(VLOOKUP("buildings|NOx|Minor restricted activity days", US_national_yearly!$D:$AM, 32, FALSE) / VLOOKUP("buildings|NOx|Minor restricted activity days", US_national_yearly!$D:$AM, 10, FALSE), 1)</f>
        <v>0.39311695059375246</v>
      </c>
      <c r="Y14" s="7">
        <f>$B14 * IFERROR(VLOOKUP("buildings|NOx|Minor restricted activity days", US_national_yearly!$D:$AM, 33, FALSE) / VLOOKUP("buildings|NOx|Minor restricted activity days", US_national_yearly!$D:$AM, 10, FALSE), 1)</f>
        <v>0.39541781481238703</v>
      </c>
      <c r="Z14" s="7">
        <f>$B14 * IFERROR(VLOOKUP("buildings|NOx|Minor restricted activity days", US_national_yearly!$D:$AM, 34, FALSE) / VLOOKUP("buildings|NOx|Minor restricted activity days", US_national_yearly!$D:$AM, 10, FALSE), 1)</f>
        <v>0.39771867903102148</v>
      </c>
      <c r="AA14" s="7">
        <f>$B14 * IFERROR(VLOOKUP("buildings|NOx|Minor restricted activity days", US_national_yearly!$D:$AM, 35, FALSE) / VLOOKUP("buildings|NOx|Minor restricted activity days", US_national_yearly!$D:$AM, 10, FALSE), 1)</f>
        <v>0.40001954324965605</v>
      </c>
      <c r="AB14" s="7">
        <f>$B14 * IFERROR(VLOOKUP("buildings|NOx|Minor restricted activity days", US_national_yearly!$D:$AM, 36, FALSE) / VLOOKUP("buildings|NOx|Minor restricted activity days", US_national_yearly!$D:$AM, 10, FALSE), 1)</f>
        <v>0.40232040746829056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5.9374261519860576E-2</v>
      </c>
      <c r="C15" s="7">
        <f>$B15 * IFERROR(VLOOKUP("buildings|NOx|Work loss days", US_national_yearly!$D:$AM, 11, FALSE) / VLOOKUP("buildings|NOx|Work loss days", US_national_yearly!$D:$AM, 10, FALSE), 1)</f>
        <v>5.9507362883656156E-2</v>
      </c>
      <c r="D15" s="7">
        <f>$B15 * IFERROR(VLOOKUP("buildings|NOx|Work loss days", US_national_yearly!$D:$AM, 12, FALSE) / VLOOKUP("buildings|NOx|Work loss days", US_national_yearly!$D:$AM, 10, FALSE), 1)</f>
        <v>5.9640464247451723E-2</v>
      </c>
      <c r="E15" s="7">
        <f>$B15 * IFERROR(VLOOKUP("buildings|NOx|Work loss days", US_national_yearly!$D:$AM, 13, FALSE) / VLOOKUP("buildings|NOx|Work loss days", US_national_yearly!$D:$AM, 10, FALSE), 1)</f>
        <v>5.9773565611247283E-2</v>
      </c>
      <c r="F15" s="7">
        <f>$B15 * IFERROR(VLOOKUP("buildings|NOx|Work loss days", US_national_yearly!$D:$AM, 14, FALSE) / VLOOKUP("buildings|NOx|Work loss days", US_national_yearly!$D:$AM, 10, FALSE), 1)</f>
        <v>5.9906666975042863E-2</v>
      </c>
      <c r="G15" s="7">
        <f>$B15 * IFERROR(VLOOKUP("buildings|NOx|Work loss days", US_national_yearly!$D:$AM, 15, FALSE) / VLOOKUP("buildings|NOx|Work loss days", US_national_yearly!$D:$AM, 10, FALSE), 1)</f>
        <v>6.0100544034082222E-2</v>
      </c>
      <c r="H15" s="7">
        <f>$B15 * IFERROR(VLOOKUP("buildings|NOx|Work loss days", US_national_yearly!$D:$AM, 16, FALSE) / VLOOKUP("buildings|NOx|Work loss days", US_national_yearly!$D:$AM, 10, FALSE), 1)</f>
        <v>6.0294421093121574E-2</v>
      </c>
      <c r="I15" s="7">
        <f>$B15 * IFERROR(VLOOKUP("buildings|NOx|Work loss days", US_national_yearly!$D:$AM, 17, FALSE) / VLOOKUP("buildings|NOx|Work loss days", US_national_yearly!$D:$AM, 10, FALSE), 1)</f>
        <v>6.0607978735622188E-2</v>
      </c>
      <c r="J15" s="7">
        <f>$B15 * IFERROR(VLOOKUP("buildings|NOx|Work loss days", US_national_yearly!$D:$AM, 18, FALSE) / VLOOKUP("buildings|NOx|Work loss days", US_national_yearly!$D:$AM, 10, FALSE), 1)</f>
        <v>6.0921536378122788E-2</v>
      </c>
      <c r="K15" s="7">
        <f>$B15 * IFERROR(VLOOKUP("buildings|NOx|Work loss days", US_national_yearly!$D:$AM, 19, FALSE) / VLOOKUP("buildings|NOx|Work loss days", US_national_yearly!$D:$AM, 10, FALSE), 1)</f>
        <v>6.1235094020623396E-2</v>
      </c>
      <c r="L15" s="7">
        <f>$B15 * IFERROR(VLOOKUP("buildings|NOx|Work loss days", US_national_yearly!$D:$AM, 20, FALSE) / VLOOKUP("buildings|NOx|Work loss days", US_national_yearly!$D:$AM, 10, FALSE), 1)</f>
        <v>6.154865166312401E-2</v>
      </c>
      <c r="M15" s="7">
        <f>$B15 * IFERROR(VLOOKUP("buildings|NOx|Work loss days", US_national_yearly!$D:$AM, 21, FALSE) / VLOOKUP("buildings|NOx|Work loss days", US_national_yearly!$D:$AM, 10, FALSE), 1)</f>
        <v>6.1862209305624603E-2</v>
      </c>
      <c r="N15" s="7">
        <f>$B15 * IFERROR(VLOOKUP("buildings|NOx|Work loss days", US_national_yearly!$D:$AM, 22, FALSE) / VLOOKUP("buildings|NOx|Work loss days", US_national_yearly!$D:$AM, 10, FALSE), 1)</f>
        <v>6.2270148315726158E-2</v>
      </c>
      <c r="O15" s="7">
        <f>$B15 * IFERROR(VLOOKUP("buildings|NOx|Work loss days", US_national_yearly!$D:$AM, 23, FALSE) / VLOOKUP("buildings|NOx|Work loss days", US_national_yearly!$D:$AM, 10, FALSE), 1)</f>
        <v>6.2678087325827719E-2</v>
      </c>
      <c r="P15" s="7">
        <f>$B15 * IFERROR(VLOOKUP("buildings|NOx|Work loss days", US_national_yearly!$D:$AM, 24, FALSE) / VLOOKUP("buildings|NOx|Work loss days", US_national_yearly!$D:$AM, 10, FALSE), 1)</f>
        <v>6.3086026335929274E-2</v>
      </c>
      <c r="Q15" s="7">
        <f>$B15 * IFERROR(VLOOKUP("buildings|NOx|Work loss days", US_national_yearly!$D:$AM, 25, FALSE) / VLOOKUP("buildings|NOx|Work loss days", US_national_yearly!$D:$AM, 10, FALSE), 1)</f>
        <v>6.3493965346030828E-2</v>
      </c>
      <c r="R15" s="7">
        <f>$B15 * IFERROR(VLOOKUP("buildings|NOx|Work loss days", US_national_yearly!$D:$AM, 26, FALSE) / VLOOKUP("buildings|NOx|Work loss days", US_national_yearly!$D:$AM, 10, FALSE), 1)</f>
        <v>6.3901904356132383E-2</v>
      </c>
      <c r="S15" s="7">
        <f>$B15 * IFERROR(VLOOKUP("buildings|NOx|Work loss days", US_national_yearly!$D:$AM, 27, FALSE) / VLOOKUP("buildings|NOx|Work loss days", US_national_yearly!$D:$AM, 10, FALSE), 1)</f>
        <v>6.4356480892119719E-2</v>
      </c>
      <c r="T15" s="7">
        <f>$B15 * IFERROR(VLOOKUP("buildings|NOx|Work loss days", US_national_yearly!$D:$AM, 28, FALSE) / VLOOKUP("buildings|NOx|Work loss days", US_national_yearly!$D:$AM, 10, FALSE), 1)</f>
        <v>6.4811057428107055E-2</v>
      </c>
      <c r="U15" s="7">
        <f>$B15 * IFERROR(VLOOKUP("buildings|NOx|Work loss days", US_national_yearly!$D:$AM, 29, FALSE) / VLOOKUP("buildings|NOx|Work loss days", US_national_yearly!$D:$AM, 10, FALSE), 1)</f>
        <v>6.5265633964094377E-2</v>
      </c>
      <c r="V15" s="7">
        <f>$B15 * IFERROR(VLOOKUP("buildings|NOx|Work loss days", US_national_yearly!$D:$AM, 30, FALSE) / VLOOKUP("buildings|NOx|Work loss days", US_national_yearly!$D:$AM, 10, FALSE), 1)</f>
        <v>6.5720210500081699E-2</v>
      </c>
      <c r="W15" s="7">
        <f>$B15 * IFERROR(VLOOKUP("buildings|NOx|Work loss days", US_national_yearly!$D:$AM, 31, FALSE) / VLOOKUP("buildings|NOx|Work loss days", US_national_yearly!$D:$AM, 10, FALSE), 1)</f>
        <v>6.6174787036069022E-2</v>
      </c>
      <c r="X15" s="7">
        <f>$B15 * IFERROR(VLOOKUP("buildings|NOx|Work loss days", US_national_yearly!$D:$AM, 32, FALSE) / VLOOKUP("buildings|NOx|Work loss days", US_national_yearly!$D:$AM, 10, FALSE), 1)</f>
        <v>6.6569454447267293E-2</v>
      </c>
      <c r="Y15" s="7">
        <f>$B15 * IFERROR(VLOOKUP("buildings|NOx|Work loss days", US_national_yearly!$D:$AM, 33, FALSE) / VLOOKUP("buildings|NOx|Work loss days", US_national_yearly!$D:$AM, 10, FALSE), 1)</f>
        <v>6.6964121858465578E-2</v>
      </c>
      <c r="Z15" s="7">
        <f>$B15 * IFERROR(VLOOKUP("buildings|NOx|Work loss days", US_national_yearly!$D:$AM, 34, FALSE) / VLOOKUP("buildings|NOx|Work loss days", US_national_yearly!$D:$AM, 10, FALSE), 1)</f>
        <v>6.7358789269663849E-2</v>
      </c>
      <c r="AA15" s="7">
        <f>$B15 * IFERROR(VLOOKUP("buildings|NOx|Work loss days", US_national_yearly!$D:$AM, 35, FALSE) / VLOOKUP("buildings|NOx|Work loss days", US_national_yearly!$D:$AM, 10, FALSE), 1)</f>
        <v>6.775345668086212E-2</v>
      </c>
      <c r="AB15" s="7">
        <f>$B15 * IFERROR(VLOOKUP("buildings|NOx|Work loss days", US_national_yearly!$D:$AM, 36, FALSE) / VLOOKUP("buildings|NOx|Work loss days", US_national_yearly!$D:$AM, 10, FALSE), 1)</f>
        <v>6.8148124092060405E-2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1.2075681857828168E-4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1.243070797748382E-4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1.2785734097139472E-4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1.3140760216795124E-4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1.3495786336450774E-4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1.3833054693050765E-4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1.4170323049650756E-4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1.4454101073164377E-4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1.4737879096677999E-4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1.502165712019162E-4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1.5305435143705238E-4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1.5589213167218856E-4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1.576672601457114E-4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1.5944238861923419E-4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1.61217517092757E-4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1.6299264556627984E-4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1.6476777403980262E-4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1.6557888074700811E-4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1.6638998745421358E-4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1.6720109416141905E-4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1.6801220086862451E-4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1.6882330757583001E-4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1.6927541026481857E-4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1.6972751295380717E-4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1.7017961564279573E-4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1.7063171833178433E-4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1.7108382102077289E-4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2.5384350042995099E-3</v>
      </c>
      <c r="C2" s="7">
        <f>$B2 * IFERROR(VLOOKUP("buildings|SO2|Premature mortality", US_national_yearly!$D:$AM, 11, FALSE) / VLOOKUP("buildings|SO2|Premature mortality", US_national_yearly!$D:$AM, 10, FALSE), 1)</f>
        <v>2.570592944349239E-3</v>
      </c>
      <c r="D2" s="7">
        <f>$B2 * IFERROR(VLOOKUP("buildings|SO2|Premature mortality", US_national_yearly!$D:$AM, 12, FALSE) / VLOOKUP("buildings|SO2|Premature mortality", US_national_yearly!$D:$AM, 10, FALSE), 1)</f>
        <v>2.6027508843989673E-3</v>
      </c>
      <c r="E2" s="7">
        <f>$B2 * IFERROR(VLOOKUP("buildings|SO2|Premature mortality", US_national_yearly!$D:$AM, 13, FALSE) / VLOOKUP("buildings|SO2|Premature mortality", US_national_yearly!$D:$AM, 10, FALSE), 1)</f>
        <v>2.6349088244486964E-3</v>
      </c>
      <c r="F2" s="7">
        <f>$B2 * IFERROR(VLOOKUP("buildings|SO2|Premature mortality", US_national_yearly!$D:$AM, 14, FALSE) / VLOOKUP("buildings|SO2|Premature mortality", US_national_yearly!$D:$AM, 10, FALSE), 1)</f>
        <v>2.6670667644984256E-3</v>
      </c>
      <c r="G2" s="7">
        <f>$B2 * IFERROR(VLOOKUP("buildings|SO2|Premature mortality", US_national_yearly!$D:$AM, 15, FALSE) / VLOOKUP("buildings|SO2|Premature mortality", US_national_yearly!$D:$AM, 10, FALSE), 1)</f>
        <v>2.729028589898235E-3</v>
      </c>
      <c r="H2" s="7">
        <f>$B2 * IFERROR(VLOOKUP("buildings|SO2|Premature mortality", US_national_yearly!$D:$AM, 16, FALSE) / VLOOKUP("buildings|SO2|Premature mortality", US_national_yearly!$D:$AM, 10, FALSE), 1)</f>
        <v>2.7909904152980452E-3</v>
      </c>
      <c r="I2" s="7">
        <f>$B2 * IFERROR(VLOOKUP("buildings|SO2|Premature mortality", US_national_yearly!$D:$AM, 17, FALSE) / VLOOKUP("buildings|SO2|Premature mortality", US_national_yearly!$D:$AM, 10, FALSE), 1)</f>
        <v>2.8319592183540243E-3</v>
      </c>
      <c r="J2" s="7">
        <f>$B2 * IFERROR(VLOOKUP("buildings|SO2|Premature mortality", US_national_yearly!$D:$AM, 18, FALSE) / VLOOKUP("buildings|SO2|Premature mortality", US_national_yearly!$D:$AM, 10, FALSE), 1)</f>
        <v>2.872928021410003E-3</v>
      </c>
      <c r="K2" s="7">
        <f>$B2 * IFERROR(VLOOKUP("buildings|SO2|Premature mortality", US_national_yearly!$D:$AM, 19, FALSE) / VLOOKUP("buildings|SO2|Premature mortality", US_national_yearly!$D:$AM, 10, FALSE), 1)</f>
        <v>2.9138968244659816E-3</v>
      </c>
      <c r="L2" s="7">
        <f>$B2 * IFERROR(VLOOKUP("buildings|SO2|Premature mortality", US_national_yearly!$D:$AM, 20, FALSE) / VLOOKUP("buildings|SO2|Premature mortality", US_national_yearly!$D:$AM, 10, FALSE), 1)</f>
        <v>2.9548656275219603E-3</v>
      </c>
      <c r="M2" s="7">
        <f>$B2 * IFERROR(VLOOKUP("buildings|SO2|Premature mortality", US_national_yearly!$D:$AM, 21, FALSE) / VLOOKUP("buildings|SO2|Premature mortality", US_national_yearly!$D:$AM, 10, FALSE), 1)</f>
        <v>2.9958344305779394E-3</v>
      </c>
      <c r="N2" s="7">
        <f>$B2 * IFERROR(VLOOKUP("buildings|SO2|Premature mortality", US_national_yearly!$D:$AM, 22, FALSE) / VLOOKUP("buildings|SO2|Premature mortality", US_national_yearly!$D:$AM, 10, FALSE), 1)</f>
        <v>3.027837820466435E-3</v>
      </c>
      <c r="O2" s="7">
        <f>$B2 * IFERROR(VLOOKUP("buildings|SO2|Premature mortality", US_national_yearly!$D:$AM, 23, FALSE) / VLOOKUP("buildings|SO2|Premature mortality", US_national_yearly!$D:$AM, 10, FALSE), 1)</f>
        <v>3.0598412103549294E-3</v>
      </c>
      <c r="P2" s="7">
        <f>$B2 * IFERROR(VLOOKUP("buildings|SO2|Premature mortality", US_national_yearly!$D:$AM, 24, FALSE) / VLOOKUP("buildings|SO2|Premature mortality", US_national_yearly!$D:$AM, 10, FALSE), 1)</f>
        <v>3.0918446002434247E-3</v>
      </c>
      <c r="Q2" s="7">
        <f>$B2 * IFERROR(VLOOKUP("buildings|SO2|Premature mortality", US_national_yearly!$D:$AM, 25, FALSE) / VLOOKUP("buildings|SO2|Premature mortality", US_national_yearly!$D:$AM, 10, FALSE), 1)</f>
        <v>3.1238479901319195E-3</v>
      </c>
      <c r="R2" s="7">
        <f>$B2 * IFERROR(VLOOKUP("buildings|SO2|Premature mortality", US_national_yearly!$D:$AM, 26, FALSE) / VLOOKUP("buildings|SO2|Premature mortality", US_national_yearly!$D:$AM, 10, FALSE), 1)</f>
        <v>3.1558513800204148E-3</v>
      </c>
      <c r="S2" s="7">
        <f>$B2 * IFERROR(VLOOKUP("buildings|SO2|Premature mortality", US_national_yearly!$D:$AM, 27, FALSE) / VLOOKUP("buildings|SO2|Premature mortality", US_national_yearly!$D:$AM, 10, FALSE), 1)</f>
        <v>3.1729799595991474E-3</v>
      </c>
      <c r="T2" s="7">
        <f>$B2 * IFERROR(VLOOKUP("buildings|SO2|Premature mortality", US_national_yearly!$D:$AM, 28, FALSE) / VLOOKUP("buildings|SO2|Premature mortality", US_national_yearly!$D:$AM, 10, FALSE), 1)</f>
        <v>3.1901085391778804E-3</v>
      </c>
      <c r="U2" s="7">
        <f>$B2 * IFERROR(VLOOKUP("buildings|SO2|Premature mortality", US_national_yearly!$D:$AM, 29, FALSE) / VLOOKUP("buildings|SO2|Premature mortality", US_national_yearly!$D:$AM, 10, FALSE), 1)</f>
        <v>3.207237118756613E-3</v>
      </c>
      <c r="V2" s="7">
        <f>$B2 * IFERROR(VLOOKUP("buildings|SO2|Premature mortality", US_national_yearly!$D:$AM, 30, FALSE) / VLOOKUP("buildings|SO2|Premature mortality", US_national_yearly!$D:$AM, 10, FALSE), 1)</f>
        <v>3.224365698335346E-3</v>
      </c>
      <c r="W2" s="7">
        <f>$B2 * IFERROR(VLOOKUP("buildings|SO2|Premature mortality", US_national_yearly!$D:$AM, 31, FALSE) / VLOOKUP("buildings|SO2|Premature mortality", US_national_yearly!$D:$AM, 10, FALSE), 1)</f>
        <v>3.2414942779140786E-3</v>
      </c>
      <c r="X2" s="7">
        <f>$B2 * IFERROR(VLOOKUP("buildings|SO2|Premature mortality", US_national_yearly!$D:$AM, 32, FALSE) / VLOOKUP("buildings|SO2|Premature mortality", US_national_yearly!$D:$AM, 10, FALSE), 1)</f>
        <v>3.2449553635940489E-3</v>
      </c>
      <c r="Y2" s="7">
        <f>$B2 * IFERROR(VLOOKUP("buildings|SO2|Premature mortality", US_national_yearly!$D:$AM, 33, FALSE) / VLOOKUP("buildings|SO2|Premature mortality", US_national_yearly!$D:$AM, 10, FALSE), 1)</f>
        <v>3.2484164492740191E-3</v>
      </c>
      <c r="Z2" s="7">
        <f>$B2 * IFERROR(VLOOKUP("buildings|SO2|Premature mortality", US_national_yearly!$D:$AM, 34, FALSE) / VLOOKUP("buildings|SO2|Premature mortality", US_national_yearly!$D:$AM, 10, FALSE), 1)</f>
        <v>3.2518775349539889E-3</v>
      </c>
      <c r="AA2" s="7">
        <f>$B2 * IFERROR(VLOOKUP("buildings|SO2|Premature mortality", US_national_yearly!$D:$AM, 35, FALSE) / VLOOKUP("buildings|SO2|Premature mortality", US_national_yearly!$D:$AM, 10, FALSE), 1)</f>
        <v>3.2553386206339591E-3</v>
      </c>
      <c r="AB2" s="7">
        <f>$B2 * IFERROR(VLOOKUP("buildings|SO2|Premature mortality", US_national_yearly!$D:$AM, 36, FALSE) / VLOOKUP("buildings|SO2|Premature mortality", US_national_yearly!$D:$AM, 10, FALSE), 1)</f>
        <v>3.2587997063139294E-3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7.1102708083170837E-6</v>
      </c>
      <c r="C3" s="7">
        <f>$B3 * IFERROR(VLOOKUP("buildings|SO2|Infant mortality", US_national_yearly!$D:$AM, 11, FALSE) / VLOOKUP("buildings|SO2|Infant mortality", US_national_yearly!$D:$AM, 10, FALSE), 1)</f>
        <v>7.0493257818909387E-6</v>
      </c>
      <c r="D3" s="7">
        <f>$B3 * IFERROR(VLOOKUP("buildings|SO2|Infant mortality", US_national_yearly!$D:$AM, 12, FALSE) / VLOOKUP("buildings|SO2|Infant mortality", US_national_yearly!$D:$AM, 10, FALSE), 1)</f>
        <v>6.9883807554647937E-6</v>
      </c>
      <c r="E3" s="7">
        <f>$B3 * IFERROR(VLOOKUP("buildings|SO2|Infant mortality", US_national_yearly!$D:$AM, 13, FALSE) / VLOOKUP("buildings|SO2|Infant mortality", US_national_yearly!$D:$AM, 10, FALSE), 1)</f>
        <v>6.9274357290386495E-6</v>
      </c>
      <c r="F3" s="7">
        <f>$B3 * IFERROR(VLOOKUP("buildings|SO2|Infant mortality", US_national_yearly!$D:$AM, 14, FALSE) / VLOOKUP("buildings|SO2|Infant mortality", US_national_yearly!$D:$AM, 10, FALSE), 1)</f>
        <v>6.8664907026125054E-6</v>
      </c>
      <c r="G3" s="7">
        <f>$B3 * IFERROR(VLOOKUP("buildings|SO2|Infant mortality", US_national_yearly!$D:$AM, 15, FALSE) / VLOOKUP("buildings|SO2|Infant mortality", US_national_yearly!$D:$AM, 10, FALSE), 1)</f>
        <v>4.5728107799397999E-6</v>
      </c>
      <c r="H3" s="7">
        <f>$B3 * IFERROR(VLOOKUP("buildings|SO2|Infant mortality", US_national_yearly!$D:$AM, 16, FALSE) / VLOOKUP("buildings|SO2|Infant mortality", US_national_yearly!$D:$AM, 10, FALSE), 1)</f>
        <v>2.2791308572670948E-6</v>
      </c>
      <c r="I3" s="7">
        <f>$B3 * IFERROR(VLOOKUP("buildings|SO2|Infant mortality", US_national_yearly!$D:$AM, 17, FALSE) / VLOOKUP("buildings|SO2|Infant mortality", US_national_yearly!$D:$AM, 10, FALSE), 1)</f>
        <v>2.2648313385842612E-6</v>
      </c>
      <c r="J3" s="7">
        <f>$B3 * IFERROR(VLOOKUP("buildings|SO2|Infant mortality", US_national_yearly!$D:$AM, 18, FALSE) / VLOOKUP("buildings|SO2|Infant mortality", US_national_yearly!$D:$AM, 10, FALSE), 1)</f>
        <v>2.2505318199014271E-6</v>
      </c>
      <c r="K3" s="7">
        <f>$B3 * IFERROR(VLOOKUP("buildings|SO2|Infant mortality", US_national_yearly!$D:$AM, 19, FALSE) / VLOOKUP("buildings|SO2|Infant mortality", US_national_yearly!$D:$AM, 10, FALSE), 1)</f>
        <v>2.236232301218593E-6</v>
      </c>
      <c r="L3" s="7">
        <f>$B3 * IFERROR(VLOOKUP("buildings|SO2|Infant mortality", US_national_yearly!$D:$AM, 20, FALSE) / VLOOKUP("buildings|SO2|Infant mortality", US_national_yearly!$D:$AM, 10, FALSE), 1)</f>
        <v>2.2219327825357589E-6</v>
      </c>
      <c r="M3" s="7">
        <f>$B3 * IFERROR(VLOOKUP("buildings|SO2|Infant mortality", US_national_yearly!$D:$AM, 21, FALSE) / VLOOKUP("buildings|SO2|Infant mortality", US_national_yearly!$D:$AM, 10, FALSE), 1)</f>
        <v>2.2076332638529252E-6</v>
      </c>
      <c r="N3" s="7">
        <f>$B3 * IFERROR(VLOOKUP("buildings|SO2|Infant mortality", US_national_yearly!$D:$AM, 22, FALSE) / VLOOKUP("buildings|SO2|Infant mortality", US_national_yearly!$D:$AM, 10, FALSE), 1)</f>
        <v>2.198668984705597E-6</v>
      </c>
      <c r="O3" s="7">
        <f>$B3 * IFERROR(VLOOKUP("buildings|SO2|Infant mortality", US_national_yearly!$D:$AM, 23, FALSE) / VLOOKUP("buildings|SO2|Infant mortality", US_national_yearly!$D:$AM, 10, FALSE), 1)</f>
        <v>2.1897047055582688E-6</v>
      </c>
      <c r="P3" s="7">
        <f>$B3 * IFERROR(VLOOKUP("buildings|SO2|Infant mortality", US_national_yearly!$D:$AM, 24, FALSE) / VLOOKUP("buildings|SO2|Infant mortality", US_national_yearly!$D:$AM, 10, FALSE), 1)</f>
        <v>2.180740426410941E-6</v>
      </c>
      <c r="Q3" s="7">
        <f>$B3 * IFERROR(VLOOKUP("buildings|SO2|Infant mortality", US_national_yearly!$D:$AM, 25, FALSE) / VLOOKUP("buildings|SO2|Infant mortality", US_national_yearly!$D:$AM, 10, FALSE), 1)</f>
        <v>2.1717761472636128E-6</v>
      </c>
      <c r="R3" s="7">
        <f>$B3 * IFERROR(VLOOKUP("buildings|SO2|Infant mortality", US_national_yearly!$D:$AM, 26, FALSE) / VLOOKUP("buildings|SO2|Infant mortality", US_national_yearly!$D:$AM, 10, FALSE), 1)</f>
        <v>2.1628118681162851E-6</v>
      </c>
      <c r="S3" s="7">
        <f>$B3 * IFERROR(VLOOKUP("buildings|SO2|Infant mortality", US_national_yearly!$D:$AM, 27, FALSE) / VLOOKUP("buildings|SO2|Infant mortality", US_national_yearly!$D:$AM, 10, FALSE), 1)</f>
        <v>2.1515555754616035E-6</v>
      </c>
      <c r="T3" s="7">
        <f>$B3 * IFERROR(VLOOKUP("buildings|SO2|Infant mortality", US_national_yearly!$D:$AM, 28, FALSE) / VLOOKUP("buildings|SO2|Infant mortality", US_national_yearly!$D:$AM, 10, FALSE), 1)</f>
        <v>2.1402992828069223E-6</v>
      </c>
      <c r="U3" s="7">
        <f>$B3 * IFERROR(VLOOKUP("buildings|SO2|Infant mortality", US_national_yearly!$D:$AM, 29, FALSE) / VLOOKUP("buildings|SO2|Infant mortality", US_national_yearly!$D:$AM, 10, FALSE), 1)</f>
        <v>2.1290429901522408E-6</v>
      </c>
      <c r="V3" s="7">
        <f>$B3 * IFERROR(VLOOKUP("buildings|SO2|Infant mortality", US_national_yearly!$D:$AM, 30, FALSE) / VLOOKUP("buildings|SO2|Infant mortality", US_national_yearly!$D:$AM, 10, FALSE), 1)</f>
        <v>2.1177866974975596E-6</v>
      </c>
      <c r="W3" s="7">
        <f>$B3 * IFERROR(VLOOKUP("buildings|SO2|Infant mortality", US_national_yearly!$D:$AM, 31, FALSE) / VLOOKUP("buildings|SO2|Infant mortality", US_national_yearly!$D:$AM, 10, FALSE), 1)</f>
        <v>2.1065304048428781E-6</v>
      </c>
      <c r="X3" s="7">
        <f>$B3 * IFERROR(VLOOKUP("buildings|SO2|Infant mortality", US_national_yearly!$D:$AM, 32, FALSE) / VLOOKUP("buildings|SO2|Infant mortality", US_national_yearly!$D:$AM, 10, FALSE), 1)</f>
        <v>2.0942367496866269E-6</v>
      </c>
      <c r="Y3" s="7">
        <f>$B3 * IFERROR(VLOOKUP("buildings|SO2|Infant mortality", US_national_yearly!$D:$AM, 33, FALSE) / VLOOKUP("buildings|SO2|Infant mortality", US_national_yearly!$D:$AM, 10, FALSE), 1)</f>
        <v>2.0819430945303754E-6</v>
      </c>
      <c r="Z3" s="7">
        <f>$B3 * IFERROR(VLOOKUP("buildings|SO2|Infant mortality", US_national_yearly!$D:$AM, 34, FALSE) / VLOOKUP("buildings|SO2|Infant mortality", US_national_yearly!$D:$AM, 10, FALSE), 1)</f>
        <v>2.0696494393741242E-6</v>
      </c>
      <c r="AA3" s="7">
        <f>$B3 * IFERROR(VLOOKUP("buildings|SO2|Infant mortality", US_national_yearly!$D:$AM, 35, FALSE) / VLOOKUP("buildings|SO2|Infant mortality", US_national_yearly!$D:$AM, 10, FALSE), 1)</f>
        <v>2.0573557842178727E-6</v>
      </c>
      <c r="AB3" s="7">
        <f>$B3 * IFERROR(VLOOKUP("buildings|SO2|Infant mortality", US_national_yearly!$D:$AM, 36, FALSE) / VLOOKUP("buildings|SO2|Infant mortality", US_national_yearly!$D:$AM, 10, FALSE), 1)</f>
        <v>2.0450621290616215E-6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6.3739250176193174E-3</v>
      </c>
      <c r="C6" s="7">
        <f>$B6 * IFERROR(VLOOKUP("buildings|SO2|Asthma symptoms cough", US_national_yearly!$D:$AM, 11, FALSE) / VLOOKUP("buildings|SO2|Asthma symptoms cough", US_national_yearly!$D:$AM, 10, FALSE), 1)</f>
        <v>6.3739250176193174E-3</v>
      </c>
      <c r="D6" s="7">
        <f>$B6 * IFERROR(VLOOKUP("buildings|SO2|Asthma symptoms cough", US_national_yearly!$D:$AM, 12, FALSE) / VLOOKUP("buildings|SO2|Asthma symptoms cough", US_national_yearly!$D:$AM, 10, FALSE), 1)</f>
        <v>6.3739250176193174E-3</v>
      </c>
      <c r="E6" s="7">
        <f>$B6 * IFERROR(VLOOKUP("buildings|SO2|Asthma symptoms cough", US_national_yearly!$D:$AM, 13, FALSE) / VLOOKUP("buildings|SO2|Asthma symptoms cough", US_national_yearly!$D:$AM, 10, FALSE), 1)</f>
        <v>6.3739250176193174E-3</v>
      </c>
      <c r="F6" s="7">
        <f>$B6 * IFERROR(VLOOKUP("buildings|SO2|Asthma symptoms cough", US_national_yearly!$D:$AM, 14, FALSE) / VLOOKUP("buildings|SO2|Asthma symptoms cough", US_national_yearly!$D:$AM, 10, FALSE), 1)</f>
        <v>6.3739250176193174E-3</v>
      </c>
      <c r="G6" s="7">
        <f>$B6 * IFERROR(VLOOKUP("buildings|SO2|Asthma symptoms cough", US_national_yearly!$D:$AM, 15, FALSE) / VLOOKUP("buildings|SO2|Asthma symptoms cough", US_national_yearly!$D:$AM, 10, FALSE), 1)</f>
        <v>6.3739250176193174E-3</v>
      </c>
      <c r="H6" s="7">
        <f>$B6 * IFERROR(VLOOKUP("buildings|SO2|Asthma symptoms cough", US_national_yearly!$D:$AM, 16, FALSE) / VLOOKUP("buildings|SO2|Asthma symptoms cough", US_national_yearly!$D:$AM, 10, FALSE), 1)</f>
        <v>6.3739250176193174E-3</v>
      </c>
      <c r="I6" s="7">
        <f>$B6 * IFERROR(VLOOKUP("buildings|SO2|Asthma symptoms cough", US_national_yearly!$D:$AM, 17, FALSE) / VLOOKUP("buildings|SO2|Asthma symptoms cough", US_national_yearly!$D:$AM, 10, FALSE), 1)</f>
        <v>6.3739250176193174E-3</v>
      </c>
      <c r="J6" s="7">
        <f>$B6 * IFERROR(VLOOKUP("buildings|SO2|Asthma symptoms cough", US_national_yearly!$D:$AM, 18, FALSE) / VLOOKUP("buildings|SO2|Asthma symptoms cough", US_national_yearly!$D:$AM, 10, FALSE), 1)</f>
        <v>6.3739250176193174E-3</v>
      </c>
      <c r="K6" s="7">
        <f>$B6 * IFERROR(VLOOKUP("buildings|SO2|Asthma symptoms cough", US_national_yearly!$D:$AM, 19, FALSE) / VLOOKUP("buildings|SO2|Asthma symptoms cough", US_national_yearly!$D:$AM, 10, FALSE), 1)</f>
        <v>6.3739250176193174E-3</v>
      </c>
      <c r="L6" s="7">
        <f>$B6 * IFERROR(VLOOKUP("buildings|SO2|Asthma symptoms cough", US_national_yearly!$D:$AM, 20, FALSE) / VLOOKUP("buildings|SO2|Asthma symptoms cough", US_national_yearly!$D:$AM, 10, FALSE), 1)</f>
        <v>6.3739250176193174E-3</v>
      </c>
      <c r="M6" s="7">
        <f>$B6 * IFERROR(VLOOKUP("buildings|SO2|Asthma symptoms cough", US_national_yearly!$D:$AM, 21, FALSE) / VLOOKUP("buildings|SO2|Asthma symptoms cough", US_national_yearly!$D:$AM, 10, FALSE), 1)</f>
        <v>6.3739250176193174E-3</v>
      </c>
      <c r="N6" s="7">
        <f>$B6 * IFERROR(VLOOKUP("buildings|SO2|Asthma symptoms cough", US_national_yearly!$D:$AM, 22, FALSE) / VLOOKUP("buildings|SO2|Asthma symptoms cough", US_national_yearly!$D:$AM, 10, FALSE), 1)</f>
        <v>6.3739250176193174E-3</v>
      </c>
      <c r="O6" s="7">
        <f>$B6 * IFERROR(VLOOKUP("buildings|SO2|Asthma symptoms cough", US_national_yearly!$D:$AM, 23, FALSE) / VLOOKUP("buildings|SO2|Asthma symptoms cough", US_national_yearly!$D:$AM, 10, FALSE), 1)</f>
        <v>6.3739250176193174E-3</v>
      </c>
      <c r="P6" s="7">
        <f>$B6 * IFERROR(VLOOKUP("buildings|SO2|Asthma symptoms cough", US_national_yearly!$D:$AM, 24, FALSE) / VLOOKUP("buildings|SO2|Asthma symptoms cough", US_national_yearly!$D:$AM, 10, FALSE), 1)</f>
        <v>6.3739250176193174E-3</v>
      </c>
      <c r="Q6" s="7">
        <f>$B6 * IFERROR(VLOOKUP("buildings|SO2|Asthma symptoms cough", US_national_yearly!$D:$AM, 25, FALSE) / VLOOKUP("buildings|SO2|Asthma symptoms cough", US_national_yearly!$D:$AM, 10, FALSE), 1)</f>
        <v>6.3739250176193174E-3</v>
      </c>
      <c r="R6" s="7">
        <f>$B6 * IFERROR(VLOOKUP("buildings|SO2|Asthma symptoms cough", US_national_yearly!$D:$AM, 26, FALSE) / VLOOKUP("buildings|SO2|Asthma symptoms cough", US_national_yearly!$D:$AM, 10, FALSE), 1)</f>
        <v>6.3739250176193174E-3</v>
      </c>
      <c r="S6" s="7">
        <f>$B6 * IFERROR(VLOOKUP("buildings|SO2|Asthma symptoms cough", US_national_yearly!$D:$AM, 27, FALSE) / VLOOKUP("buildings|SO2|Asthma symptoms cough", US_national_yearly!$D:$AM, 10, FALSE), 1)</f>
        <v>6.3739250176193174E-3</v>
      </c>
      <c r="T6" s="7">
        <f>$B6 * IFERROR(VLOOKUP("buildings|SO2|Asthma symptoms cough", US_national_yearly!$D:$AM, 28, FALSE) / VLOOKUP("buildings|SO2|Asthma symptoms cough", US_national_yearly!$D:$AM, 10, FALSE), 1)</f>
        <v>6.3739250176193174E-3</v>
      </c>
      <c r="U6" s="7">
        <f>$B6 * IFERROR(VLOOKUP("buildings|SO2|Asthma symptoms cough", US_national_yearly!$D:$AM, 29, FALSE) / VLOOKUP("buildings|SO2|Asthma symptoms cough", US_national_yearly!$D:$AM, 10, FALSE), 1)</f>
        <v>6.3739250176193174E-3</v>
      </c>
      <c r="V6" s="7">
        <f>$B6 * IFERROR(VLOOKUP("buildings|SO2|Asthma symptoms cough", US_national_yearly!$D:$AM, 30, FALSE) / VLOOKUP("buildings|SO2|Asthma symptoms cough", US_national_yearly!$D:$AM, 10, FALSE), 1)</f>
        <v>6.3739250176193174E-3</v>
      </c>
      <c r="W6" s="7">
        <f>$B6 * IFERROR(VLOOKUP("buildings|SO2|Asthma symptoms cough", US_national_yearly!$D:$AM, 31, FALSE) / VLOOKUP("buildings|SO2|Asthma symptoms cough", US_national_yearly!$D:$AM, 10, FALSE), 1)</f>
        <v>6.3739250176193174E-3</v>
      </c>
      <c r="X6" s="7">
        <f>$B6 * IFERROR(VLOOKUP("buildings|SO2|Asthma symptoms cough", US_national_yearly!$D:$AM, 32, FALSE) / VLOOKUP("buildings|SO2|Asthma symptoms cough", US_national_yearly!$D:$AM, 10, FALSE), 1)</f>
        <v>6.3739250176193174E-3</v>
      </c>
      <c r="Y6" s="7">
        <f>$B6 * IFERROR(VLOOKUP("buildings|SO2|Asthma symptoms cough", US_national_yearly!$D:$AM, 33, FALSE) / VLOOKUP("buildings|SO2|Asthma symptoms cough", US_national_yearly!$D:$AM, 10, FALSE), 1)</f>
        <v>6.3739250176193174E-3</v>
      </c>
      <c r="Z6" s="7">
        <f>$B6 * IFERROR(VLOOKUP("buildings|SO2|Asthma symptoms cough", US_national_yearly!$D:$AM, 34, FALSE) / VLOOKUP("buildings|SO2|Asthma symptoms cough", US_national_yearly!$D:$AM, 10, FALSE), 1)</f>
        <v>6.3739250176193174E-3</v>
      </c>
      <c r="AA6" s="7">
        <f>$B6 * IFERROR(VLOOKUP("buildings|SO2|Asthma symptoms cough", US_national_yearly!$D:$AM, 35, FALSE) / VLOOKUP("buildings|SO2|Asthma symptoms cough", US_national_yearly!$D:$AM, 10, FALSE), 1)</f>
        <v>6.3739250176193174E-3</v>
      </c>
      <c r="AB6" s="7">
        <f>$B6 * IFERROR(VLOOKUP("buildings|SO2|Asthma symptoms cough", US_national_yearly!$D:$AM, 36, FALSE) / VLOOKUP("buildings|SO2|Asthma symptoms cough", US_national_yearly!$D:$AM, 10, FALSE), 1)</f>
        <v>6.3739250176193174E-3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8.5834204180155627E-3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8.5834204180155627E-3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8.5834204180155627E-3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8.5834204180155627E-3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8.5834204180155627E-3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8.5834204180155627E-3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8.5834204180155627E-3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8.5834204180155627E-3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8.5834204180155627E-3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8.5834204180155627E-3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8.5834204180155627E-3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8.5834204180155627E-3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8.5834204180155627E-3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8.5834204180155627E-3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8.5834204180155627E-3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8.5834204180155627E-3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8.5834204180155627E-3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8.5834204180155627E-3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8.5834204180155627E-3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8.5834204180155627E-3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8.5834204180155627E-3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8.5834204180155627E-3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8.5834204180155627E-3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8.5834204180155627E-3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8.5834204180155627E-3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8.5834204180155627E-3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8.5834204180155627E-3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1.3113992130969306E-2</v>
      </c>
      <c r="C8" s="7">
        <f>$B8 * IFERROR(VLOOKUP("buildings|SO2|Asthma symptoms wheeze", US_national_yearly!$D:$AM, 11, FALSE) / VLOOKUP("buildings|SO2|Asthma symptoms wheeze", US_national_yearly!$D:$AM, 10, FALSE), 1)</f>
        <v>1.3113992130969306E-2</v>
      </c>
      <c r="D8" s="7">
        <f>$B8 * IFERROR(VLOOKUP("buildings|SO2|Asthma symptoms wheeze", US_national_yearly!$D:$AM, 12, FALSE) / VLOOKUP("buildings|SO2|Asthma symptoms wheeze", US_national_yearly!$D:$AM, 10, FALSE), 1)</f>
        <v>1.3113992130969306E-2</v>
      </c>
      <c r="E8" s="7">
        <f>$B8 * IFERROR(VLOOKUP("buildings|SO2|Asthma symptoms wheeze", US_national_yearly!$D:$AM, 13, FALSE) / VLOOKUP("buildings|SO2|Asthma symptoms wheeze", US_national_yearly!$D:$AM, 10, FALSE), 1)</f>
        <v>1.3113992130969306E-2</v>
      </c>
      <c r="F8" s="7">
        <f>$B8 * IFERROR(VLOOKUP("buildings|SO2|Asthma symptoms wheeze", US_national_yearly!$D:$AM, 14, FALSE) / VLOOKUP("buildings|SO2|Asthma symptoms wheeze", US_national_yearly!$D:$AM, 10, FALSE), 1)</f>
        <v>1.3113992130969306E-2</v>
      </c>
      <c r="G8" s="7">
        <f>$B8 * IFERROR(VLOOKUP("buildings|SO2|Asthma symptoms wheeze", US_national_yearly!$D:$AM, 15, FALSE) / VLOOKUP("buildings|SO2|Asthma symptoms wheeze", US_national_yearly!$D:$AM, 10, FALSE), 1)</f>
        <v>1.3113992130969306E-2</v>
      </c>
      <c r="H8" s="7">
        <f>$B8 * IFERROR(VLOOKUP("buildings|SO2|Asthma symptoms wheeze", US_national_yearly!$D:$AM, 16, FALSE) / VLOOKUP("buildings|SO2|Asthma symptoms wheeze", US_national_yearly!$D:$AM, 10, FALSE), 1)</f>
        <v>1.3113992130969306E-2</v>
      </c>
      <c r="I8" s="7">
        <f>$B8 * IFERROR(VLOOKUP("buildings|SO2|Asthma symptoms wheeze", US_national_yearly!$D:$AM, 17, FALSE) / VLOOKUP("buildings|SO2|Asthma symptoms wheeze", US_national_yearly!$D:$AM, 10, FALSE), 1)</f>
        <v>1.3113992130969306E-2</v>
      </c>
      <c r="J8" s="7">
        <f>$B8 * IFERROR(VLOOKUP("buildings|SO2|Asthma symptoms wheeze", US_national_yearly!$D:$AM, 18, FALSE) / VLOOKUP("buildings|SO2|Asthma symptoms wheeze", US_national_yearly!$D:$AM, 10, FALSE), 1)</f>
        <v>1.3113992130969306E-2</v>
      </c>
      <c r="K8" s="7">
        <f>$B8 * IFERROR(VLOOKUP("buildings|SO2|Asthma symptoms wheeze", US_national_yearly!$D:$AM, 19, FALSE) / VLOOKUP("buildings|SO2|Asthma symptoms wheeze", US_national_yearly!$D:$AM, 10, FALSE), 1)</f>
        <v>1.3113992130969306E-2</v>
      </c>
      <c r="L8" s="7">
        <f>$B8 * IFERROR(VLOOKUP("buildings|SO2|Asthma symptoms wheeze", US_national_yearly!$D:$AM, 20, FALSE) / VLOOKUP("buildings|SO2|Asthma symptoms wheeze", US_national_yearly!$D:$AM, 10, FALSE), 1)</f>
        <v>1.3113992130969306E-2</v>
      </c>
      <c r="M8" s="7">
        <f>$B8 * IFERROR(VLOOKUP("buildings|SO2|Asthma symptoms wheeze", US_national_yearly!$D:$AM, 21, FALSE) / VLOOKUP("buildings|SO2|Asthma symptoms wheeze", US_national_yearly!$D:$AM, 10, FALSE), 1)</f>
        <v>1.3113992130969306E-2</v>
      </c>
      <c r="N8" s="7">
        <f>$B8 * IFERROR(VLOOKUP("buildings|SO2|Asthma symptoms wheeze", US_national_yearly!$D:$AM, 22, FALSE) / VLOOKUP("buildings|SO2|Asthma symptoms wheeze", US_national_yearly!$D:$AM, 10, FALSE), 1)</f>
        <v>1.3113992130969306E-2</v>
      </c>
      <c r="O8" s="7">
        <f>$B8 * IFERROR(VLOOKUP("buildings|SO2|Asthma symptoms wheeze", US_national_yearly!$D:$AM, 23, FALSE) / VLOOKUP("buildings|SO2|Asthma symptoms wheeze", US_national_yearly!$D:$AM, 10, FALSE), 1)</f>
        <v>1.3113992130969306E-2</v>
      </c>
      <c r="P8" s="7">
        <f>$B8 * IFERROR(VLOOKUP("buildings|SO2|Asthma symptoms wheeze", US_national_yearly!$D:$AM, 24, FALSE) / VLOOKUP("buildings|SO2|Asthma symptoms wheeze", US_national_yearly!$D:$AM, 10, FALSE), 1)</f>
        <v>1.3113992130969306E-2</v>
      </c>
      <c r="Q8" s="7">
        <f>$B8 * IFERROR(VLOOKUP("buildings|SO2|Asthma symptoms wheeze", US_national_yearly!$D:$AM, 25, FALSE) / VLOOKUP("buildings|SO2|Asthma symptoms wheeze", US_national_yearly!$D:$AM, 10, FALSE), 1)</f>
        <v>1.3113992130969306E-2</v>
      </c>
      <c r="R8" s="7">
        <f>$B8 * IFERROR(VLOOKUP("buildings|SO2|Asthma symptoms wheeze", US_national_yearly!$D:$AM, 26, FALSE) / VLOOKUP("buildings|SO2|Asthma symptoms wheeze", US_national_yearly!$D:$AM, 10, FALSE), 1)</f>
        <v>1.3113992130969306E-2</v>
      </c>
      <c r="S8" s="7">
        <f>$B8 * IFERROR(VLOOKUP("buildings|SO2|Asthma symptoms wheeze", US_national_yearly!$D:$AM, 27, FALSE) / VLOOKUP("buildings|SO2|Asthma symptoms wheeze", US_national_yearly!$D:$AM, 10, FALSE), 1)</f>
        <v>1.3113992130969306E-2</v>
      </c>
      <c r="T8" s="7">
        <f>$B8 * IFERROR(VLOOKUP("buildings|SO2|Asthma symptoms wheeze", US_national_yearly!$D:$AM, 28, FALSE) / VLOOKUP("buildings|SO2|Asthma symptoms wheeze", US_national_yearly!$D:$AM, 10, FALSE), 1)</f>
        <v>1.3113992130969306E-2</v>
      </c>
      <c r="U8" s="7">
        <f>$B8 * IFERROR(VLOOKUP("buildings|SO2|Asthma symptoms wheeze", US_national_yearly!$D:$AM, 29, FALSE) / VLOOKUP("buildings|SO2|Asthma symptoms wheeze", US_national_yearly!$D:$AM, 10, FALSE), 1)</f>
        <v>1.3113992130969306E-2</v>
      </c>
      <c r="V8" s="7">
        <f>$B8 * IFERROR(VLOOKUP("buildings|SO2|Asthma symptoms wheeze", US_national_yearly!$D:$AM, 30, FALSE) / VLOOKUP("buildings|SO2|Asthma symptoms wheeze", US_national_yearly!$D:$AM, 10, FALSE), 1)</f>
        <v>1.3113992130969306E-2</v>
      </c>
      <c r="W8" s="7">
        <f>$B8 * IFERROR(VLOOKUP("buildings|SO2|Asthma symptoms wheeze", US_national_yearly!$D:$AM, 31, FALSE) / VLOOKUP("buildings|SO2|Asthma symptoms wheeze", US_national_yearly!$D:$AM, 10, FALSE), 1)</f>
        <v>1.3113992130969306E-2</v>
      </c>
      <c r="X8" s="7">
        <f>$B8 * IFERROR(VLOOKUP("buildings|SO2|Asthma symptoms wheeze", US_national_yearly!$D:$AM, 32, FALSE) / VLOOKUP("buildings|SO2|Asthma symptoms wheeze", US_national_yearly!$D:$AM, 10, FALSE), 1)</f>
        <v>1.3113992130969306E-2</v>
      </c>
      <c r="Y8" s="7">
        <f>$B8 * IFERROR(VLOOKUP("buildings|SO2|Asthma symptoms wheeze", US_national_yearly!$D:$AM, 33, FALSE) / VLOOKUP("buildings|SO2|Asthma symptoms wheeze", US_national_yearly!$D:$AM, 10, FALSE), 1)</f>
        <v>1.3113992130969306E-2</v>
      </c>
      <c r="Z8" s="7">
        <f>$B8 * IFERROR(VLOOKUP("buildings|SO2|Asthma symptoms wheeze", US_national_yearly!$D:$AM, 34, FALSE) / VLOOKUP("buildings|SO2|Asthma symptoms wheeze", US_national_yearly!$D:$AM, 10, FALSE), 1)</f>
        <v>1.3113992130969306E-2</v>
      </c>
      <c r="AA8" s="7">
        <f>$B8 * IFERROR(VLOOKUP("buildings|SO2|Asthma symptoms wheeze", US_national_yearly!$D:$AM, 35, FALSE) / VLOOKUP("buildings|SO2|Asthma symptoms wheeze", US_national_yearly!$D:$AM, 10, FALSE), 1)</f>
        <v>1.3113992130969306E-2</v>
      </c>
      <c r="AB8" s="7">
        <f>$B8 * IFERROR(VLOOKUP("buildings|SO2|Asthma symptoms wheeze", US_national_yearly!$D:$AM, 36, FALSE) / VLOOKUP("buildings|SO2|Asthma symptoms wheeze", US_national_yearly!$D:$AM, 10, FALSE), 1)</f>
        <v>1.3113992130969306E-2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1.7896549945997192E-4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1.8002253824720349E-4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1.8107957703443508E-4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1.8213661582166664E-4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1.8319365460889818E-4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1.8434569371489221E-4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1.8549773282088621E-4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1.8663146639437723E-4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1.877651999678683E-4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1.8889893354135932E-4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1.9003266711485034E-4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1.9116640068834139E-4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1.9199421387609632E-4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1.9282202706385126E-4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1.9364984025160622E-4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1.9447765343936116E-4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1.953054666271161E-4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1.960947962187492E-4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1.9688412581038236E-4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1.9767345540201546E-4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1.9846278499364856E-4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1.9925211458528172E-4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2.0000218364427027E-4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2.007522527032589E-4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2.0150232176224746E-4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2.0225239082123604E-4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2.0300245988022465E-4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1.0701764717368206E-3</v>
      </c>
      <c r="C13" s="7">
        <f>$B13 * IFERROR(VLOOKUP("buildings|SO2|Non-fatal heart attacks", US_national_yearly!$D:$AM, 11, FALSE) / VLOOKUP("buildings|SO2|Non-fatal heart attacks", US_national_yearly!$D:$AM, 10, FALSE), 1)</f>
        <v>1.1016031230354887E-3</v>
      </c>
      <c r="D13" s="7">
        <f>$B13 * IFERROR(VLOOKUP("buildings|SO2|Non-fatal heart attacks", US_national_yearly!$D:$AM, 12, FALSE) / VLOOKUP("buildings|SO2|Non-fatal heart attacks", US_national_yearly!$D:$AM, 10, FALSE), 1)</f>
        <v>1.1330297743341567E-3</v>
      </c>
      <c r="E13" s="7">
        <f>$B13 * IFERROR(VLOOKUP("buildings|SO2|Non-fatal heart attacks", US_national_yearly!$D:$AM, 13, FALSE) / VLOOKUP("buildings|SO2|Non-fatal heart attacks", US_national_yearly!$D:$AM, 10, FALSE), 1)</f>
        <v>1.1644564256328245E-3</v>
      </c>
      <c r="F13" s="7">
        <f>$B13 * IFERROR(VLOOKUP("buildings|SO2|Non-fatal heart attacks", US_national_yearly!$D:$AM, 14, FALSE) / VLOOKUP("buildings|SO2|Non-fatal heart attacks", US_national_yearly!$D:$AM, 10, FALSE), 1)</f>
        <v>1.1958830769314927E-3</v>
      </c>
      <c r="G13" s="7">
        <f>$B13 * IFERROR(VLOOKUP("buildings|SO2|Non-fatal heart attacks", US_national_yearly!$D:$AM, 15, FALSE) / VLOOKUP("buildings|SO2|Non-fatal heart attacks", US_national_yearly!$D:$AM, 10, FALSE), 1)</f>
        <v>1.2255234776056385E-3</v>
      </c>
      <c r="H13" s="7">
        <f>$B13 * IFERROR(VLOOKUP("buildings|SO2|Non-fatal heart attacks", US_national_yearly!$D:$AM, 16, FALSE) / VLOOKUP("buildings|SO2|Non-fatal heart attacks", US_national_yearly!$D:$AM, 10, FALSE), 1)</f>
        <v>1.2551638782797845E-3</v>
      </c>
      <c r="I13" s="7">
        <f>$B13 * IFERROR(VLOOKUP("buildings|SO2|Non-fatal heart attacks", US_national_yearly!$D:$AM, 17, FALSE) / VLOOKUP("buildings|SO2|Non-fatal heart attacks", US_national_yearly!$D:$AM, 10, FALSE), 1)</f>
        <v>1.2790224361449813E-3</v>
      </c>
      <c r="J13" s="7">
        <f>$B13 * IFERROR(VLOOKUP("buildings|SO2|Non-fatal heart attacks", US_national_yearly!$D:$AM, 18, FALSE) / VLOOKUP("buildings|SO2|Non-fatal heart attacks", US_national_yearly!$D:$AM, 10, FALSE), 1)</f>
        <v>1.3028809940101786E-3</v>
      </c>
      <c r="K13" s="7">
        <f>$B13 * IFERROR(VLOOKUP("buildings|SO2|Non-fatal heart attacks", US_national_yearly!$D:$AM, 19, FALSE) / VLOOKUP("buildings|SO2|Non-fatal heart attacks", US_national_yearly!$D:$AM, 10, FALSE), 1)</f>
        <v>1.3267395518753757E-3</v>
      </c>
      <c r="L13" s="7">
        <f>$B13 * IFERROR(VLOOKUP("buildings|SO2|Non-fatal heart attacks", US_national_yearly!$D:$AM, 20, FALSE) / VLOOKUP("buildings|SO2|Non-fatal heart attacks", US_national_yearly!$D:$AM, 10, FALSE), 1)</f>
        <v>1.3505981097405731E-3</v>
      </c>
      <c r="M13" s="7">
        <f>$B13 * IFERROR(VLOOKUP("buildings|SO2|Non-fatal heart attacks", US_national_yearly!$D:$AM, 21, FALSE) / VLOOKUP("buildings|SO2|Non-fatal heart attacks", US_national_yearly!$D:$AM, 10, FALSE), 1)</f>
        <v>1.3744566676057702E-3</v>
      </c>
      <c r="N13" s="7">
        <f>$B13 * IFERROR(VLOOKUP("buildings|SO2|Non-fatal heart attacks", US_national_yearly!$D:$AM, 22, FALSE) / VLOOKUP("buildings|SO2|Non-fatal heart attacks", US_national_yearly!$D:$AM, 10, FALSE), 1)</f>
        <v>1.3899419807452851E-3</v>
      </c>
      <c r="O13" s="7">
        <f>$B13 * IFERROR(VLOOKUP("buildings|SO2|Non-fatal heart attacks", US_national_yearly!$D:$AM, 23, FALSE) / VLOOKUP("buildings|SO2|Non-fatal heart attacks", US_national_yearly!$D:$AM, 10, FALSE), 1)</f>
        <v>1.4054272938848001E-3</v>
      </c>
      <c r="P13" s="7">
        <f>$B13 * IFERROR(VLOOKUP("buildings|SO2|Non-fatal heart attacks", US_national_yearly!$D:$AM, 24, FALSE) / VLOOKUP("buildings|SO2|Non-fatal heart attacks", US_national_yearly!$D:$AM, 10, FALSE), 1)</f>
        <v>1.420912607024315E-3</v>
      </c>
      <c r="Q13" s="7">
        <f>$B13 * IFERROR(VLOOKUP("buildings|SO2|Non-fatal heart attacks", US_national_yearly!$D:$AM, 25, FALSE) / VLOOKUP("buildings|SO2|Non-fatal heart attacks", US_national_yearly!$D:$AM, 10, FALSE), 1)</f>
        <v>1.4363979201638297E-3</v>
      </c>
      <c r="R13" s="7">
        <f>$B13 * IFERROR(VLOOKUP("buildings|SO2|Non-fatal heart attacks", US_national_yearly!$D:$AM, 26, FALSE) / VLOOKUP("buildings|SO2|Non-fatal heart attacks", US_national_yearly!$D:$AM, 10, FALSE), 1)</f>
        <v>1.4518832333033449E-3</v>
      </c>
      <c r="S13" s="7">
        <f>$B13 * IFERROR(VLOOKUP("buildings|SO2|Non-fatal heart attacks", US_national_yearly!$D:$AM, 27, FALSE) / VLOOKUP("buildings|SO2|Non-fatal heart attacks", US_national_yearly!$D:$AM, 10, FALSE), 1)</f>
        <v>1.4599696384695071E-3</v>
      </c>
      <c r="T13" s="7">
        <f>$B13 * IFERROR(VLOOKUP("buildings|SO2|Non-fatal heart attacks", US_national_yearly!$D:$AM, 28, FALSE) / VLOOKUP("buildings|SO2|Non-fatal heart attacks", US_national_yearly!$D:$AM, 10, FALSE), 1)</f>
        <v>1.4680560436356692E-3</v>
      </c>
      <c r="U13" s="7">
        <f>$B13 * IFERROR(VLOOKUP("buildings|SO2|Non-fatal heart attacks", US_national_yearly!$D:$AM, 29, FALSE) / VLOOKUP("buildings|SO2|Non-fatal heart attacks", US_national_yearly!$D:$AM, 10, FALSE), 1)</f>
        <v>1.4761424488018309E-3</v>
      </c>
      <c r="V13" s="7">
        <f>$B13 * IFERROR(VLOOKUP("buildings|SO2|Non-fatal heart attacks", US_national_yearly!$D:$AM, 30, FALSE) / VLOOKUP("buildings|SO2|Non-fatal heart attacks", US_national_yearly!$D:$AM, 10, FALSE), 1)</f>
        <v>1.4842288539679931E-3</v>
      </c>
      <c r="W13" s="7">
        <f>$B13 * IFERROR(VLOOKUP("buildings|SO2|Non-fatal heart attacks", US_national_yearly!$D:$AM, 31, FALSE) / VLOOKUP("buildings|SO2|Non-fatal heart attacks", US_national_yearly!$D:$AM, 10, FALSE), 1)</f>
        <v>1.492315259134155E-3</v>
      </c>
      <c r="X13" s="7">
        <f>$B13 * IFERROR(VLOOKUP("buildings|SO2|Non-fatal heart attacks", US_national_yearly!$D:$AM, 32, FALSE) / VLOOKUP("buildings|SO2|Non-fatal heart attacks", US_national_yearly!$D:$AM, 10, FALSE), 1)</f>
        <v>1.4984227061368473E-3</v>
      </c>
      <c r="Y13" s="7">
        <f>$B13 * IFERROR(VLOOKUP("buildings|SO2|Non-fatal heart attacks", US_national_yearly!$D:$AM, 33, FALSE) / VLOOKUP("buildings|SO2|Non-fatal heart attacks", US_national_yearly!$D:$AM, 10, FALSE), 1)</f>
        <v>1.5045301531395397E-3</v>
      </c>
      <c r="Z13" s="7">
        <f>$B13 * IFERROR(VLOOKUP("buildings|SO2|Non-fatal heart attacks", US_national_yearly!$D:$AM, 34, FALSE) / VLOOKUP("buildings|SO2|Non-fatal heart attacks", US_national_yearly!$D:$AM, 10, FALSE), 1)</f>
        <v>1.5106376001422315E-3</v>
      </c>
      <c r="AA13" s="7">
        <f>$B13 * IFERROR(VLOOKUP("buildings|SO2|Non-fatal heart attacks", US_national_yearly!$D:$AM, 35, FALSE) / VLOOKUP("buildings|SO2|Non-fatal heart attacks", US_national_yearly!$D:$AM, 10, FALSE), 1)</f>
        <v>1.5167450471449239E-3</v>
      </c>
      <c r="AB13" s="7">
        <f>$B13 * IFERROR(VLOOKUP("buildings|SO2|Non-fatal heart attacks", US_national_yearly!$D:$AM, 36, FALSE) / VLOOKUP("buildings|SO2|Non-fatal heart attacks", US_national_yearly!$D:$AM, 10, FALSE), 1)</f>
        <v>1.5228524941476159E-3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0.75411451958329367</v>
      </c>
      <c r="C14" s="7">
        <f>$B14 * IFERROR(VLOOKUP("buildings|SO2|Minor restricted activity days", US_national_yearly!$D:$AM, 11, FALSE) / VLOOKUP("buildings|SO2|Minor restricted activity days", US_national_yearly!$D:$AM, 10, FALSE), 1)</f>
        <v>0.75602352076416079</v>
      </c>
      <c r="D14" s="7">
        <f>$B14 * IFERROR(VLOOKUP("buildings|SO2|Minor restricted activity days", US_national_yearly!$D:$AM, 12, FALSE) / VLOOKUP("buildings|SO2|Minor restricted activity days", US_national_yearly!$D:$AM, 10, FALSE), 1)</f>
        <v>0.75793252194502803</v>
      </c>
      <c r="E14" s="7">
        <f>$B14 * IFERROR(VLOOKUP("buildings|SO2|Minor restricted activity days", US_national_yearly!$D:$AM, 13, FALSE) / VLOOKUP("buildings|SO2|Minor restricted activity days", US_national_yearly!$D:$AM, 10, FALSE), 1)</f>
        <v>0.75984152312589526</v>
      </c>
      <c r="F14" s="7">
        <f>$B14 * IFERROR(VLOOKUP("buildings|SO2|Minor restricted activity days", US_national_yearly!$D:$AM, 14, FALSE) / VLOOKUP("buildings|SO2|Minor restricted activity days", US_national_yearly!$D:$AM, 10, FALSE), 1)</f>
        <v>0.76175052430676227</v>
      </c>
      <c r="G14" s="7">
        <f>$B14 * IFERROR(VLOOKUP("buildings|SO2|Minor restricted activity days", US_national_yearly!$D:$AM, 15, FALSE) / VLOOKUP("buildings|SO2|Minor restricted activity days", US_national_yearly!$D:$AM, 10, FALSE), 1)</f>
        <v>0.76455751243445358</v>
      </c>
      <c r="H14" s="7">
        <f>$B14 * IFERROR(VLOOKUP("buildings|SO2|Minor restricted activity days", US_national_yearly!$D:$AM, 16, FALSE) / VLOOKUP("buildings|SO2|Minor restricted activity days", US_national_yearly!$D:$AM, 10, FALSE), 1)</f>
        <v>0.76736450056214489</v>
      </c>
      <c r="I14" s="7">
        <f>$B14 * IFERROR(VLOOKUP("buildings|SO2|Minor restricted activity days", US_national_yearly!$D:$AM, 17, FALSE) / VLOOKUP("buildings|SO2|Minor restricted activity days", US_national_yearly!$D:$AM, 10, FALSE), 1)</f>
        <v>0.77214508382645974</v>
      </c>
      <c r="J14" s="7">
        <f>$B14 * IFERROR(VLOOKUP("buildings|SO2|Minor restricted activity days", US_national_yearly!$D:$AM, 18, FALSE) / VLOOKUP("buildings|SO2|Minor restricted activity days", US_national_yearly!$D:$AM, 10, FALSE), 1)</f>
        <v>0.77692566709077482</v>
      </c>
      <c r="K14" s="7">
        <f>$B14 * IFERROR(VLOOKUP("buildings|SO2|Minor restricted activity days", US_national_yearly!$D:$AM, 19, FALSE) / VLOOKUP("buildings|SO2|Minor restricted activity days", US_national_yearly!$D:$AM, 10, FALSE), 1)</f>
        <v>0.78170625035508967</v>
      </c>
      <c r="L14" s="7">
        <f>$B14 * IFERROR(VLOOKUP("buildings|SO2|Minor restricted activity days", US_national_yearly!$D:$AM, 20, FALSE) / VLOOKUP("buildings|SO2|Minor restricted activity days", US_national_yearly!$D:$AM, 10, FALSE), 1)</f>
        <v>0.78648683361940452</v>
      </c>
      <c r="M14" s="7">
        <f>$B14 * IFERROR(VLOOKUP("buildings|SO2|Minor restricted activity days", US_national_yearly!$D:$AM, 21, FALSE) / VLOOKUP("buildings|SO2|Minor restricted activity days", US_national_yearly!$D:$AM, 10, FALSE), 1)</f>
        <v>0.79126741688371949</v>
      </c>
      <c r="N14" s="7">
        <f>$B14 * IFERROR(VLOOKUP("buildings|SO2|Minor restricted activity days", US_national_yearly!$D:$AM, 22, FALSE) / VLOOKUP("buildings|SO2|Minor restricted activity days", US_national_yearly!$D:$AM, 10, FALSE), 1)</f>
        <v>0.79780461328190166</v>
      </c>
      <c r="O14" s="7">
        <f>$B14 * IFERROR(VLOOKUP("buildings|SO2|Minor restricted activity days", US_national_yearly!$D:$AM, 23, FALSE) / VLOOKUP("buildings|SO2|Minor restricted activity days", US_national_yearly!$D:$AM, 10, FALSE), 1)</f>
        <v>0.80434180968008384</v>
      </c>
      <c r="P14" s="7">
        <f>$B14 * IFERROR(VLOOKUP("buildings|SO2|Minor restricted activity days", US_national_yearly!$D:$AM, 24, FALSE) / VLOOKUP("buildings|SO2|Minor restricted activity days", US_national_yearly!$D:$AM, 10, FALSE), 1)</f>
        <v>0.81087900607826591</v>
      </c>
      <c r="Q14" s="7">
        <f>$B14 * IFERROR(VLOOKUP("buildings|SO2|Minor restricted activity days", US_national_yearly!$D:$AM, 25, FALSE) / VLOOKUP("buildings|SO2|Minor restricted activity days", US_national_yearly!$D:$AM, 10, FALSE), 1)</f>
        <v>0.81741620247644808</v>
      </c>
      <c r="R14" s="7">
        <f>$B14 * IFERROR(VLOOKUP("buildings|SO2|Minor restricted activity days", US_national_yearly!$D:$AM, 26, FALSE) / VLOOKUP("buildings|SO2|Minor restricted activity days", US_national_yearly!$D:$AM, 10, FALSE), 1)</f>
        <v>0.82395339887463026</v>
      </c>
      <c r="S14" s="7">
        <f>$B14 * IFERROR(VLOOKUP("buildings|SO2|Minor restricted activity days", US_national_yearly!$D:$AM, 27, FALSE) / VLOOKUP("buildings|SO2|Minor restricted activity days", US_national_yearly!$D:$AM, 10, FALSE), 1)</f>
        <v>0.83061764619644618</v>
      </c>
      <c r="T14" s="7">
        <f>$B14 * IFERROR(VLOOKUP("buildings|SO2|Minor restricted activity days", US_national_yearly!$D:$AM, 28, FALSE) / VLOOKUP("buildings|SO2|Minor restricted activity days", US_national_yearly!$D:$AM, 10, FALSE), 1)</f>
        <v>0.83728189351826221</v>
      </c>
      <c r="U14" s="7">
        <f>$B14 * IFERROR(VLOOKUP("buildings|SO2|Minor restricted activity days", US_national_yearly!$D:$AM, 29, FALSE) / VLOOKUP("buildings|SO2|Minor restricted activity days", US_national_yearly!$D:$AM, 10, FALSE), 1)</f>
        <v>0.84394614084007813</v>
      </c>
      <c r="V14" s="7">
        <f>$B14 * IFERROR(VLOOKUP("buildings|SO2|Minor restricted activity days", US_national_yearly!$D:$AM, 30, FALSE) / VLOOKUP("buildings|SO2|Minor restricted activity days", US_national_yearly!$D:$AM, 10, FALSE), 1)</f>
        <v>0.85061038816189416</v>
      </c>
      <c r="W14" s="7">
        <f>$B14 * IFERROR(VLOOKUP("buildings|SO2|Minor restricted activity days", US_national_yearly!$D:$AM, 31, FALSE) / VLOOKUP("buildings|SO2|Minor restricted activity days", US_national_yearly!$D:$AM, 10, FALSE), 1)</f>
        <v>0.8572746354837103</v>
      </c>
      <c r="X14" s="7">
        <f>$B14 * IFERROR(VLOOKUP("buildings|SO2|Minor restricted activity days", US_national_yearly!$D:$AM, 32, FALSE) / VLOOKUP("buildings|SO2|Minor restricted activity days", US_national_yearly!$D:$AM, 10, FALSE), 1)</f>
        <v>0.86313545533676228</v>
      </c>
      <c r="Y14" s="7">
        <f>$B14 * IFERROR(VLOOKUP("buildings|SO2|Minor restricted activity days", US_national_yearly!$D:$AM, 33, FALSE) / VLOOKUP("buildings|SO2|Minor restricted activity days", US_national_yearly!$D:$AM, 10, FALSE), 1)</f>
        <v>0.86899627518981437</v>
      </c>
      <c r="Z14" s="7">
        <f>$B14 * IFERROR(VLOOKUP("buildings|SO2|Minor restricted activity days", US_national_yearly!$D:$AM, 34, FALSE) / VLOOKUP("buildings|SO2|Minor restricted activity days", US_national_yearly!$D:$AM, 10, FALSE), 1)</f>
        <v>0.87485709504286624</v>
      </c>
      <c r="AA14" s="7">
        <f>$B14 * IFERROR(VLOOKUP("buildings|SO2|Minor restricted activity days", US_national_yearly!$D:$AM, 35, FALSE) / VLOOKUP("buildings|SO2|Minor restricted activity days", US_national_yearly!$D:$AM, 10, FALSE), 1)</f>
        <v>0.88071791489591844</v>
      </c>
      <c r="AB14" s="7">
        <f>$B14 * IFERROR(VLOOKUP("buildings|SO2|Minor restricted activity days", US_national_yearly!$D:$AM, 36, FALSE) / VLOOKUP("buildings|SO2|Minor restricted activity days", US_national_yearly!$D:$AM, 10, FALSE), 1)</f>
        <v>0.88657873474897031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0.12747710975684537</v>
      </c>
      <c r="C15" s="7">
        <f>$B15 * IFERROR(VLOOKUP("buildings|SO2|Work loss days", US_national_yearly!$D:$AM, 11, FALSE) / VLOOKUP("buildings|SO2|Work loss days", US_national_yearly!$D:$AM, 10, FALSE), 1)</f>
        <v>0.12789128081043924</v>
      </c>
      <c r="D15" s="7">
        <f>$B15 * IFERROR(VLOOKUP("buildings|SO2|Work loss days", US_national_yearly!$D:$AM, 12, FALSE) / VLOOKUP("buildings|SO2|Work loss days", US_national_yearly!$D:$AM, 10, FALSE), 1)</f>
        <v>0.12830545186403314</v>
      </c>
      <c r="E15" s="7">
        <f>$B15 * IFERROR(VLOOKUP("buildings|SO2|Work loss days", US_national_yearly!$D:$AM, 13, FALSE) / VLOOKUP("buildings|SO2|Work loss days", US_national_yearly!$D:$AM, 10, FALSE), 1)</f>
        <v>0.12871962291762701</v>
      </c>
      <c r="F15" s="7">
        <f>$B15 * IFERROR(VLOOKUP("buildings|SO2|Work loss days", US_national_yearly!$D:$AM, 14, FALSE) / VLOOKUP("buildings|SO2|Work loss days", US_national_yearly!$D:$AM, 10, FALSE), 1)</f>
        <v>0.12913379397122085</v>
      </c>
      <c r="G15" s="7">
        <f>$B15 * IFERROR(VLOOKUP("buildings|SO2|Work loss days", US_national_yearly!$D:$AM, 15, FALSE) / VLOOKUP("buildings|SO2|Work loss days", US_national_yearly!$D:$AM, 10, FALSE), 1)</f>
        <v>0.12967472428686944</v>
      </c>
      <c r="H15" s="7">
        <f>$B15 * IFERROR(VLOOKUP("buildings|SO2|Work loss days", US_national_yearly!$D:$AM, 16, FALSE) / VLOOKUP("buildings|SO2|Work loss days", US_national_yearly!$D:$AM, 10, FALSE), 1)</f>
        <v>0.13021565460251802</v>
      </c>
      <c r="I15" s="7">
        <f>$B15 * IFERROR(VLOOKUP("buildings|SO2|Work loss days", US_national_yearly!$D:$AM, 17, FALSE) / VLOOKUP("buildings|SO2|Work loss days", US_national_yearly!$D:$AM, 10, FALSE), 1)</f>
        <v>0.13100652500103779</v>
      </c>
      <c r="J15" s="7">
        <f>$B15 * IFERROR(VLOOKUP("buildings|SO2|Work loss days", US_national_yearly!$D:$AM, 18, FALSE) / VLOOKUP("buildings|SO2|Work loss days", US_national_yearly!$D:$AM, 10, FALSE), 1)</f>
        <v>0.13179739539955754</v>
      </c>
      <c r="K15" s="7">
        <f>$B15 * IFERROR(VLOOKUP("buildings|SO2|Work loss days", US_national_yearly!$D:$AM, 19, FALSE) / VLOOKUP("buildings|SO2|Work loss days", US_national_yearly!$D:$AM, 10, FALSE), 1)</f>
        <v>0.13258826579807731</v>
      </c>
      <c r="L15" s="7">
        <f>$B15 * IFERROR(VLOOKUP("buildings|SO2|Work loss days", US_national_yearly!$D:$AM, 20, FALSE) / VLOOKUP("buildings|SO2|Work loss days", US_national_yearly!$D:$AM, 10, FALSE), 1)</f>
        <v>0.13337913619659705</v>
      </c>
      <c r="M15" s="7">
        <f>$B15 * IFERROR(VLOOKUP("buildings|SO2|Work loss days", US_national_yearly!$D:$AM, 21, FALSE) / VLOOKUP("buildings|SO2|Work loss days", US_national_yearly!$D:$AM, 10, FALSE), 1)</f>
        <v>0.1341700065951168</v>
      </c>
      <c r="N15" s="7">
        <f>$B15 * IFERROR(VLOOKUP("buildings|SO2|Work loss days", US_national_yearly!$D:$AM, 22, FALSE) / VLOOKUP("buildings|SO2|Work loss days", US_national_yearly!$D:$AM, 10, FALSE), 1)</f>
        <v>0.13516174511938703</v>
      </c>
      <c r="O15" s="7">
        <f>$B15 * IFERROR(VLOOKUP("buildings|SO2|Work loss days", US_national_yearly!$D:$AM, 23, FALSE) / VLOOKUP("buildings|SO2|Work loss days", US_national_yearly!$D:$AM, 10, FALSE), 1)</f>
        <v>0.13615348364365723</v>
      </c>
      <c r="P15" s="7">
        <f>$B15 * IFERROR(VLOOKUP("buildings|SO2|Work loss days", US_national_yearly!$D:$AM, 24, FALSE) / VLOOKUP("buildings|SO2|Work loss days", US_national_yearly!$D:$AM, 10, FALSE), 1)</f>
        <v>0.13714522216792743</v>
      </c>
      <c r="Q15" s="7">
        <f>$B15 * IFERROR(VLOOKUP("buildings|SO2|Work loss days", US_national_yearly!$D:$AM, 25, FALSE) / VLOOKUP("buildings|SO2|Work loss days", US_national_yearly!$D:$AM, 10, FALSE), 1)</f>
        <v>0.13813696069219769</v>
      </c>
      <c r="R15" s="7">
        <f>$B15 * IFERROR(VLOOKUP("buildings|SO2|Work loss days", US_national_yearly!$D:$AM, 26, FALSE) / VLOOKUP("buildings|SO2|Work loss days", US_national_yearly!$D:$AM, 10, FALSE), 1)</f>
        <v>0.13912869921646787</v>
      </c>
      <c r="S15" s="7">
        <f>$B15 * IFERROR(VLOOKUP("buildings|SO2|Work loss days", US_national_yearly!$D:$AM, 27, FALSE) / VLOOKUP("buildings|SO2|Work loss days", US_national_yearly!$D:$AM, 10, FALSE), 1)</f>
        <v>0.14023655801894278</v>
      </c>
      <c r="T15" s="7">
        <f>$B15 * IFERROR(VLOOKUP("buildings|SO2|Work loss days", US_national_yearly!$D:$AM, 28, FALSE) / VLOOKUP("buildings|SO2|Work loss days", US_national_yearly!$D:$AM, 10, FALSE), 1)</f>
        <v>0.14134441682141771</v>
      </c>
      <c r="U15" s="7">
        <f>$B15 * IFERROR(VLOOKUP("buildings|SO2|Work loss days", US_national_yearly!$D:$AM, 29, FALSE) / VLOOKUP("buildings|SO2|Work loss days", US_national_yearly!$D:$AM, 10, FALSE), 1)</f>
        <v>0.14245227562389262</v>
      </c>
      <c r="V15" s="7">
        <f>$B15 * IFERROR(VLOOKUP("buildings|SO2|Work loss days", US_national_yearly!$D:$AM, 30, FALSE) / VLOOKUP("buildings|SO2|Work loss days", US_national_yearly!$D:$AM, 10, FALSE), 1)</f>
        <v>0.1435601344263675</v>
      </c>
      <c r="W15" s="7">
        <f>$B15 * IFERROR(VLOOKUP("buildings|SO2|Work loss days", US_national_yearly!$D:$AM, 31, FALSE) / VLOOKUP("buildings|SO2|Work loss days", US_national_yearly!$D:$AM, 10, FALSE), 1)</f>
        <v>0.14466799322884244</v>
      </c>
      <c r="X15" s="7">
        <f>$B15 * IFERROR(VLOOKUP("buildings|SO2|Work loss days", US_national_yearly!$D:$AM, 32, FALSE) / VLOOKUP("buildings|SO2|Work loss days", US_national_yearly!$D:$AM, 10, FALSE), 1)</f>
        <v>0.1456627198457722</v>
      </c>
      <c r="Y15" s="7">
        <f>$B15 * IFERROR(VLOOKUP("buildings|SO2|Work loss days", US_national_yearly!$D:$AM, 33, FALSE) / VLOOKUP("buildings|SO2|Work loss days", US_national_yearly!$D:$AM, 10, FALSE), 1)</f>
        <v>0.14665744646270198</v>
      </c>
      <c r="Z15" s="7">
        <f>$B15 * IFERROR(VLOOKUP("buildings|SO2|Work loss days", US_national_yearly!$D:$AM, 34, FALSE) / VLOOKUP("buildings|SO2|Work loss days", US_national_yearly!$D:$AM, 10, FALSE), 1)</f>
        <v>0.14765217307963174</v>
      </c>
      <c r="AA15" s="7">
        <f>$B15 * IFERROR(VLOOKUP("buildings|SO2|Work loss days", US_national_yearly!$D:$AM, 35, FALSE) / VLOOKUP("buildings|SO2|Work loss days", US_national_yearly!$D:$AM, 10, FALSE), 1)</f>
        <v>0.1486468996965615</v>
      </c>
      <c r="AB15" s="7">
        <f>$B15 * IFERROR(VLOOKUP("buildings|SO2|Work loss days", US_national_yearly!$D:$AM, 36, FALSE) / VLOOKUP("buildings|SO2|Work loss days", US_national_yearly!$D:$AM, 10, FALSE), 1)</f>
        <v>0.14964162631349126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2.6961020427852166E-4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2.7776574000178069E-4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2.8592127572503971E-4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2.9407681144829879E-4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3.0223234717155782E-4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3.1004486188839614E-4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3.1785737660523436E-4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3.2455268597945724E-4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3.3124799535368002E-4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3.379433047279029E-4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3.4463861410212573E-4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3.5133392347634851E-4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3.558296895396927E-4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3.603254556030369E-4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3.6482122166638109E-4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3.6931698772972517E-4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3.7381275379306936E-4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3.761769821939814E-4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3.7854121059489339E-4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3.8090543899580538E-4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3.8326966739671736E-4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3.8563389579762935E-4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3.8722148048372842E-4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3.8880906516982743E-4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3.9039664985592644E-4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3.9198423454202551E-4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3.9357181922812452E-4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1.6286180556242598E-2</v>
      </c>
      <c r="C2" s="7">
        <f>$B2 * IFERROR(VLOOKUP("industry|PM25|Premature mortality", US_national_yearly!$D:$AM, 11, FALSE) / VLOOKUP("industry|PM25|Premature mortality", US_national_yearly!$D:$AM, 10, FALSE), 1)</f>
        <v>1.6488996725686978E-2</v>
      </c>
      <c r="D2" s="7">
        <f>$B2 * IFERROR(VLOOKUP("industry|PM25|Premature mortality", US_national_yearly!$D:$AM, 12, FALSE) / VLOOKUP("industry|PM25|Premature mortality", US_national_yearly!$D:$AM, 10, FALSE), 1)</f>
        <v>1.6691812895131355E-2</v>
      </c>
      <c r="E2" s="7">
        <f>$B2 * IFERROR(VLOOKUP("industry|PM25|Premature mortality", US_national_yearly!$D:$AM, 13, FALSE) / VLOOKUP("industry|PM25|Premature mortality", US_national_yearly!$D:$AM, 10, FALSE), 1)</f>
        <v>1.6894629064575735E-2</v>
      </c>
      <c r="F2" s="7">
        <f>$B2 * IFERROR(VLOOKUP("industry|PM25|Premature mortality", US_national_yearly!$D:$AM, 14, FALSE) / VLOOKUP("industry|PM25|Premature mortality", US_national_yearly!$D:$AM, 10, FALSE), 1)</f>
        <v>1.7097445234020112E-2</v>
      </c>
      <c r="G2" s="7">
        <f>$B2 * IFERROR(VLOOKUP("industry|PM25|Premature mortality", US_national_yearly!$D:$AM, 15, FALSE) / VLOOKUP("industry|PM25|Premature mortality", US_national_yearly!$D:$AM, 10, FALSE), 1)</f>
        <v>1.7492020941442747E-2</v>
      </c>
      <c r="H2" s="7">
        <f>$B2 * IFERROR(VLOOKUP("industry|PM25|Premature mortality", US_national_yearly!$D:$AM, 16, FALSE) / VLOOKUP("industry|PM25|Premature mortality", US_national_yearly!$D:$AM, 10, FALSE), 1)</f>
        <v>1.7886596648865379E-2</v>
      </c>
      <c r="I2" s="7">
        <f>$B2 * IFERROR(VLOOKUP("industry|PM25|Premature mortality", US_national_yearly!$D:$AM, 17, FALSE) / VLOOKUP("industry|PM25|Premature mortality", US_national_yearly!$D:$AM, 10, FALSE), 1)</f>
        <v>1.8147133676779094E-2</v>
      </c>
      <c r="J2" s="7">
        <f>$B2 * IFERROR(VLOOKUP("industry|PM25|Premature mortality", US_national_yearly!$D:$AM, 18, FALSE) / VLOOKUP("industry|PM25|Premature mortality", US_national_yearly!$D:$AM, 10, FALSE), 1)</f>
        <v>1.8407670704692802E-2</v>
      </c>
      <c r="K2" s="7">
        <f>$B2 * IFERROR(VLOOKUP("industry|PM25|Premature mortality", US_national_yearly!$D:$AM, 19, FALSE) / VLOOKUP("industry|PM25|Premature mortality", US_national_yearly!$D:$AM, 10, FALSE), 1)</f>
        <v>1.8668207732606509E-2</v>
      </c>
      <c r="L2" s="7">
        <f>$B2 * IFERROR(VLOOKUP("industry|PM25|Premature mortality", US_national_yearly!$D:$AM, 20, FALSE) / VLOOKUP("industry|PM25|Premature mortality", US_national_yearly!$D:$AM, 10, FALSE), 1)</f>
        <v>1.8928744760520221E-2</v>
      </c>
      <c r="M2" s="7">
        <f>$B2 * IFERROR(VLOOKUP("industry|PM25|Premature mortality", US_national_yearly!$D:$AM, 21, FALSE) / VLOOKUP("industry|PM25|Premature mortality", US_national_yearly!$D:$AM, 10, FALSE), 1)</f>
        <v>1.9189281788433932E-2</v>
      </c>
      <c r="N2" s="7">
        <f>$B2 * IFERROR(VLOOKUP("industry|PM25|Premature mortality", US_national_yearly!$D:$AM, 22, FALSE) / VLOOKUP("industry|PM25|Premature mortality", US_national_yearly!$D:$AM, 10, FALSE), 1)</f>
        <v>1.9392262408277943E-2</v>
      </c>
      <c r="O2" s="7">
        <f>$B2 * IFERROR(VLOOKUP("industry|PM25|Premature mortality", US_national_yearly!$D:$AM, 23, FALSE) / VLOOKUP("industry|PM25|Premature mortality", US_national_yearly!$D:$AM, 10, FALSE), 1)</f>
        <v>1.9595243028121948E-2</v>
      </c>
      <c r="P2" s="7">
        <f>$B2 * IFERROR(VLOOKUP("industry|PM25|Premature mortality", US_national_yearly!$D:$AM, 24, FALSE) / VLOOKUP("industry|PM25|Premature mortality", US_national_yearly!$D:$AM, 10, FALSE), 1)</f>
        <v>1.9798223647965959E-2</v>
      </c>
      <c r="Q2" s="7">
        <f>$B2 * IFERROR(VLOOKUP("industry|PM25|Premature mortality", US_national_yearly!$D:$AM, 25, FALSE) / VLOOKUP("industry|PM25|Premature mortality", US_national_yearly!$D:$AM, 10, FALSE), 1)</f>
        <v>2.000120426780997E-2</v>
      </c>
      <c r="R2" s="7">
        <f>$B2 * IFERROR(VLOOKUP("industry|PM25|Premature mortality", US_national_yearly!$D:$AM, 26, FALSE) / VLOOKUP("industry|PM25|Premature mortality", US_national_yearly!$D:$AM, 10, FALSE), 1)</f>
        <v>2.0204184887653978E-2</v>
      </c>
      <c r="S2" s="7">
        <f>$B2 * IFERROR(VLOOKUP("industry|PM25|Premature mortality", US_national_yearly!$D:$AM, 27, FALSE) / VLOOKUP("industry|PM25|Premature mortality", US_national_yearly!$D:$AM, 10, FALSE), 1)</f>
        <v>2.03137868938747E-2</v>
      </c>
      <c r="T2" s="7">
        <f>$B2 * IFERROR(VLOOKUP("industry|PM25|Premature mortality", US_national_yearly!$D:$AM, 28, FALSE) / VLOOKUP("industry|PM25|Premature mortality", US_national_yearly!$D:$AM, 10, FALSE), 1)</f>
        <v>2.0423388900095422E-2</v>
      </c>
      <c r="U2" s="7">
        <f>$B2 * IFERROR(VLOOKUP("industry|PM25|Premature mortality", US_national_yearly!$D:$AM, 29, FALSE) / VLOOKUP("industry|PM25|Premature mortality", US_national_yearly!$D:$AM, 10, FALSE), 1)</f>
        <v>2.0532990906316152E-2</v>
      </c>
      <c r="V2" s="7">
        <f>$B2 * IFERROR(VLOOKUP("industry|PM25|Premature mortality", US_national_yearly!$D:$AM, 30, FALSE) / VLOOKUP("industry|PM25|Premature mortality", US_national_yearly!$D:$AM, 10, FALSE), 1)</f>
        <v>2.0642592912536874E-2</v>
      </c>
      <c r="W2" s="7">
        <f>$B2 * IFERROR(VLOOKUP("industry|PM25|Premature mortality", US_national_yearly!$D:$AM, 31, FALSE) / VLOOKUP("industry|PM25|Premature mortality", US_national_yearly!$D:$AM, 10, FALSE), 1)</f>
        <v>2.0752194918757596E-2</v>
      </c>
      <c r="X2" s="7">
        <f>$B2 * IFERROR(VLOOKUP("industry|PM25|Premature mortality", US_national_yearly!$D:$AM, 32, FALSE) / VLOOKUP("industry|PM25|Premature mortality", US_national_yearly!$D:$AM, 10, FALSE), 1)</f>
        <v>2.0774823891421407E-2</v>
      </c>
      <c r="Y2" s="7">
        <f>$B2 * IFERROR(VLOOKUP("industry|PM25|Premature mortality", US_national_yearly!$D:$AM, 33, FALSE) / VLOOKUP("industry|PM25|Premature mortality", US_national_yearly!$D:$AM, 10, FALSE), 1)</f>
        <v>2.0797452864085228E-2</v>
      </c>
      <c r="Z2" s="7">
        <f>$B2 * IFERROR(VLOOKUP("industry|PM25|Premature mortality", US_national_yearly!$D:$AM, 34, FALSE) / VLOOKUP("industry|PM25|Premature mortality", US_national_yearly!$D:$AM, 10, FALSE), 1)</f>
        <v>2.0820081836749039E-2</v>
      </c>
      <c r="AA2" s="7">
        <f>$B2 * IFERROR(VLOOKUP("industry|PM25|Premature mortality", US_national_yearly!$D:$AM, 35, FALSE) / VLOOKUP("industry|PM25|Premature mortality", US_national_yearly!$D:$AM, 10, FALSE), 1)</f>
        <v>2.0842710809412853E-2</v>
      </c>
      <c r="AB2" s="7">
        <f>$B2 * IFERROR(VLOOKUP("industry|PM25|Premature mortality", US_national_yearly!$D:$AM, 36, FALSE) / VLOOKUP("industry|PM25|Premature mortality", US_national_yearly!$D:$AM, 10, FALSE), 1)</f>
        <v>2.0865339782076667E-2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4.6343176670775794E-5</v>
      </c>
      <c r="C3" s="7">
        <f>$B3 * IFERROR(VLOOKUP("industry|PM25|Infant mortality", US_national_yearly!$D:$AM, 11, FALSE) / VLOOKUP("industry|PM25|Infant mortality", US_national_yearly!$D:$AM, 10, FALSE), 1)</f>
        <v>4.5939673636315757E-5</v>
      </c>
      <c r="D3" s="7">
        <f>$B3 * IFERROR(VLOOKUP("industry|PM25|Infant mortality", US_national_yearly!$D:$AM, 12, FALSE) / VLOOKUP("industry|PM25|Infant mortality", US_national_yearly!$D:$AM, 10, FALSE), 1)</f>
        <v>4.5536170601855721E-5</v>
      </c>
      <c r="E3" s="7">
        <f>$B3 * IFERROR(VLOOKUP("industry|PM25|Infant mortality", US_national_yearly!$D:$AM, 13, FALSE) / VLOOKUP("industry|PM25|Infant mortality", US_national_yearly!$D:$AM, 10, FALSE), 1)</f>
        <v>4.5132667567395671E-5</v>
      </c>
      <c r="F3" s="7">
        <f>$B3 * IFERROR(VLOOKUP("industry|PM25|Infant mortality", US_national_yearly!$D:$AM, 14, FALSE) / VLOOKUP("industry|PM25|Infant mortality", US_national_yearly!$D:$AM, 10, FALSE), 1)</f>
        <v>4.4729164532935641E-5</v>
      </c>
      <c r="G3" s="7">
        <f>$B3 * IFERROR(VLOOKUP("industry|PM25|Infant mortality", US_national_yearly!$D:$AM, 15, FALSE) / VLOOKUP("industry|PM25|Infant mortality", US_national_yearly!$D:$AM, 10, FALSE), 1)</f>
        <v>2.9719622569812019E-5</v>
      </c>
      <c r="H3" s="7">
        <f>$B3 * IFERROR(VLOOKUP("industry|PM25|Infant mortality", US_national_yearly!$D:$AM, 16, FALSE) / VLOOKUP("industry|PM25|Infant mortality", US_national_yearly!$D:$AM, 10, FALSE), 1)</f>
        <v>1.4710080606688401E-5</v>
      </c>
      <c r="I3" s="7">
        <f>$B3 * IFERROR(VLOOKUP("industry|PM25|Infant mortality", US_national_yearly!$D:$AM, 17, FALSE) / VLOOKUP("industry|PM25|Infant mortality", US_national_yearly!$D:$AM, 10, FALSE), 1)</f>
        <v>1.4612170511501613E-5</v>
      </c>
      <c r="J3" s="7">
        <f>$B3 * IFERROR(VLOOKUP("industry|PM25|Infant mortality", US_national_yearly!$D:$AM, 18, FALSE) / VLOOKUP("industry|PM25|Infant mortality", US_national_yearly!$D:$AM, 10, FALSE), 1)</f>
        <v>1.4514260416314827E-5</v>
      </c>
      <c r="K3" s="7">
        <f>$B3 * IFERROR(VLOOKUP("industry|PM25|Infant mortality", US_national_yearly!$D:$AM, 19, FALSE) / VLOOKUP("industry|PM25|Infant mortality", US_national_yearly!$D:$AM, 10, FALSE), 1)</f>
        <v>1.4416350321128039E-5</v>
      </c>
      <c r="L3" s="7">
        <f>$B3 * IFERROR(VLOOKUP("industry|PM25|Infant mortality", US_national_yearly!$D:$AM, 20, FALSE) / VLOOKUP("industry|PM25|Infant mortality", US_national_yearly!$D:$AM, 10, FALSE), 1)</f>
        <v>1.4318440225941247E-5</v>
      </c>
      <c r="M3" s="7">
        <f>$B3 * IFERROR(VLOOKUP("industry|PM25|Infant mortality", US_national_yearly!$D:$AM, 21, FALSE) / VLOOKUP("industry|PM25|Infant mortality", US_national_yearly!$D:$AM, 10, FALSE), 1)</f>
        <v>1.4220530130754463E-5</v>
      </c>
      <c r="N3" s="7">
        <f>$B3 * IFERROR(VLOOKUP("industry|PM25|Infant mortality", US_national_yearly!$D:$AM, 22, FALSE) / VLOOKUP("industry|PM25|Infant mortality", US_national_yearly!$D:$AM, 10, FALSE), 1)</f>
        <v>1.4158053955624948E-5</v>
      </c>
      <c r="O3" s="7">
        <f>$B3 * IFERROR(VLOOKUP("industry|PM25|Infant mortality", US_national_yearly!$D:$AM, 23, FALSE) / VLOOKUP("industry|PM25|Infant mortality", US_national_yearly!$D:$AM, 10, FALSE), 1)</f>
        <v>1.4095577780495438E-5</v>
      </c>
      <c r="P3" s="7">
        <f>$B3 * IFERROR(VLOOKUP("industry|PM25|Infant mortality", US_national_yearly!$D:$AM, 24, FALSE) / VLOOKUP("industry|PM25|Infant mortality", US_national_yearly!$D:$AM, 10, FALSE), 1)</f>
        <v>1.4033101605365929E-5</v>
      </c>
      <c r="Q3" s="7">
        <f>$B3 * IFERROR(VLOOKUP("industry|PM25|Infant mortality", US_national_yearly!$D:$AM, 25, FALSE) / VLOOKUP("industry|PM25|Infant mortality", US_national_yearly!$D:$AM, 10, FALSE), 1)</f>
        <v>1.3970625430236418E-5</v>
      </c>
      <c r="R3" s="7">
        <f>$B3 * IFERROR(VLOOKUP("industry|PM25|Infant mortality", US_national_yearly!$D:$AM, 26, FALSE) / VLOOKUP("industry|PM25|Infant mortality", US_national_yearly!$D:$AM, 10, FALSE), 1)</f>
        <v>1.3908149255106905E-5</v>
      </c>
      <c r="S3" s="7">
        <f>$B3 * IFERROR(VLOOKUP("industry|PM25|Infant mortality", US_national_yearly!$D:$AM, 27, FALSE) / VLOOKUP("industry|PM25|Infant mortality", US_national_yearly!$D:$AM, 10, FALSE), 1)</f>
        <v>1.383130920069455E-5</v>
      </c>
      <c r="T3" s="7">
        <f>$B3 * IFERROR(VLOOKUP("industry|PM25|Infant mortality", US_national_yearly!$D:$AM, 28, FALSE) / VLOOKUP("industry|PM25|Infant mortality", US_national_yearly!$D:$AM, 10, FALSE), 1)</f>
        <v>1.3754469146282199E-5</v>
      </c>
      <c r="U3" s="7">
        <f>$B3 * IFERROR(VLOOKUP("industry|PM25|Infant mortality", US_national_yearly!$D:$AM, 29, FALSE) / VLOOKUP("industry|PM25|Infant mortality", US_national_yearly!$D:$AM, 10, FALSE), 1)</f>
        <v>1.3677629091869844E-5</v>
      </c>
      <c r="V3" s="7">
        <f>$B3 * IFERROR(VLOOKUP("industry|PM25|Infant mortality", US_national_yearly!$D:$AM, 30, FALSE) / VLOOKUP("industry|PM25|Infant mortality", US_national_yearly!$D:$AM, 10, FALSE), 1)</f>
        <v>1.3600789037457491E-5</v>
      </c>
      <c r="W3" s="7">
        <f>$B3 * IFERROR(VLOOKUP("industry|PM25|Infant mortality", US_national_yearly!$D:$AM, 31, FALSE) / VLOOKUP("industry|PM25|Infant mortality", US_national_yearly!$D:$AM, 10, FALSE), 1)</f>
        <v>1.352394898304514E-5</v>
      </c>
      <c r="X3" s="7">
        <f>$B3 * IFERROR(VLOOKUP("industry|PM25|Infant mortality", US_national_yearly!$D:$AM, 32, FALSE) / VLOOKUP("industry|PM25|Infant mortality", US_national_yearly!$D:$AM, 10, FALSE), 1)</f>
        <v>1.3441835756579991E-5</v>
      </c>
      <c r="Y3" s="7">
        <f>$B3 * IFERROR(VLOOKUP("industry|PM25|Infant mortality", US_national_yearly!$D:$AM, 33, FALSE) / VLOOKUP("industry|PM25|Infant mortality", US_national_yearly!$D:$AM, 10, FALSE), 1)</f>
        <v>1.3359722530114844E-5</v>
      </c>
      <c r="Z3" s="7">
        <f>$B3 * IFERROR(VLOOKUP("industry|PM25|Infant mortality", US_national_yearly!$D:$AM, 34, FALSE) / VLOOKUP("industry|PM25|Infant mortality", US_national_yearly!$D:$AM, 10, FALSE), 1)</f>
        <v>1.3277609303649696E-5</v>
      </c>
      <c r="AA3" s="7">
        <f>$B3 * IFERROR(VLOOKUP("industry|PM25|Infant mortality", US_national_yearly!$D:$AM, 35, FALSE) / VLOOKUP("industry|PM25|Infant mortality", US_national_yearly!$D:$AM, 10, FALSE), 1)</f>
        <v>1.3195496077184549E-5</v>
      </c>
      <c r="AB3" s="7">
        <f>$B3 * IFERROR(VLOOKUP("industry|PM25|Infant mortality", US_national_yearly!$D:$AM, 36, FALSE) / VLOOKUP("industry|PM25|Infant mortality", US_national_yearly!$D:$AM, 10, FALSE), 1)</f>
        <v>1.31133828507194E-5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4.0078745751253232E-2</v>
      </c>
      <c r="C6" s="7">
        <f>$B6 * IFERROR(VLOOKUP("industry|PM25|Asthma symptoms cough", US_national_yearly!$D:$AM, 11, FALSE) / VLOOKUP("industry|PM25|Asthma symptoms cough", US_national_yearly!$D:$AM, 10, FALSE), 1)</f>
        <v>4.0078745751253232E-2</v>
      </c>
      <c r="D6" s="7">
        <f>$B6 * IFERROR(VLOOKUP("industry|PM25|Asthma symptoms cough", US_national_yearly!$D:$AM, 12, FALSE) / VLOOKUP("industry|PM25|Asthma symptoms cough", US_national_yearly!$D:$AM, 10, FALSE), 1)</f>
        <v>4.0078745751253232E-2</v>
      </c>
      <c r="E6" s="7">
        <f>$B6 * IFERROR(VLOOKUP("industry|PM25|Asthma symptoms cough", US_national_yearly!$D:$AM, 13, FALSE) / VLOOKUP("industry|PM25|Asthma symptoms cough", US_national_yearly!$D:$AM, 10, FALSE), 1)</f>
        <v>4.0078745751253232E-2</v>
      </c>
      <c r="F6" s="7">
        <f>$B6 * IFERROR(VLOOKUP("industry|PM25|Asthma symptoms cough", US_national_yearly!$D:$AM, 14, FALSE) / VLOOKUP("industry|PM25|Asthma symptoms cough", US_national_yearly!$D:$AM, 10, FALSE), 1)</f>
        <v>4.0078745751253232E-2</v>
      </c>
      <c r="G6" s="7">
        <f>$B6 * IFERROR(VLOOKUP("industry|PM25|Asthma symptoms cough", US_national_yearly!$D:$AM, 15, FALSE) / VLOOKUP("industry|PM25|Asthma symptoms cough", US_national_yearly!$D:$AM, 10, FALSE), 1)</f>
        <v>4.0078745751253232E-2</v>
      </c>
      <c r="H6" s="7">
        <f>$B6 * IFERROR(VLOOKUP("industry|PM25|Asthma symptoms cough", US_national_yearly!$D:$AM, 16, FALSE) / VLOOKUP("industry|PM25|Asthma symptoms cough", US_national_yearly!$D:$AM, 10, FALSE), 1)</f>
        <v>4.0078745751253232E-2</v>
      </c>
      <c r="I6" s="7">
        <f>$B6 * IFERROR(VLOOKUP("industry|PM25|Asthma symptoms cough", US_national_yearly!$D:$AM, 17, FALSE) / VLOOKUP("industry|PM25|Asthma symptoms cough", US_national_yearly!$D:$AM, 10, FALSE), 1)</f>
        <v>4.0078745751253232E-2</v>
      </c>
      <c r="J6" s="7">
        <f>$B6 * IFERROR(VLOOKUP("industry|PM25|Asthma symptoms cough", US_national_yearly!$D:$AM, 18, FALSE) / VLOOKUP("industry|PM25|Asthma symptoms cough", US_national_yearly!$D:$AM, 10, FALSE), 1)</f>
        <v>4.0078745751253232E-2</v>
      </c>
      <c r="K6" s="7">
        <f>$B6 * IFERROR(VLOOKUP("industry|PM25|Asthma symptoms cough", US_national_yearly!$D:$AM, 19, FALSE) / VLOOKUP("industry|PM25|Asthma symptoms cough", US_national_yearly!$D:$AM, 10, FALSE), 1)</f>
        <v>4.0078745751253232E-2</v>
      </c>
      <c r="L6" s="7">
        <f>$B6 * IFERROR(VLOOKUP("industry|PM25|Asthma symptoms cough", US_national_yearly!$D:$AM, 20, FALSE) / VLOOKUP("industry|PM25|Asthma symptoms cough", US_national_yearly!$D:$AM, 10, FALSE), 1)</f>
        <v>4.0078745751253232E-2</v>
      </c>
      <c r="M6" s="7">
        <f>$B6 * IFERROR(VLOOKUP("industry|PM25|Asthma symptoms cough", US_national_yearly!$D:$AM, 21, FALSE) / VLOOKUP("industry|PM25|Asthma symptoms cough", US_national_yearly!$D:$AM, 10, FALSE), 1)</f>
        <v>4.0078745751253232E-2</v>
      </c>
      <c r="N6" s="7">
        <f>$B6 * IFERROR(VLOOKUP("industry|PM25|Asthma symptoms cough", US_national_yearly!$D:$AM, 22, FALSE) / VLOOKUP("industry|PM25|Asthma symptoms cough", US_national_yearly!$D:$AM, 10, FALSE), 1)</f>
        <v>4.0078745751253232E-2</v>
      </c>
      <c r="O6" s="7">
        <f>$B6 * IFERROR(VLOOKUP("industry|PM25|Asthma symptoms cough", US_national_yearly!$D:$AM, 23, FALSE) / VLOOKUP("industry|PM25|Asthma symptoms cough", US_national_yearly!$D:$AM, 10, FALSE), 1)</f>
        <v>4.0078745751253232E-2</v>
      </c>
      <c r="P6" s="7">
        <f>$B6 * IFERROR(VLOOKUP("industry|PM25|Asthma symptoms cough", US_national_yearly!$D:$AM, 24, FALSE) / VLOOKUP("industry|PM25|Asthma symptoms cough", US_national_yearly!$D:$AM, 10, FALSE), 1)</f>
        <v>4.0078745751253232E-2</v>
      </c>
      <c r="Q6" s="7">
        <f>$B6 * IFERROR(VLOOKUP("industry|PM25|Asthma symptoms cough", US_national_yearly!$D:$AM, 25, FALSE) / VLOOKUP("industry|PM25|Asthma symptoms cough", US_national_yearly!$D:$AM, 10, FALSE), 1)</f>
        <v>4.0078745751253232E-2</v>
      </c>
      <c r="R6" s="7">
        <f>$B6 * IFERROR(VLOOKUP("industry|PM25|Asthma symptoms cough", US_national_yearly!$D:$AM, 26, FALSE) / VLOOKUP("industry|PM25|Asthma symptoms cough", US_national_yearly!$D:$AM, 10, FALSE), 1)</f>
        <v>4.0078745751253232E-2</v>
      </c>
      <c r="S6" s="7">
        <f>$B6 * IFERROR(VLOOKUP("industry|PM25|Asthma symptoms cough", US_national_yearly!$D:$AM, 27, FALSE) / VLOOKUP("industry|PM25|Asthma symptoms cough", US_national_yearly!$D:$AM, 10, FALSE), 1)</f>
        <v>4.0078745751253232E-2</v>
      </c>
      <c r="T6" s="7">
        <f>$B6 * IFERROR(VLOOKUP("industry|PM25|Asthma symptoms cough", US_national_yearly!$D:$AM, 28, FALSE) / VLOOKUP("industry|PM25|Asthma symptoms cough", US_national_yearly!$D:$AM, 10, FALSE), 1)</f>
        <v>4.0078745751253232E-2</v>
      </c>
      <c r="U6" s="7">
        <f>$B6 * IFERROR(VLOOKUP("industry|PM25|Asthma symptoms cough", US_national_yearly!$D:$AM, 29, FALSE) / VLOOKUP("industry|PM25|Asthma symptoms cough", US_national_yearly!$D:$AM, 10, FALSE), 1)</f>
        <v>4.0078745751253232E-2</v>
      </c>
      <c r="V6" s="7">
        <f>$B6 * IFERROR(VLOOKUP("industry|PM25|Asthma symptoms cough", US_national_yearly!$D:$AM, 30, FALSE) / VLOOKUP("industry|PM25|Asthma symptoms cough", US_national_yearly!$D:$AM, 10, FALSE), 1)</f>
        <v>4.0078745751253232E-2</v>
      </c>
      <c r="W6" s="7">
        <f>$B6 * IFERROR(VLOOKUP("industry|PM25|Asthma symptoms cough", US_national_yearly!$D:$AM, 31, FALSE) / VLOOKUP("industry|PM25|Asthma symptoms cough", US_national_yearly!$D:$AM, 10, FALSE), 1)</f>
        <v>4.0078745751253232E-2</v>
      </c>
      <c r="X6" s="7">
        <f>$B6 * IFERROR(VLOOKUP("industry|PM25|Asthma symptoms cough", US_national_yearly!$D:$AM, 32, FALSE) / VLOOKUP("industry|PM25|Asthma symptoms cough", US_national_yearly!$D:$AM, 10, FALSE), 1)</f>
        <v>4.0078745751253232E-2</v>
      </c>
      <c r="Y6" s="7">
        <f>$B6 * IFERROR(VLOOKUP("industry|PM25|Asthma symptoms cough", US_national_yearly!$D:$AM, 33, FALSE) / VLOOKUP("industry|PM25|Asthma symptoms cough", US_national_yearly!$D:$AM, 10, FALSE), 1)</f>
        <v>4.0078745751253232E-2</v>
      </c>
      <c r="Z6" s="7">
        <f>$B6 * IFERROR(VLOOKUP("industry|PM25|Asthma symptoms cough", US_national_yearly!$D:$AM, 34, FALSE) / VLOOKUP("industry|PM25|Asthma symptoms cough", US_national_yearly!$D:$AM, 10, FALSE), 1)</f>
        <v>4.0078745751253232E-2</v>
      </c>
      <c r="AA6" s="7">
        <f>$B6 * IFERROR(VLOOKUP("industry|PM25|Asthma symptoms cough", US_national_yearly!$D:$AM, 35, FALSE) / VLOOKUP("industry|PM25|Asthma symptoms cough", US_national_yearly!$D:$AM, 10, FALSE), 1)</f>
        <v>4.0078745751253232E-2</v>
      </c>
      <c r="AB6" s="7">
        <f>$B6 * IFERROR(VLOOKUP("industry|PM25|Asthma symptoms cough", US_national_yearly!$D:$AM, 36, FALSE) / VLOOKUP("industry|PM25|Asthma symptoms cough", US_national_yearly!$D:$AM, 10, FALSE), 1)</f>
        <v>4.0078745751253232E-2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5.3966924813421149E-2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5.3966924813421149E-2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5.3966924813421149E-2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5.3966924813421149E-2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5.3966924813421149E-2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5.3966924813421149E-2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5.3966924813421149E-2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5.3966924813421149E-2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5.3966924813421149E-2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5.3966924813421149E-2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5.3966924813421149E-2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5.3966924813421149E-2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5.3966924813421149E-2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5.3966924813421149E-2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5.3966924813421149E-2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5.3966924813421149E-2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5.3966924813421149E-2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5.3966924813421149E-2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5.3966924813421149E-2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5.3966924813421149E-2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5.3966924813421149E-2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5.3966924813421149E-2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5.3966924813421149E-2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5.3966924813421149E-2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5.3966924813421149E-2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5.3966924813421149E-2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5.3966924813421149E-2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8.2469845820210205E-2</v>
      </c>
      <c r="C8" s="7">
        <f>$B8 * IFERROR(VLOOKUP("industry|PM25|Asthma symptoms wheeze", US_national_yearly!$D:$AM, 11, FALSE) / VLOOKUP("industry|PM25|Asthma symptoms wheeze", US_national_yearly!$D:$AM, 10, FALSE), 1)</f>
        <v>8.2469845820210205E-2</v>
      </c>
      <c r="D8" s="7">
        <f>$B8 * IFERROR(VLOOKUP("industry|PM25|Asthma symptoms wheeze", US_national_yearly!$D:$AM, 12, FALSE) / VLOOKUP("industry|PM25|Asthma symptoms wheeze", US_national_yearly!$D:$AM, 10, FALSE), 1)</f>
        <v>8.2469845820210205E-2</v>
      </c>
      <c r="E8" s="7">
        <f>$B8 * IFERROR(VLOOKUP("industry|PM25|Asthma symptoms wheeze", US_national_yearly!$D:$AM, 13, FALSE) / VLOOKUP("industry|PM25|Asthma symptoms wheeze", US_national_yearly!$D:$AM, 10, FALSE), 1)</f>
        <v>8.2469845820210205E-2</v>
      </c>
      <c r="F8" s="7">
        <f>$B8 * IFERROR(VLOOKUP("industry|PM25|Asthma symptoms wheeze", US_national_yearly!$D:$AM, 14, FALSE) / VLOOKUP("industry|PM25|Asthma symptoms wheeze", US_national_yearly!$D:$AM, 10, FALSE), 1)</f>
        <v>8.2469845820210205E-2</v>
      </c>
      <c r="G8" s="7">
        <f>$B8 * IFERROR(VLOOKUP("industry|PM25|Asthma symptoms wheeze", US_national_yearly!$D:$AM, 15, FALSE) / VLOOKUP("industry|PM25|Asthma symptoms wheeze", US_national_yearly!$D:$AM, 10, FALSE), 1)</f>
        <v>8.2469845820210205E-2</v>
      </c>
      <c r="H8" s="7">
        <f>$B8 * IFERROR(VLOOKUP("industry|PM25|Asthma symptoms wheeze", US_national_yearly!$D:$AM, 16, FALSE) / VLOOKUP("industry|PM25|Asthma symptoms wheeze", US_national_yearly!$D:$AM, 10, FALSE), 1)</f>
        <v>8.2469845820210205E-2</v>
      </c>
      <c r="I8" s="7">
        <f>$B8 * IFERROR(VLOOKUP("industry|PM25|Asthma symptoms wheeze", US_national_yearly!$D:$AM, 17, FALSE) / VLOOKUP("industry|PM25|Asthma symptoms wheeze", US_national_yearly!$D:$AM, 10, FALSE), 1)</f>
        <v>8.2469845820210205E-2</v>
      </c>
      <c r="J8" s="7">
        <f>$B8 * IFERROR(VLOOKUP("industry|PM25|Asthma symptoms wheeze", US_national_yearly!$D:$AM, 18, FALSE) / VLOOKUP("industry|PM25|Asthma symptoms wheeze", US_national_yearly!$D:$AM, 10, FALSE), 1)</f>
        <v>8.2469845820210205E-2</v>
      </c>
      <c r="K8" s="7">
        <f>$B8 * IFERROR(VLOOKUP("industry|PM25|Asthma symptoms wheeze", US_national_yearly!$D:$AM, 19, FALSE) / VLOOKUP("industry|PM25|Asthma symptoms wheeze", US_national_yearly!$D:$AM, 10, FALSE), 1)</f>
        <v>8.2469845820210205E-2</v>
      </c>
      <c r="L8" s="7">
        <f>$B8 * IFERROR(VLOOKUP("industry|PM25|Asthma symptoms wheeze", US_national_yearly!$D:$AM, 20, FALSE) / VLOOKUP("industry|PM25|Asthma symptoms wheeze", US_national_yearly!$D:$AM, 10, FALSE), 1)</f>
        <v>8.2469845820210205E-2</v>
      </c>
      <c r="M8" s="7">
        <f>$B8 * IFERROR(VLOOKUP("industry|PM25|Asthma symptoms wheeze", US_national_yearly!$D:$AM, 21, FALSE) / VLOOKUP("industry|PM25|Asthma symptoms wheeze", US_national_yearly!$D:$AM, 10, FALSE), 1)</f>
        <v>8.2469845820210205E-2</v>
      </c>
      <c r="N8" s="7">
        <f>$B8 * IFERROR(VLOOKUP("industry|PM25|Asthma symptoms wheeze", US_national_yearly!$D:$AM, 22, FALSE) / VLOOKUP("industry|PM25|Asthma symptoms wheeze", US_national_yearly!$D:$AM, 10, FALSE), 1)</f>
        <v>8.2469845820210205E-2</v>
      </c>
      <c r="O8" s="7">
        <f>$B8 * IFERROR(VLOOKUP("industry|PM25|Asthma symptoms wheeze", US_national_yearly!$D:$AM, 23, FALSE) / VLOOKUP("industry|PM25|Asthma symptoms wheeze", US_national_yearly!$D:$AM, 10, FALSE), 1)</f>
        <v>8.2469845820210205E-2</v>
      </c>
      <c r="P8" s="7">
        <f>$B8 * IFERROR(VLOOKUP("industry|PM25|Asthma symptoms wheeze", US_national_yearly!$D:$AM, 24, FALSE) / VLOOKUP("industry|PM25|Asthma symptoms wheeze", US_national_yearly!$D:$AM, 10, FALSE), 1)</f>
        <v>8.2469845820210205E-2</v>
      </c>
      <c r="Q8" s="7">
        <f>$B8 * IFERROR(VLOOKUP("industry|PM25|Asthma symptoms wheeze", US_national_yearly!$D:$AM, 25, FALSE) / VLOOKUP("industry|PM25|Asthma symptoms wheeze", US_national_yearly!$D:$AM, 10, FALSE), 1)</f>
        <v>8.2469845820210205E-2</v>
      </c>
      <c r="R8" s="7">
        <f>$B8 * IFERROR(VLOOKUP("industry|PM25|Asthma symptoms wheeze", US_national_yearly!$D:$AM, 26, FALSE) / VLOOKUP("industry|PM25|Asthma symptoms wheeze", US_national_yearly!$D:$AM, 10, FALSE), 1)</f>
        <v>8.2469845820210205E-2</v>
      </c>
      <c r="S8" s="7">
        <f>$B8 * IFERROR(VLOOKUP("industry|PM25|Asthma symptoms wheeze", US_national_yearly!$D:$AM, 27, FALSE) / VLOOKUP("industry|PM25|Asthma symptoms wheeze", US_national_yearly!$D:$AM, 10, FALSE), 1)</f>
        <v>8.2469845820210205E-2</v>
      </c>
      <c r="T8" s="7">
        <f>$B8 * IFERROR(VLOOKUP("industry|PM25|Asthma symptoms wheeze", US_national_yearly!$D:$AM, 28, FALSE) / VLOOKUP("industry|PM25|Asthma symptoms wheeze", US_national_yearly!$D:$AM, 10, FALSE), 1)</f>
        <v>8.2469845820210205E-2</v>
      </c>
      <c r="U8" s="7">
        <f>$B8 * IFERROR(VLOOKUP("industry|PM25|Asthma symptoms wheeze", US_national_yearly!$D:$AM, 29, FALSE) / VLOOKUP("industry|PM25|Asthma symptoms wheeze", US_national_yearly!$D:$AM, 10, FALSE), 1)</f>
        <v>8.2469845820210205E-2</v>
      </c>
      <c r="V8" s="7">
        <f>$B8 * IFERROR(VLOOKUP("industry|PM25|Asthma symptoms wheeze", US_national_yearly!$D:$AM, 30, FALSE) / VLOOKUP("industry|PM25|Asthma symptoms wheeze", US_national_yearly!$D:$AM, 10, FALSE), 1)</f>
        <v>8.2469845820210205E-2</v>
      </c>
      <c r="W8" s="7">
        <f>$B8 * IFERROR(VLOOKUP("industry|PM25|Asthma symptoms wheeze", US_national_yearly!$D:$AM, 31, FALSE) / VLOOKUP("industry|PM25|Asthma symptoms wheeze", US_national_yearly!$D:$AM, 10, FALSE), 1)</f>
        <v>8.2469845820210205E-2</v>
      </c>
      <c r="X8" s="7">
        <f>$B8 * IFERROR(VLOOKUP("industry|PM25|Asthma symptoms wheeze", US_national_yearly!$D:$AM, 32, FALSE) / VLOOKUP("industry|PM25|Asthma symptoms wheeze", US_national_yearly!$D:$AM, 10, FALSE), 1)</f>
        <v>8.2469845820210205E-2</v>
      </c>
      <c r="Y8" s="7">
        <f>$B8 * IFERROR(VLOOKUP("industry|PM25|Asthma symptoms wheeze", US_national_yearly!$D:$AM, 33, FALSE) / VLOOKUP("industry|PM25|Asthma symptoms wheeze", US_national_yearly!$D:$AM, 10, FALSE), 1)</f>
        <v>8.2469845820210205E-2</v>
      </c>
      <c r="Z8" s="7">
        <f>$B8 * IFERROR(VLOOKUP("industry|PM25|Asthma symptoms wheeze", US_national_yearly!$D:$AM, 34, FALSE) / VLOOKUP("industry|PM25|Asthma symptoms wheeze", US_national_yearly!$D:$AM, 10, FALSE), 1)</f>
        <v>8.2469845820210205E-2</v>
      </c>
      <c r="AA8" s="7">
        <f>$B8 * IFERROR(VLOOKUP("industry|PM25|Asthma symptoms wheeze", US_national_yearly!$D:$AM, 35, FALSE) / VLOOKUP("industry|PM25|Asthma symptoms wheeze", US_national_yearly!$D:$AM, 10, FALSE), 1)</f>
        <v>8.2469845820210205E-2</v>
      </c>
      <c r="AB8" s="7">
        <f>$B8 * IFERROR(VLOOKUP("industry|PM25|Asthma symptoms wheeze", US_national_yearly!$D:$AM, 36, FALSE) / VLOOKUP("industry|PM25|Asthma symptoms wheeze", US_national_yearly!$D:$AM, 10, FALSE), 1)</f>
        <v>8.2469845820210205E-2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1.1414466410745124E-3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1.1479272770420835E-3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1.1544079130096545E-3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1.1608885489772256E-3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1.1673691849447968E-3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1.1743759748147303E-3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1.181382764684664E-3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1.1880295863756557E-3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1.1946764080666471E-3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1.2013232297576383E-3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1.2079700514486297E-3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1.2146168731396213E-3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1.2193179839283619E-3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1.2240190947171022E-3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1.2287202055058428E-3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1.2334213162945831E-3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1.2381224270833237E-3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1.2425564057013787E-3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1.2469903843194336E-3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1.2514243629374888E-3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1.2558583415555435E-3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1.2602923201735987E-3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1.2645615969432906E-3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1.2688308737129827E-3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1.2731001504826748E-3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1.2773694272523672E-3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1.2816387040220591E-3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6.8128096411255671E-3</v>
      </c>
      <c r="C13" s="7">
        <f>$B13 * IFERROR(VLOOKUP("industry|PM25|Non-fatal heart attacks", US_national_yearly!$D:$AM, 11, FALSE) / VLOOKUP("industry|PM25|Non-fatal heart attacks", US_national_yearly!$D:$AM, 10, FALSE), 1)</f>
        <v>7.0111323161376991E-3</v>
      </c>
      <c r="D13" s="7">
        <f>$B13 * IFERROR(VLOOKUP("industry|PM25|Non-fatal heart attacks", US_national_yearly!$D:$AM, 12, FALSE) / VLOOKUP("industry|PM25|Non-fatal heart attacks", US_national_yearly!$D:$AM, 10, FALSE), 1)</f>
        <v>7.2094549911498303E-3</v>
      </c>
      <c r="E13" s="7">
        <f>$B13 * IFERROR(VLOOKUP("industry|PM25|Non-fatal heart attacks", US_national_yearly!$D:$AM, 13, FALSE) / VLOOKUP("industry|PM25|Non-fatal heart attacks", US_national_yearly!$D:$AM, 10, FALSE), 1)</f>
        <v>7.4077776661619632E-3</v>
      </c>
      <c r="F13" s="7">
        <f>$B13 * IFERROR(VLOOKUP("industry|PM25|Non-fatal heart attacks", US_national_yearly!$D:$AM, 14, FALSE) / VLOOKUP("industry|PM25|Non-fatal heart attacks", US_national_yearly!$D:$AM, 10, FALSE), 1)</f>
        <v>7.6061003411740952E-3</v>
      </c>
      <c r="G13" s="7">
        <f>$B13 * IFERROR(VLOOKUP("industry|PM25|Non-fatal heart attacks", US_national_yearly!$D:$AM, 15, FALSE) / VLOOKUP("industry|PM25|Non-fatal heart attacks", US_national_yearly!$D:$AM, 10, FALSE), 1)</f>
        <v>7.7933308910930719E-3</v>
      </c>
      <c r="H13" s="7">
        <f>$B13 * IFERROR(VLOOKUP("industry|PM25|Non-fatal heart attacks", US_national_yearly!$D:$AM, 16, FALSE) / VLOOKUP("industry|PM25|Non-fatal heart attacks", US_national_yearly!$D:$AM, 10, FALSE), 1)</f>
        <v>7.9805614410120504E-3</v>
      </c>
      <c r="I13" s="7">
        <f>$B13 * IFERROR(VLOOKUP("industry|PM25|Non-fatal heart attacks", US_national_yearly!$D:$AM, 17, FALSE) / VLOOKUP("industry|PM25|Non-fatal heart attacks", US_national_yearly!$D:$AM, 10, FALSE), 1)</f>
        <v>8.1317518391892576E-3</v>
      </c>
      <c r="J13" s="7">
        <f>$B13 * IFERROR(VLOOKUP("industry|PM25|Non-fatal heart attacks", US_national_yearly!$D:$AM, 18, FALSE) / VLOOKUP("industry|PM25|Non-fatal heart attacks", US_national_yearly!$D:$AM, 10, FALSE), 1)</f>
        <v>8.2829422373664648E-3</v>
      </c>
      <c r="K13" s="7">
        <f>$B13 * IFERROR(VLOOKUP("industry|PM25|Non-fatal heart attacks", US_national_yearly!$D:$AM, 19, FALSE) / VLOOKUP("industry|PM25|Non-fatal heart attacks", US_national_yearly!$D:$AM, 10, FALSE), 1)</f>
        <v>8.4341326355436702E-3</v>
      </c>
      <c r="L13" s="7">
        <f>$B13 * IFERROR(VLOOKUP("industry|PM25|Non-fatal heart attacks", US_national_yearly!$D:$AM, 20, FALSE) / VLOOKUP("industry|PM25|Non-fatal heart attacks", US_national_yearly!$D:$AM, 10, FALSE), 1)</f>
        <v>8.5853230337208757E-3</v>
      </c>
      <c r="M13" s="7">
        <f>$B13 * IFERROR(VLOOKUP("industry|PM25|Non-fatal heart attacks", US_national_yearly!$D:$AM, 21, FALSE) / VLOOKUP("industry|PM25|Non-fatal heart attacks", US_national_yearly!$D:$AM, 10, FALSE), 1)</f>
        <v>8.7365134318980828E-3</v>
      </c>
      <c r="N13" s="7">
        <f>$B13 * IFERROR(VLOOKUP("industry|PM25|Non-fatal heart attacks", US_national_yearly!$D:$AM, 22, FALSE) / VLOOKUP("industry|PM25|Non-fatal heart attacks", US_national_yearly!$D:$AM, 10, FALSE), 1)</f>
        <v>8.8342664442529282E-3</v>
      </c>
      <c r="O13" s="7">
        <f>$B13 * IFERROR(VLOOKUP("industry|PM25|Non-fatal heart attacks", US_national_yearly!$D:$AM, 23, FALSE) / VLOOKUP("industry|PM25|Non-fatal heart attacks", US_national_yearly!$D:$AM, 10, FALSE), 1)</f>
        <v>8.9320194566077753E-3</v>
      </c>
      <c r="P13" s="7">
        <f>$B13 * IFERROR(VLOOKUP("industry|PM25|Non-fatal heart attacks", US_national_yearly!$D:$AM, 24, FALSE) / VLOOKUP("industry|PM25|Non-fatal heart attacks", US_national_yearly!$D:$AM, 10, FALSE), 1)</f>
        <v>9.0297724689626224E-3</v>
      </c>
      <c r="Q13" s="7">
        <f>$B13 * IFERROR(VLOOKUP("industry|PM25|Non-fatal heart attacks", US_national_yearly!$D:$AM, 25, FALSE) / VLOOKUP("industry|PM25|Non-fatal heart attacks", US_national_yearly!$D:$AM, 10, FALSE), 1)</f>
        <v>9.1275254813174677E-3</v>
      </c>
      <c r="R13" s="7">
        <f>$B13 * IFERROR(VLOOKUP("industry|PM25|Non-fatal heart attacks", US_national_yearly!$D:$AM, 26, FALSE) / VLOOKUP("industry|PM25|Non-fatal heart attacks", US_national_yearly!$D:$AM, 10, FALSE), 1)</f>
        <v>9.2252784936723148E-3</v>
      </c>
      <c r="S13" s="7">
        <f>$B13 * IFERROR(VLOOKUP("industry|PM25|Non-fatal heart attacks", US_national_yearly!$D:$AM, 27, FALSE) / VLOOKUP("industry|PM25|Non-fatal heart attacks", US_national_yearly!$D:$AM, 10, FALSE), 1)</f>
        <v>9.2774887480206684E-3</v>
      </c>
      <c r="T13" s="7">
        <f>$B13 * IFERROR(VLOOKUP("industry|PM25|Non-fatal heart attacks", US_national_yearly!$D:$AM, 28, FALSE) / VLOOKUP("industry|PM25|Non-fatal heart attacks", US_national_yearly!$D:$AM, 10, FALSE), 1)</f>
        <v>9.3296990023690272E-3</v>
      </c>
      <c r="U13" s="7">
        <f>$B13 * IFERROR(VLOOKUP("industry|PM25|Non-fatal heart attacks", US_national_yearly!$D:$AM, 29, FALSE) / VLOOKUP("industry|PM25|Non-fatal heart attacks", US_national_yearly!$D:$AM, 10, FALSE), 1)</f>
        <v>9.3819092567173842E-3</v>
      </c>
      <c r="V13" s="7">
        <f>$B13 * IFERROR(VLOOKUP("industry|PM25|Non-fatal heart attacks", US_national_yearly!$D:$AM, 30, FALSE) / VLOOKUP("industry|PM25|Non-fatal heart attacks", US_national_yearly!$D:$AM, 10, FALSE), 1)</f>
        <v>9.4341195110657396E-3</v>
      </c>
      <c r="W13" s="7">
        <f>$B13 * IFERROR(VLOOKUP("industry|PM25|Non-fatal heart attacks", US_national_yearly!$D:$AM, 31, FALSE) / VLOOKUP("industry|PM25|Non-fatal heart attacks", US_national_yearly!$D:$AM, 10, FALSE), 1)</f>
        <v>9.4863297654140984E-3</v>
      </c>
      <c r="X13" s="7">
        <f>$B13 * IFERROR(VLOOKUP("industry|PM25|Non-fatal heart attacks", US_national_yearly!$D:$AM, 32, FALSE) / VLOOKUP("industry|PM25|Non-fatal heart attacks", US_national_yearly!$D:$AM, 10, FALSE), 1)</f>
        <v>9.5266253027975339E-3</v>
      </c>
      <c r="Y13" s="7">
        <f>$B13 * IFERROR(VLOOKUP("industry|PM25|Non-fatal heart attacks", US_national_yearly!$D:$AM, 33, FALSE) / VLOOKUP("industry|PM25|Non-fatal heart attacks", US_national_yearly!$D:$AM, 10, FALSE), 1)</f>
        <v>9.5669208401809661E-3</v>
      </c>
      <c r="Z13" s="7">
        <f>$B13 * IFERROR(VLOOKUP("industry|PM25|Non-fatal heart attacks", US_national_yearly!$D:$AM, 34, FALSE) / VLOOKUP("industry|PM25|Non-fatal heart attacks", US_national_yearly!$D:$AM, 10, FALSE), 1)</f>
        <v>9.6072163775644016E-3</v>
      </c>
      <c r="AA13" s="7">
        <f>$B13 * IFERROR(VLOOKUP("industry|PM25|Non-fatal heart attacks", US_national_yearly!$D:$AM, 35, FALSE) / VLOOKUP("industry|PM25|Non-fatal heart attacks", US_national_yearly!$D:$AM, 10, FALSE), 1)</f>
        <v>9.6475119149478372E-3</v>
      </c>
      <c r="AB13" s="7">
        <f>$B13 * IFERROR(VLOOKUP("industry|PM25|Non-fatal heart attacks", US_national_yearly!$D:$AM, 36, FALSE) / VLOOKUP("industry|PM25|Non-fatal heart attacks", US_national_yearly!$D:$AM, 10, FALSE), 1)</f>
        <v>9.6878074523312728E-3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4.6889953521605952</v>
      </c>
      <c r="C14" s="7">
        <f>$B14 * IFERROR(VLOOKUP("industry|PM25|Minor restricted activity days", US_national_yearly!$D:$AM, 11, FALSE) / VLOOKUP("industry|PM25|Minor restricted activity days", US_national_yearly!$D:$AM, 10, FALSE), 1)</f>
        <v>4.7004794790061313</v>
      </c>
      <c r="D14" s="7">
        <f>$B14 * IFERROR(VLOOKUP("industry|PM25|Minor restricted activity days", US_national_yearly!$D:$AM, 12, FALSE) / VLOOKUP("industry|PM25|Minor restricted activity days", US_national_yearly!$D:$AM, 10, FALSE), 1)</f>
        <v>4.7119636058516692</v>
      </c>
      <c r="E14" s="7">
        <f>$B14 * IFERROR(VLOOKUP("industry|PM25|Minor restricted activity days", US_national_yearly!$D:$AM, 13, FALSE) / VLOOKUP("industry|PM25|Minor restricted activity days", US_national_yearly!$D:$AM, 10, FALSE), 1)</f>
        <v>4.7234477326972053</v>
      </c>
      <c r="F14" s="7">
        <f>$B14 * IFERROR(VLOOKUP("industry|PM25|Minor restricted activity days", US_national_yearly!$D:$AM, 14, FALSE) / VLOOKUP("industry|PM25|Minor restricted activity days", US_national_yearly!$D:$AM, 10, FALSE), 1)</f>
        <v>4.7349318595427423</v>
      </c>
      <c r="G14" s="7">
        <f>$B14 * IFERROR(VLOOKUP("industry|PM25|Minor restricted activity days", US_national_yearly!$D:$AM, 15, FALSE) / VLOOKUP("industry|PM25|Minor restricted activity days", US_national_yearly!$D:$AM, 10, FALSE), 1)</f>
        <v>4.7517886912521403</v>
      </c>
      <c r="H14" s="7">
        <f>$B14 * IFERROR(VLOOKUP("industry|PM25|Minor restricted activity days", US_national_yearly!$D:$AM, 16, FALSE) / VLOOKUP("industry|PM25|Minor restricted activity days", US_national_yearly!$D:$AM, 10, FALSE), 1)</f>
        <v>4.7686455229615383</v>
      </c>
      <c r="I14" s="7">
        <f>$B14 * IFERROR(VLOOKUP("industry|PM25|Minor restricted activity days", US_national_yearly!$D:$AM, 17, FALSE) / VLOOKUP("industry|PM25|Minor restricted activity days", US_national_yearly!$D:$AM, 10, FALSE), 1)</f>
        <v>4.7972809456822922</v>
      </c>
      <c r="J14" s="7">
        <f>$B14 * IFERROR(VLOOKUP("industry|PM25|Minor restricted activity days", US_national_yearly!$D:$AM, 18, FALSE) / VLOOKUP("industry|PM25|Minor restricted activity days", US_national_yearly!$D:$AM, 10, FALSE), 1)</f>
        <v>4.8259163684030471</v>
      </c>
      <c r="K14" s="7">
        <f>$B14 * IFERROR(VLOOKUP("industry|PM25|Minor restricted activity days", US_national_yearly!$D:$AM, 19, FALSE) / VLOOKUP("industry|PM25|Minor restricted activity days", US_national_yearly!$D:$AM, 10, FALSE), 1)</f>
        <v>4.8545517911238001</v>
      </c>
      <c r="L14" s="7">
        <f>$B14 * IFERROR(VLOOKUP("industry|PM25|Minor restricted activity days", US_national_yearly!$D:$AM, 20, FALSE) / VLOOKUP("industry|PM25|Minor restricted activity days", US_national_yearly!$D:$AM, 10, FALSE), 1)</f>
        <v>4.883187213844554</v>
      </c>
      <c r="M14" s="7">
        <f>$B14 * IFERROR(VLOOKUP("industry|PM25|Minor restricted activity days", US_national_yearly!$D:$AM, 21, FALSE) / VLOOKUP("industry|PM25|Minor restricted activity days", US_national_yearly!$D:$AM, 10, FALSE), 1)</f>
        <v>4.9118226365653079</v>
      </c>
      <c r="N14" s="7">
        <f>$B14 * IFERROR(VLOOKUP("industry|PM25|Minor restricted activity days", US_national_yearly!$D:$AM, 22, FALSE) / VLOOKUP("industry|PM25|Minor restricted activity days", US_national_yearly!$D:$AM, 10, FALSE), 1)</f>
        <v>4.9509414514901326</v>
      </c>
      <c r="O14" s="7">
        <f>$B14 * IFERROR(VLOOKUP("industry|PM25|Minor restricted activity days", US_national_yearly!$D:$AM, 23, FALSE) / VLOOKUP("industry|PM25|Minor restricted activity days", US_national_yearly!$D:$AM, 10, FALSE), 1)</f>
        <v>4.9900602664149618</v>
      </c>
      <c r="P14" s="7">
        <f>$B14 * IFERROR(VLOOKUP("industry|PM25|Minor restricted activity days", US_national_yearly!$D:$AM, 24, FALSE) / VLOOKUP("industry|PM25|Minor restricted activity days", US_national_yearly!$D:$AM, 10, FALSE), 1)</f>
        <v>5.0291790813397865</v>
      </c>
      <c r="Q14" s="7">
        <f>$B14 * IFERROR(VLOOKUP("industry|PM25|Minor restricted activity days", US_national_yearly!$D:$AM, 25, FALSE) / VLOOKUP("industry|PM25|Minor restricted activity days", US_national_yearly!$D:$AM, 10, FALSE), 1)</f>
        <v>5.0682978962646166</v>
      </c>
      <c r="R14" s="7">
        <f>$B14 * IFERROR(VLOOKUP("industry|PM25|Minor restricted activity days", US_national_yearly!$D:$AM, 26, FALSE) / VLOOKUP("industry|PM25|Minor restricted activity days", US_national_yearly!$D:$AM, 10, FALSE), 1)</f>
        <v>5.1074167111894422</v>
      </c>
      <c r="S14" s="7">
        <f>$B14 * IFERROR(VLOOKUP("industry|PM25|Minor restricted activity days", US_national_yearly!$D:$AM, 27, FALSE) / VLOOKUP("industry|PM25|Minor restricted activity days", US_national_yearly!$D:$AM, 10, FALSE), 1)</f>
        <v>5.1469110820367971</v>
      </c>
      <c r="T14" s="7">
        <f>$B14 * IFERROR(VLOOKUP("industry|PM25|Minor restricted activity days", US_national_yearly!$D:$AM, 28, FALSE) / VLOOKUP("industry|PM25|Minor restricted activity days", US_national_yearly!$D:$AM, 10, FALSE), 1)</f>
        <v>5.1864054528841539</v>
      </c>
      <c r="U14" s="7">
        <f>$B14 * IFERROR(VLOOKUP("industry|PM25|Minor restricted activity days", US_national_yearly!$D:$AM, 29, FALSE) / VLOOKUP("industry|PM25|Minor restricted activity days", US_national_yearly!$D:$AM, 10, FALSE), 1)</f>
        <v>5.2258998237315097</v>
      </c>
      <c r="V14" s="7">
        <f>$B14 * IFERROR(VLOOKUP("industry|PM25|Minor restricted activity days", US_national_yearly!$D:$AM, 30, FALSE) / VLOOKUP("industry|PM25|Minor restricted activity days", US_national_yearly!$D:$AM, 10, FALSE), 1)</f>
        <v>5.2653941945788656</v>
      </c>
      <c r="W14" s="7">
        <f>$B14 * IFERROR(VLOOKUP("industry|PM25|Minor restricted activity days", US_national_yearly!$D:$AM, 31, FALSE) / VLOOKUP("industry|PM25|Minor restricted activity days", US_national_yearly!$D:$AM, 10, FALSE), 1)</f>
        <v>5.3048885654262223</v>
      </c>
      <c r="X14" s="7">
        <f>$B14 * IFERROR(VLOOKUP("industry|PM25|Minor restricted activity days", US_national_yearly!$D:$AM, 32, FALSE) / VLOOKUP("industry|PM25|Minor restricted activity days", US_national_yearly!$D:$AM, 10, FALSE), 1)</f>
        <v>5.3392077272910514</v>
      </c>
      <c r="Y14" s="7">
        <f>$B14 * IFERROR(VLOOKUP("industry|PM25|Minor restricted activity days", US_national_yearly!$D:$AM, 33, FALSE) / VLOOKUP("industry|PM25|Minor restricted activity days", US_national_yearly!$D:$AM, 10, FALSE), 1)</f>
        <v>5.3735268891558814</v>
      </c>
      <c r="Z14" s="7">
        <f>$B14 * IFERROR(VLOOKUP("industry|PM25|Minor restricted activity days", US_national_yearly!$D:$AM, 34, FALSE) / VLOOKUP("industry|PM25|Minor restricted activity days", US_national_yearly!$D:$AM, 10, FALSE), 1)</f>
        <v>5.4078460510207114</v>
      </c>
      <c r="AA14" s="7">
        <f>$B14 * IFERROR(VLOOKUP("industry|PM25|Minor restricted activity days", US_national_yearly!$D:$AM, 35, FALSE) / VLOOKUP("industry|PM25|Minor restricted activity days", US_national_yearly!$D:$AM, 10, FALSE), 1)</f>
        <v>5.4421652128855413</v>
      </c>
      <c r="AB14" s="7">
        <f>$B14 * IFERROR(VLOOKUP("industry|PM25|Minor restricted activity days", US_national_yearly!$D:$AM, 36, FALSE) / VLOOKUP("industry|PM25|Minor restricted activity days", US_national_yearly!$D:$AM, 10, FALSE), 1)</f>
        <v>5.4764843747503713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0.79250386308396514</v>
      </c>
      <c r="C15" s="7">
        <f>$B15 * IFERROR(VLOOKUP("industry|PM25|Work loss days", US_national_yearly!$D:$AM, 11, FALSE) / VLOOKUP("industry|PM25|Work loss days", US_national_yearly!$D:$AM, 10, FALSE), 1)</f>
        <v>0.79496094324944266</v>
      </c>
      <c r="D15" s="7">
        <f>$B15 * IFERROR(VLOOKUP("industry|PM25|Work loss days", US_national_yearly!$D:$AM, 12, FALSE) / VLOOKUP("industry|PM25|Work loss days", US_national_yearly!$D:$AM, 10, FALSE), 1)</f>
        <v>0.79741802341492019</v>
      </c>
      <c r="E15" s="7">
        <f>$B15 * IFERROR(VLOOKUP("industry|PM25|Work loss days", US_national_yearly!$D:$AM, 13, FALSE) / VLOOKUP("industry|PM25|Work loss days", US_national_yearly!$D:$AM, 10, FALSE), 1)</f>
        <v>0.7998751035803976</v>
      </c>
      <c r="F15" s="7">
        <f>$B15 * IFERROR(VLOOKUP("industry|PM25|Work loss days", US_national_yearly!$D:$AM, 14, FALSE) / VLOOKUP("industry|PM25|Work loss days", US_national_yearly!$D:$AM, 10, FALSE), 1)</f>
        <v>0.80233218374587512</v>
      </c>
      <c r="G15" s="7">
        <f>$B15 * IFERROR(VLOOKUP("industry|PM25|Work loss days", US_national_yearly!$D:$AM, 15, FALSE) / VLOOKUP("industry|PM25|Work loss days", US_national_yearly!$D:$AM, 10, FALSE), 1)</f>
        <v>0.80554000948477245</v>
      </c>
      <c r="H15" s="7">
        <f>$B15 * IFERROR(VLOOKUP("industry|PM25|Work loss days", US_national_yearly!$D:$AM, 16, FALSE) / VLOOKUP("industry|PM25|Work loss days", US_national_yearly!$D:$AM, 10, FALSE), 1)</f>
        <v>0.80874783522366978</v>
      </c>
      <c r="I15" s="7">
        <f>$B15 * IFERROR(VLOOKUP("industry|PM25|Work loss days", US_national_yearly!$D:$AM, 17, FALSE) / VLOOKUP("industry|PM25|Work loss days", US_national_yearly!$D:$AM, 10, FALSE), 1)</f>
        <v>0.81344511304028011</v>
      </c>
      <c r="J15" s="7">
        <f>$B15 * IFERROR(VLOOKUP("industry|PM25|Work loss days", US_national_yearly!$D:$AM, 18, FALSE) / VLOOKUP("industry|PM25|Work loss days", US_national_yearly!$D:$AM, 10, FALSE), 1)</f>
        <v>0.81814239085689044</v>
      </c>
      <c r="K15" s="7">
        <f>$B15 * IFERROR(VLOOKUP("industry|PM25|Work loss days", US_national_yearly!$D:$AM, 19, FALSE) / VLOOKUP("industry|PM25|Work loss days", US_national_yearly!$D:$AM, 10, FALSE), 1)</f>
        <v>0.82283966867350056</v>
      </c>
      <c r="L15" s="7">
        <f>$B15 * IFERROR(VLOOKUP("industry|PM25|Work loss days", US_national_yearly!$D:$AM, 20, FALSE) / VLOOKUP("industry|PM25|Work loss days", US_national_yearly!$D:$AM, 10, FALSE), 1)</f>
        <v>0.82753694649011089</v>
      </c>
      <c r="M15" s="7">
        <f>$B15 * IFERROR(VLOOKUP("industry|PM25|Work loss days", US_national_yearly!$D:$AM, 21, FALSE) / VLOOKUP("industry|PM25|Work loss days", US_national_yearly!$D:$AM, 10, FALSE), 1)</f>
        <v>0.83223422430672123</v>
      </c>
      <c r="N15" s="7">
        <f>$B15 * IFERROR(VLOOKUP("industry|PM25|Work loss days", US_national_yearly!$D:$AM, 22, FALSE) / VLOOKUP("industry|PM25|Work loss days", US_national_yearly!$D:$AM, 10, FALSE), 1)</f>
        <v>0.83816157235652677</v>
      </c>
      <c r="O15" s="7">
        <f>$B15 * IFERROR(VLOOKUP("industry|PM25|Work loss days", US_national_yearly!$D:$AM, 23, FALSE) / VLOOKUP("industry|PM25|Work loss days", US_national_yearly!$D:$AM, 10, FALSE), 1)</f>
        <v>0.84408892040633232</v>
      </c>
      <c r="P15" s="7">
        <f>$B15 * IFERROR(VLOOKUP("industry|PM25|Work loss days", US_national_yearly!$D:$AM, 24, FALSE) / VLOOKUP("industry|PM25|Work loss days", US_national_yearly!$D:$AM, 10, FALSE), 1)</f>
        <v>0.85001626845613765</v>
      </c>
      <c r="Q15" s="7">
        <f>$B15 * IFERROR(VLOOKUP("industry|PM25|Work loss days", US_national_yearly!$D:$AM, 25, FALSE) / VLOOKUP("industry|PM25|Work loss days", US_national_yearly!$D:$AM, 10, FALSE), 1)</f>
        <v>0.85594361650594319</v>
      </c>
      <c r="R15" s="7">
        <f>$B15 * IFERROR(VLOOKUP("industry|PM25|Work loss days", US_national_yearly!$D:$AM, 26, FALSE) / VLOOKUP("industry|PM25|Work loss days", US_national_yearly!$D:$AM, 10, FALSE), 1)</f>
        <v>0.86187096455574863</v>
      </c>
      <c r="S15" s="7">
        <f>$B15 * IFERROR(VLOOKUP("industry|PM25|Work loss days", US_national_yearly!$D:$AM, 27, FALSE) / VLOOKUP("industry|PM25|Work loss days", US_national_yearly!$D:$AM, 10, FALSE), 1)</f>
        <v>0.86844355323188649</v>
      </c>
      <c r="T15" s="7">
        <f>$B15 * IFERROR(VLOOKUP("industry|PM25|Work loss days", US_national_yearly!$D:$AM, 28, FALSE) / VLOOKUP("industry|PM25|Work loss days", US_national_yearly!$D:$AM, 10, FALSE), 1)</f>
        <v>0.87501614190802413</v>
      </c>
      <c r="U15" s="7">
        <f>$B15 * IFERROR(VLOOKUP("industry|PM25|Work loss days", US_national_yearly!$D:$AM, 29, FALSE) / VLOOKUP("industry|PM25|Work loss days", US_national_yearly!$D:$AM, 10, FALSE), 1)</f>
        <v>0.88158873058416176</v>
      </c>
      <c r="V15" s="7">
        <f>$B15 * IFERROR(VLOOKUP("industry|PM25|Work loss days", US_national_yearly!$D:$AM, 30, FALSE) / VLOOKUP("industry|PM25|Work loss days", US_national_yearly!$D:$AM, 10, FALSE), 1)</f>
        <v>0.8881613192602994</v>
      </c>
      <c r="W15" s="7">
        <f>$B15 * IFERROR(VLOOKUP("industry|PM25|Work loss days", US_national_yearly!$D:$AM, 31, FALSE) / VLOOKUP("industry|PM25|Work loss days", US_national_yearly!$D:$AM, 10, FALSE), 1)</f>
        <v>0.89473390793643715</v>
      </c>
      <c r="X15" s="7">
        <f>$B15 * IFERROR(VLOOKUP("industry|PM25|Work loss days", US_national_yearly!$D:$AM, 32, FALSE) / VLOOKUP("industry|PM25|Work loss days", US_national_yearly!$D:$AM, 10, FALSE), 1)</f>
        <v>0.90057451720512427</v>
      </c>
      <c r="Y15" s="7">
        <f>$B15 * IFERROR(VLOOKUP("industry|PM25|Work loss days", US_national_yearly!$D:$AM, 33, FALSE) / VLOOKUP("industry|PM25|Work loss days", US_national_yearly!$D:$AM, 10, FALSE), 1)</f>
        <v>0.90641512647381162</v>
      </c>
      <c r="Z15" s="7">
        <f>$B15 * IFERROR(VLOOKUP("industry|PM25|Work loss days", US_national_yearly!$D:$AM, 34, FALSE) / VLOOKUP("industry|PM25|Work loss days", US_national_yearly!$D:$AM, 10, FALSE), 1)</f>
        <v>0.91225573574249885</v>
      </c>
      <c r="AA15" s="7">
        <f>$B15 * IFERROR(VLOOKUP("industry|PM25|Work loss days", US_national_yearly!$D:$AM, 35, FALSE) / VLOOKUP("industry|PM25|Work loss days", US_national_yearly!$D:$AM, 10, FALSE), 1)</f>
        <v>0.91809634501118598</v>
      </c>
      <c r="AB15" s="7">
        <f>$B15 * IFERROR(VLOOKUP("industry|PM25|Work loss days", US_national_yearly!$D:$AM, 36, FALSE) / VLOOKUP("industry|PM25|Work loss days", US_national_yearly!$D:$AM, 10, FALSE), 1)</f>
        <v>0.92393695427987332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1.7204187468503056E-3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1.7718775745643417E-3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1.8233364022783778E-3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1.8747952299924138E-3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1.9262540577064495E-3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1.9755736349842327E-3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2.0248932122620155E-3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2.0672383914457208E-3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2.1095835706294256E-3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2.1519287498131309E-3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2.1942739289968361E-3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2.2366191081805414E-3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2.2649058475228412E-3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2.2931925868651397E-3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2.3214793262074391E-3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2.3497660655497385E-3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2.3780528048920374E-3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2.3932081538629232E-3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2.4083635028338086E-3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2.4235188518046944E-3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2.4386742007755794E-3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2.4538295497464652E-3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2.4642366453765463E-3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2.4746437410066266E-3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2.4850508366367078E-3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2.495457932266788E-3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2.5058650278968688E-3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7.8497541275448124E-4</v>
      </c>
      <c r="C2" s="7">
        <f>$B2 * IFERROR(VLOOKUP("industry|NOx|Premature mortality", US_national_yearly!$D:$AM, 11, FALSE) / VLOOKUP("industry|NOx|Premature mortality", US_national_yearly!$D:$AM, 10, FALSE), 1)</f>
        <v>7.9658263814373121E-4</v>
      </c>
      <c r="D2" s="7">
        <f>$B2 * IFERROR(VLOOKUP("industry|NOx|Premature mortality", US_national_yearly!$D:$AM, 12, FALSE) / VLOOKUP("industry|NOx|Premature mortality", US_national_yearly!$D:$AM, 10, FALSE), 1)</f>
        <v>8.0818986353298141E-4</v>
      </c>
      <c r="E2" s="7">
        <f>$B2 * IFERROR(VLOOKUP("industry|NOx|Premature mortality", US_national_yearly!$D:$AM, 13, FALSE) / VLOOKUP("industry|NOx|Premature mortality", US_national_yearly!$D:$AM, 10, FALSE), 1)</f>
        <v>8.1979708892223138E-4</v>
      </c>
      <c r="F2" s="7">
        <f>$B2 * IFERROR(VLOOKUP("industry|NOx|Premature mortality", US_national_yearly!$D:$AM, 14, FALSE) / VLOOKUP("industry|NOx|Premature mortality", US_national_yearly!$D:$AM, 10, FALSE), 1)</f>
        <v>8.3140431431148157E-4</v>
      </c>
      <c r="G2" s="7">
        <f>$B2 * IFERROR(VLOOKUP("industry|NOx|Premature mortality", US_national_yearly!$D:$AM, 15, FALSE) / VLOOKUP("industry|NOx|Premature mortality", US_national_yearly!$D:$AM, 10, FALSE), 1)</f>
        <v>8.5222041613708356E-4</v>
      </c>
      <c r="H2" s="7">
        <f>$B2 * IFERROR(VLOOKUP("industry|NOx|Premature mortality", US_national_yearly!$D:$AM, 16, FALSE) / VLOOKUP("industry|NOx|Premature mortality", US_national_yearly!$D:$AM, 10, FALSE), 1)</f>
        <v>8.7303651796268554E-4</v>
      </c>
      <c r="I2" s="7">
        <f>$B2 * IFERROR(VLOOKUP("industry|NOx|Premature mortality", US_national_yearly!$D:$AM, 17, FALSE) / VLOOKUP("industry|NOx|Premature mortality", US_national_yearly!$D:$AM, 10, FALSE), 1)</f>
        <v>8.8654062364709383E-4</v>
      </c>
      <c r="J2" s="7">
        <f>$B2 * IFERROR(VLOOKUP("industry|NOx|Premature mortality", US_national_yearly!$D:$AM, 18, FALSE) / VLOOKUP("industry|NOx|Premature mortality", US_national_yearly!$D:$AM, 10, FALSE), 1)</f>
        <v>9.0004472933150222E-4</v>
      </c>
      <c r="K2" s="7">
        <f>$B2 * IFERROR(VLOOKUP("industry|NOx|Premature mortality", US_national_yearly!$D:$AM, 19, FALSE) / VLOOKUP("industry|NOx|Premature mortality", US_national_yearly!$D:$AM, 10, FALSE), 1)</f>
        <v>9.1354883501591072E-4</v>
      </c>
      <c r="L2" s="7">
        <f>$B2 * IFERROR(VLOOKUP("industry|NOx|Premature mortality", US_national_yearly!$D:$AM, 20, FALSE) / VLOOKUP("industry|NOx|Premature mortality", US_national_yearly!$D:$AM, 10, FALSE), 1)</f>
        <v>9.2705294070031901E-4</v>
      </c>
      <c r="M2" s="7">
        <f>$B2 * IFERROR(VLOOKUP("industry|NOx|Premature mortality", US_national_yearly!$D:$AM, 21, FALSE) / VLOOKUP("industry|NOx|Premature mortality", US_national_yearly!$D:$AM, 10, FALSE), 1)</f>
        <v>9.405570463847274E-4</v>
      </c>
      <c r="N2" s="7">
        <f>$B2 * IFERROR(VLOOKUP("industry|NOx|Premature mortality", US_national_yearly!$D:$AM, 22, FALSE) / VLOOKUP("industry|NOx|Premature mortality", US_national_yearly!$D:$AM, 10, FALSE), 1)</f>
        <v>9.5060586317071392E-4</v>
      </c>
      <c r="O2" s="7">
        <f>$B2 * IFERROR(VLOOKUP("industry|NOx|Premature mortality", US_national_yearly!$D:$AM, 23, FALSE) / VLOOKUP("industry|NOx|Premature mortality", US_national_yearly!$D:$AM, 10, FALSE), 1)</f>
        <v>9.6065467995670034E-4</v>
      </c>
      <c r="P2" s="7">
        <f>$B2 * IFERROR(VLOOKUP("industry|NOx|Premature mortality", US_national_yearly!$D:$AM, 24, FALSE) / VLOOKUP("industry|NOx|Premature mortality", US_national_yearly!$D:$AM, 10, FALSE), 1)</f>
        <v>9.7070349674268654E-4</v>
      </c>
      <c r="Q2" s="7">
        <f>$B2 * IFERROR(VLOOKUP("industry|NOx|Premature mortality", US_national_yearly!$D:$AM, 25, FALSE) / VLOOKUP("industry|NOx|Premature mortality", US_national_yearly!$D:$AM, 10, FALSE), 1)</f>
        <v>9.8075231352867296E-4</v>
      </c>
      <c r="R2" s="7">
        <f>$B2 * IFERROR(VLOOKUP("industry|NOx|Premature mortality", US_national_yearly!$D:$AM, 26, FALSE) / VLOOKUP("industry|NOx|Premature mortality", US_national_yearly!$D:$AM, 10, FALSE), 1)</f>
        <v>9.9080113031465916E-4</v>
      </c>
      <c r="S2" s="7">
        <f>$B2 * IFERROR(VLOOKUP("industry|NOx|Premature mortality", US_national_yearly!$D:$AM, 27, FALSE) / VLOOKUP("industry|NOx|Premature mortality", US_national_yearly!$D:$AM, 10, FALSE), 1)</f>
        <v>9.9548046610213061E-4</v>
      </c>
      <c r="T2" s="7">
        <f>$B2 * IFERROR(VLOOKUP("industry|NOx|Premature mortality", US_national_yearly!$D:$AM, 28, FALSE) / VLOOKUP("industry|NOx|Premature mortality", US_national_yearly!$D:$AM, 10, FALSE), 1)</f>
        <v>1.0001598018896021E-3</v>
      </c>
      <c r="U2" s="7">
        <f>$B2 * IFERROR(VLOOKUP("industry|NOx|Premature mortality", US_national_yearly!$D:$AM, 29, FALSE) / VLOOKUP("industry|NOx|Premature mortality", US_national_yearly!$D:$AM, 10, FALSE), 1)</f>
        <v>1.0048391376770735E-3</v>
      </c>
      <c r="V2" s="7">
        <f>$B2 * IFERROR(VLOOKUP("industry|NOx|Premature mortality", US_national_yearly!$D:$AM, 30, FALSE) / VLOOKUP("industry|NOx|Premature mortality", US_national_yearly!$D:$AM, 10, FALSE), 1)</f>
        <v>1.009518473464545E-3</v>
      </c>
      <c r="W2" s="7">
        <f>$B2 * IFERROR(VLOOKUP("industry|NOx|Premature mortality", US_national_yearly!$D:$AM, 31, FALSE) / VLOOKUP("industry|NOx|Premature mortality", US_national_yearly!$D:$AM, 10, FALSE), 1)</f>
        <v>1.0141978092520164E-3</v>
      </c>
      <c r="X2" s="7">
        <f>$B2 * IFERROR(VLOOKUP("industry|NOx|Premature mortality", US_national_yearly!$D:$AM, 32, FALSE) / VLOOKUP("industry|NOx|Premature mortality", US_national_yearly!$D:$AM, 10, FALSE), 1)</f>
        <v>1.0145554190582355E-3</v>
      </c>
      <c r="Y2" s="7">
        <f>$B2 * IFERROR(VLOOKUP("industry|NOx|Premature mortality", US_national_yearly!$D:$AM, 33, FALSE) / VLOOKUP("industry|NOx|Premature mortality", US_national_yearly!$D:$AM, 10, FALSE), 1)</f>
        <v>1.0149130288644548E-3</v>
      </c>
      <c r="Z2" s="7">
        <f>$B2 * IFERROR(VLOOKUP("industry|NOx|Premature mortality", US_national_yearly!$D:$AM, 34, FALSE) / VLOOKUP("industry|NOx|Premature mortality", US_national_yearly!$D:$AM, 10, FALSE), 1)</f>
        <v>1.0152706386706738E-3</v>
      </c>
      <c r="AA2" s="7">
        <f>$B2 * IFERROR(VLOOKUP("industry|NOx|Premature mortality", US_national_yearly!$D:$AM, 35, FALSE) / VLOOKUP("industry|NOx|Premature mortality", US_national_yearly!$D:$AM, 10, FALSE), 1)</f>
        <v>1.0156282484768929E-3</v>
      </c>
      <c r="AB2" s="7">
        <f>$B2 * IFERROR(VLOOKUP("industry|NOx|Premature mortality", US_national_yearly!$D:$AM, 36, FALSE) / VLOOKUP("industry|NOx|Premature mortality", US_national_yearly!$D:$AM, 10, FALSE), 1)</f>
        <v>1.0159858582831122E-3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2.0544105185206148E-6</v>
      </c>
      <c r="C3" s="7">
        <f>$B3 * IFERROR(VLOOKUP("industry|NOx|Infant mortality", US_national_yearly!$D:$AM, 11, FALSE) / VLOOKUP("industry|NOx|Infant mortality", US_national_yearly!$D:$AM, 10, FALSE), 1)</f>
        <v>2.0347357732672819E-6</v>
      </c>
      <c r="D3" s="7">
        <f>$B3 * IFERROR(VLOOKUP("industry|NOx|Infant mortality", US_national_yearly!$D:$AM, 12, FALSE) / VLOOKUP("industry|NOx|Infant mortality", US_national_yearly!$D:$AM, 10, FALSE), 1)</f>
        <v>2.0150610280139486E-6</v>
      </c>
      <c r="E3" s="7">
        <f>$B3 * IFERROR(VLOOKUP("industry|NOx|Infant mortality", US_national_yearly!$D:$AM, 13, FALSE) / VLOOKUP("industry|NOx|Infant mortality", US_national_yearly!$D:$AM, 10, FALSE), 1)</f>
        <v>1.9953862827606157E-6</v>
      </c>
      <c r="F3" s="7">
        <f>$B3 * IFERROR(VLOOKUP("industry|NOx|Infant mortality", US_national_yearly!$D:$AM, 14, FALSE) / VLOOKUP("industry|NOx|Infant mortality", US_national_yearly!$D:$AM, 10, FALSE), 1)</f>
        <v>1.9757115375072823E-6</v>
      </c>
      <c r="G3" s="7">
        <f>$B3 * IFERROR(VLOOKUP("industry|NOx|Infant mortality", US_national_yearly!$D:$AM, 15, FALSE) / VLOOKUP("industry|NOx|Infant mortality", US_national_yearly!$D:$AM, 10, FALSE), 1)</f>
        <v>1.3104662197610595E-6</v>
      </c>
      <c r="H3" s="7">
        <f>$B3 * IFERROR(VLOOKUP("industry|NOx|Infant mortality", US_national_yearly!$D:$AM, 16, FALSE) / VLOOKUP("industry|NOx|Infant mortality", US_national_yearly!$D:$AM, 10, FALSE), 1)</f>
        <v>6.4522090201483652E-7</v>
      </c>
      <c r="I3" s="7">
        <f>$B3 * IFERROR(VLOOKUP("industry|NOx|Infant mortality", US_national_yearly!$D:$AM, 17, FALSE) / VLOOKUP("industry|NOx|Infant mortality", US_national_yearly!$D:$AM, 10, FALSE), 1)</f>
        <v>6.4056913789384869E-7</v>
      </c>
      <c r="J3" s="7">
        <f>$B3 * IFERROR(VLOOKUP("industry|NOx|Infant mortality", US_national_yearly!$D:$AM, 18, FALSE) / VLOOKUP("industry|NOx|Infant mortality", US_national_yearly!$D:$AM, 10, FALSE), 1)</f>
        <v>6.3591737377286086E-7</v>
      </c>
      <c r="K3" s="7">
        <f>$B3 * IFERROR(VLOOKUP("industry|NOx|Infant mortality", US_national_yearly!$D:$AM, 19, FALSE) / VLOOKUP("industry|NOx|Infant mortality", US_national_yearly!$D:$AM, 10, FALSE), 1)</f>
        <v>6.3126560965187303E-7</v>
      </c>
      <c r="L3" s="7">
        <f>$B3 * IFERROR(VLOOKUP("industry|NOx|Infant mortality", US_national_yearly!$D:$AM, 20, FALSE) / VLOOKUP("industry|NOx|Infant mortality", US_national_yearly!$D:$AM, 10, FALSE), 1)</f>
        <v>6.2661384553088499E-7</v>
      </c>
      <c r="M3" s="7">
        <f>$B3 * IFERROR(VLOOKUP("industry|NOx|Infant mortality", US_national_yearly!$D:$AM, 21, FALSE) / VLOOKUP("industry|NOx|Infant mortality", US_national_yearly!$D:$AM, 10, FALSE), 1)</f>
        <v>6.2196208140989716E-7</v>
      </c>
      <c r="N3" s="7">
        <f>$B3 * IFERROR(VLOOKUP("industry|NOx|Infant mortality", US_national_yearly!$D:$AM, 22, FALSE) / VLOOKUP("industry|NOx|Infant mortality", US_national_yearly!$D:$AM, 10, FALSE), 1)</f>
        <v>6.188279325721211E-7</v>
      </c>
      <c r="O3" s="7">
        <f>$B3 * IFERROR(VLOOKUP("industry|NOx|Infant mortality", US_national_yearly!$D:$AM, 23, FALSE) / VLOOKUP("industry|NOx|Infant mortality", US_national_yearly!$D:$AM, 10, FALSE), 1)</f>
        <v>6.1569378373434505E-7</v>
      </c>
      <c r="P3" s="7">
        <f>$B3 * IFERROR(VLOOKUP("industry|NOx|Infant mortality", US_national_yearly!$D:$AM, 24, FALSE) / VLOOKUP("industry|NOx|Infant mortality", US_national_yearly!$D:$AM, 10, FALSE), 1)</f>
        <v>6.125596348965691E-7</v>
      </c>
      <c r="Q3" s="7">
        <f>$B3 * IFERROR(VLOOKUP("industry|NOx|Infant mortality", US_national_yearly!$D:$AM, 25, FALSE) / VLOOKUP("industry|NOx|Infant mortality", US_national_yearly!$D:$AM, 10, FALSE), 1)</f>
        <v>6.0942548605879315E-7</v>
      </c>
      <c r="R3" s="7">
        <f>$B3 * IFERROR(VLOOKUP("industry|NOx|Infant mortality", US_national_yearly!$D:$AM, 26, FALSE) / VLOOKUP("industry|NOx|Infant mortality", US_national_yearly!$D:$AM, 10, FALSE), 1)</f>
        <v>6.062913372210172E-7</v>
      </c>
      <c r="S3" s="7">
        <f>$B3 * IFERROR(VLOOKUP("industry|NOx|Infant mortality", US_national_yearly!$D:$AM, 27, FALSE) / VLOOKUP("industry|NOx|Infant mortality", US_national_yearly!$D:$AM, 10, FALSE), 1)</f>
        <v>6.0256959150870806E-7</v>
      </c>
      <c r="T3" s="7">
        <f>$B3 * IFERROR(VLOOKUP("industry|NOx|Infant mortality", US_national_yearly!$D:$AM, 28, FALSE) / VLOOKUP("industry|NOx|Infant mortality", US_national_yearly!$D:$AM, 10, FALSE), 1)</f>
        <v>5.9884784579639902E-7</v>
      </c>
      <c r="U3" s="7">
        <f>$B3 * IFERROR(VLOOKUP("industry|NOx|Infant mortality", US_national_yearly!$D:$AM, 29, FALSE) / VLOOKUP("industry|NOx|Infant mortality", US_national_yearly!$D:$AM, 10, FALSE), 1)</f>
        <v>5.9512610008408999E-7</v>
      </c>
      <c r="V3" s="7">
        <f>$B3 * IFERROR(VLOOKUP("industry|NOx|Infant mortality", US_national_yearly!$D:$AM, 30, FALSE) / VLOOKUP("industry|NOx|Infant mortality", US_national_yearly!$D:$AM, 10, FALSE), 1)</f>
        <v>5.9140435437178085E-7</v>
      </c>
      <c r="W3" s="7">
        <f>$B3 * IFERROR(VLOOKUP("industry|NOx|Infant mortality", US_national_yearly!$D:$AM, 31, FALSE) / VLOOKUP("industry|NOx|Infant mortality", US_national_yearly!$D:$AM, 10, FALSE), 1)</f>
        <v>5.8768260865947192E-7</v>
      </c>
      <c r="X3" s="7">
        <f>$B3 * IFERROR(VLOOKUP("industry|NOx|Infant mortality", US_national_yearly!$D:$AM, 32, FALSE) / VLOOKUP("industry|NOx|Infant mortality", US_national_yearly!$D:$AM, 10, FALSE), 1)</f>
        <v>5.8377436355982259E-7</v>
      </c>
      <c r="Y3" s="7">
        <f>$B3 * IFERROR(VLOOKUP("industry|NOx|Infant mortality", US_national_yearly!$D:$AM, 33, FALSE) / VLOOKUP("industry|NOx|Infant mortality", US_national_yearly!$D:$AM, 10, FALSE), 1)</f>
        <v>5.7986611846017338E-7</v>
      </c>
      <c r="Z3" s="7">
        <f>$B3 * IFERROR(VLOOKUP("industry|NOx|Infant mortality", US_national_yearly!$D:$AM, 34, FALSE) / VLOOKUP("industry|NOx|Infant mortality", US_national_yearly!$D:$AM, 10, FALSE), 1)</f>
        <v>5.7595787336052416E-7</v>
      </c>
      <c r="AA3" s="7">
        <f>$B3 * IFERROR(VLOOKUP("industry|NOx|Infant mortality", US_national_yearly!$D:$AM, 35, FALSE) / VLOOKUP("industry|NOx|Infant mortality", US_national_yearly!$D:$AM, 10, FALSE), 1)</f>
        <v>5.7204962826087484E-7</v>
      </c>
      <c r="AB3" s="7">
        <f>$B3 * IFERROR(VLOOKUP("industry|NOx|Infant mortality", US_national_yearly!$D:$AM, 36, FALSE) / VLOOKUP("industry|NOx|Infant mortality", US_national_yearly!$D:$AM, 10, FALSE), 1)</f>
        <v>5.6814138316122562E-7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1.8235440905998231E-3</v>
      </c>
      <c r="C6" s="7">
        <f>$B6 * IFERROR(VLOOKUP("industry|NOx|Asthma symptoms cough", US_national_yearly!$D:$AM, 11, FALSE) / VLOOKUP("industry|NOx|Asthma symptoms cough", US_national_yearly!$D:$AM, 10, FALSE), 1)</f>
        <v>1.8484907925206261E-3</v>
      </c>
      <c r="D6" s="7">
        <f>$B6 * IFERROR(VLOOKUP("industry|NOx|Asthma symptoms cough", US_national_yearly!$D:$AM, 12, FALSE) / VLOOKUP("industry|NOx|Asthma symptoms cough", US_national_yearly!$D:$AM, 10, FALSE), 1)</f>
        <v>1.8734374944414291E-3</v>
      </c>
      <c r="E6" s="7">
        <f>$B6 * IFERROR(VLOOKUP("industry|NOx|Asthma symptoms cough", US_national_yearly!$D:$AM, 13, FALSE) / VLOOKUP("industry|NOx|Asthma symptoms cough", US_national_yearly!$D:$AM, 10, FALSE), 1)</f>
        <v>1.898384196362232E-3</v>
      </c>
      <c r="F6" s="7">
        <f>$B6 * IFERROR(VLOOKUP("industry|NOx|Asthma symptoms cough", US_national_yearly!$D:$AM, 14, FALSE) / VLOOKUP("industry|NOx|Asthma symptoms cough", US_national_yearly!$D:$AM, 10, FALSE), 1)</f>
        <v>1.923330898283035E-3</v>
      </c>
      <c r="G6" s="7">
        <f>$B6 * IFERROR(VLOOKUP("industry|NOx|Asthma symptoms cough", US_national_yearly!$D:$AM, 15, FALSE) / VLOOKUP("industry|NOx|Asthma symptoms cough", US_national_yearly!$D:$AM, 10, FALSE), 1)</f>
        <v>1.9433342830558319E-3</v>
      </c>
      <c r="H6" s="7">
        <f>$B6 * IFERROR(VLOOKUP("industry|NOx|Asthma symptoms cough", US_national_yearly!$D:$AM, 16, FALSE) / VLOOKUP("industry|NOx|Asthma symptoms cough", US_national_yearly!$D:$AM, 10, FALSE), 1)</f>
        <v>1.9633376678286291E-3</v>
      </c>
      <c r="I6" s="7">
        <f>$B6 * IFERROR(VLOOKUP("industry|NOx|Asthma symptoms cough", US_national_yearly!$D:$AM, 17, FALSE) / VLOOKUP("industry|NOx|Asthma symptoms cough", US_national_yearly!$D:$AM, 10, FALSE), 1)</f>
        <v>1.9702990230609065E-3</v>
      </c>
      <c r="J6" s="7">
        <f>$B6 * IFERROR(VLOOKUP("industry|NOx|Asthma symptoms cough", US_national_yearly!$D:$AM, 18, FALSE) / VLOOKUP("industry|NOx|Asthma symptoms cough", US_national_yearly!$D:$AM, 10, FALSE), 1)</f>
        <v>1.9772603782931839E-3</v>
      </c>
      <c r="K6" s="7">
        <f>$B6 * IFERROR(VLOOKUP("industry|NOx|Asthma symptoms cough", US_national_yearly!$D:$AM, 19, FALSE) / VLOOKUP("industry|NOx|Asthma symptoms cough", US_national_yearly!$D:$AM, 10, FALSE), 1)</f>
        <v>1.9842217335254613E-3</v>
      </c>
      <c r="L6" s="7">
        <f>$B6 * IFERROR(VLOOKUP("industry|NOx|Asthma symptoms cough", US_national_yearly!$D:$AM, 20, FALSE) / VLOOKUP("industry|NOx|Asthma symptoms cough", US_national_yearly!$D:$AM, 10, FALSE), 1)</f>
        <v>1.9911830887577391E-3</v>
      </c>
      <c r="M6" s="7">
        <f>$B6 * IFERROR(VLOOKUP("industry|NOx|Asthma symptoms cough", US_national_yearly!$D:$AM, 21, FALSE) / VLOOKUP("industry|NOx|Asthma symptoms cough", US_national_yearly!$D:$AM, 10, FALSE), 1)</f>
        <v>1.9981444439900169E-3</v>
      </c>
      <c r="N6" s="7">
        <f>$B6 * IFERROR(VLOOKUP("industry|NOx|Asthma symptoms cough", US_national_yearly!$D:$AM, 22, FALSE) / VLOOKUP("industry|NOx|Asthma symptoms cough", US_national_yearly!$D:$AM, 10, FALSE), 1)</f>
        <v>2.0060910210234206E-3</v>
      </c>
      <c r="O6" s="7">
        <f>$B6 * IFERROR(VLOOKUP("industry|NOx|Asthma symptoms cough", US_national_yearly!$D:$AM, 23, FALSE) / VLOOKUP("industry|NOx|Asthma symptoms cough", US_national_yearly!$D:$AM, 10, FALSE), 1)</f>
        <v>2.0140375980568235E-3</v>
      </c>
      <c r="P6" s="7">
        <f>$B6 * IFERROR(VLOOKUP("industry|NOx|Asthma symptoms cough", US_national_yearly!$D:$AM, 24, FALSE) / VLOOKUP("industry|NOx|Asthma symptoms cough", US_national_yearly!$D:$AM, 10, FALSE), 1)</f>
        <v>2.0219841750902271E-3</v>
      </c>
      <c r="Q6" s="7">
        <f>$B6 * IFERROR(VLOOKUP("industry|NOx|Asthma symptoms cough", US_national_yearly!$D:$AM, 25, FALSE) / VLOOKUP("industry|NOx|Asthma symptoms cough", US_national_yearly!$D:$AM, 10, FALSE), 1)</f>
        <v>2.0299307521236308E-3</v>
      </c>
      <c r="R6" s="7">
        <f>$B6 * IFERROR(VLOOKUP("industry|NOx|Asthma symptoms cough", US_national_yearly!$D:$AM, 26, FALSE) / VLOOKUP("industry|NOx|Asthma symptoms cough", US_national_yearly!$D:$AM, 10, FALSE), 1)</f>
        <v>2.0378773291570345E-3</v>
      </c>
      <c r="S6" s="7">
        <f>$B6 * IFERROR(VLOOKUP("industry|NOx|Asthma symptoms cough", US_national_yearly!$D:$AM, 27, FALSE) / VLOOKUP("industry|NOx|Asthma symptoms cough", US_national_yearly!$D:$AM, 10, FALSE), 1)</f>
        <v>2.0481280619258019E-3</v>
      </c>
      <c r="T6" s="7">
        <f>$B6 * IFERROR(VLOOKUP("industry|NOx|Asthma symptoms cough", US_national_yearly!$D:$AM, 28, FALSE) / VLOOKUP("industry|NOx|Asthma symptoms cough", US_national_yearly!$D:$AM, 10, FALSE), 1)</f>
        <v>2.0583787946945697E-3</v>
      </c>
      <c r="U6" s="7">
        <f>$B6 * IFERROR(VLOOKUP("industry|NOx|Asthma symptoms cough", US_national_yearly!$D:$AM, 29, FALSE) / VLOOKUP("industry|NOx|Asthma symptoms cough", US_national_yearly!$D:$AM, 10, FALSE), 1)</f>
        <v>2.0686295274633371E-3</v>
      </c>
      <c r="V6" s="7">
        <f>$B6 * IFERROR(VLOOKUP("industry|NOx|Asthma symptoms cough", US_national_yearly!$D:$AM, 30, FALSE) / VLOOKUP("industry|NOx|Asthma symptoms cough", US_national_yearly!$D:$AM, 10, FALSE), 1)</f>
        <v>2.0788802602321041E-3</v>
      </c>
      <c r="W6" s="7">
        <f>$B6 * IFERROR(VLOOKUP("industry|NOx|Asthma symptoms cough", US_national_yearly!$D:$AM, 31, FALSE) / VLOOKUP("industry|NOx|Asthma symptoms cough", US_national_yearly!$D:$AM, 10, FALSE), 1)</f>
        <v>2.0891309930008719E-3</v>
      </c>
      <c r="X6" s="7">
        <f>$B6 * IFERROR(VLOOKUP("industry|NOx|Asthma symptoms cough", US_national_yearly!$D:$AM, 32, FALSE) / VLOOKUP("industry|NOx|Asthma symptoms cough", US_national_yearly!$D:$AM, 10, FALSE), 1)</f>
        <v>2.0986342105446974E-3</v>
      </c>
      <c r="Y6" s="7">
        <f>$B6 * IFERROR(VLOOKUP("industry|NOx|Asthma symptoms cough", US_national_yearly!$D:$AM, 33, FALSE) / VLOOKUP("industry|NOx|Asthma symptoms cough", US_national_yearly!$D:$AM, 10, FALSE), 1)</f>
        <v>2.1081374280885229E-3</v>
      </c>
      <c r="Z6" s="7">
        <f>$B6 * IFERROR(VLOOKUP("industry|NOx|Asthma symptoms cough", US_national_yearly!$D:$AM, 34, FALSE) / VLOOKUP("industry|NOx|Asthma symptoms cough", US_national_yearly!$D:$AM, 10, FALSE), 1)</f>
        <v>2.1176406456323484E-3</v>
      </c>
      <c r="AA6" s="7">
        <f>$B6 * IFERROR(VLOOKUP("industry|NOx|Asthma symptoms cough", US_national_yearly!$D:$AM, 35, FALSE) / VLOOKUP("industry|NOx|Asthma symptoms cough", US_national_yearly!$D:$AM, 10, FALSE), 1)</f>
        <v>2.1271438631761735E-3</v>
      </c>
      <c r="AB6" s="7">
        <f>$B6 * IFERROR(VLOOKUP("industry|NOx|Asthma symptoms cough", US_national_yearly!$D:$AM, 36, FALSE) / VLOOKUP("industry|NOx|Asthma symptoms cough", US_national_yearly!$D:$AM, 10, FALSE), 1)</f>
        <v>2.136647080719999E-3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2.4556146479674116E-3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2.4892082895147287E-3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2.5228019310620463E-3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2.5563955726093635E-3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2.5899892141566815E-3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2.6169261030032456E-3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2.64386299184981E-3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2.6532372678769248E-3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2.6626115439040391E-3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2.6719858199311533E-3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2.6813600959582689E-3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2.6907343719853832E-3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2.701435364005347E-3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2.7121363560253108E-3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2.722837348045275E-3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2.7335383400652392E-3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2.744239332085203E-3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2.7580431383717532E-3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2.771846944658304E-3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2.7856507509448547E-3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2.7994545572314054E-3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2.8132583635179552E-3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2.8260555534239005E-3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2.8388527433298449E-3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2.8516499332357894E-3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2.8644471231417338E-3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2.8772443130476782E-3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3.7519486779683496E-3</v>
      </c>
      <c r="C8" s="7">
        <f>$B8 * IFERROR(VLOOKUP("industry|NOx|Asthma symptoms wheeze", US_national_yearly!$D:$AM, 11, FALSE) / VLOOKUP("industry|NOx|Asthma symptoms wheeze", US_national_yearly!$D:$AM, 10, FALSE), 1)</f>
        <v>3.8032766090214461E-3</v>
      </c>
      <c r="D8" s="7">
        <f>$B8 * IFERROR(VLOOKUP("industry|NOx|Asthma symptoms wheeze", US_national_yearly!$D:$AM, 12, FALSE) / VLOOKUP("industry|NOx|Asthma symptoms wheeze", US_national_yearly!$D:$AM, 10, FALSE), 1)</f>
        <v>3.8546045400745426E-3</v>
      </c>
      <c r="E8" s="7">
        <f>$B8 * IFERROR(VLOOKUP("industry|NOx|Asthma symptoms wheeze", US_national_yearly!$D:$AM, 13, FALSE) / VLOOKUP("industry|NOx|Asthma symptoms wheeze", US_national_yearly!$D:$AM, 10, FALSE), 1)</f>
        <v>3.9059324711276391E-3</v>
      </c>
      <c r="F8" s="7">
        <f>$B8 * IFERROR(VLOOKUP("industry|NOx|Asthma symptoms wheeze", US_national_yearly!$D:$AM, 14, FALSE) / VLOOKUP("industry|NOx|Asthma symptoms wheeze", US_national_yearly!$D:$AM, 10, FALSE), 1)</f>
        <v>3.9572604021807347E-3</v>
      </c>
      <c r="G8" s="7">
        <f>$B8 * IFERROR(VLOOKUP("industry|NOx|Asthma symptoms wheeze", US_national_yearly!$D:$AM, 15, FALSE) / VLOOKUP("industry|NOx|Asthma symptoms wheeze", US_national_yearly!$D:$AM, 10, FALSE), 1)</f>
        <v>3.9984174400114749E-3</v>
      </c>
      <c r="H8" s="7">
        <f>$B8 * IFERROR(VLOOKUP("industry|NOx|Asthma symptoms wheeze", US_national_yearly!$D:$AM, 16, FALSE) / VLOOKUP("industry|NOx|Asthma symptoms wheeze", US_national_yearly!$D:$AM, 10, FALSE), 1)</f>
        <v>4.0395744778422135E-3</v>
      </c>
      <c r="I8" s="7">
        <f>$B8 * IFERROR(VLOOKUP("industry|NOx|Asthma symptoms wheeze", US_national_yearly!$D:$AM, 17, FALSE) / VLOOKUP("industry|NOx|Asthma symptoms wheeze", US_national_yearly!$D:$AM, 10, FALSE), 1)</f>
        <v>4.0538974918792464E-3</v>
      </c>
      <c r="J8" s="7">
        <f>$B8 * IFERROR(VLOOKUP("industry|NOx|Asthma symptoms wheeze", US_national_yearly!$D:$AM, 18, FALSE) / VLOOKUP("industry|NOx|Asthma symptoms wheeze", US_national_yearly!$D:$AM, 10, FALSE), 1)</f>
        <v>4.0682205059162776E-3</v>
      </c>
      <c r="K8" s="7">
        <f>$B8 * IFERROR(VLOOKUP("industry|NOx|Asthma symptoms wheeze", US_national_yearly!$D:$AM, 19, FALSE) / VLOOKUP("industry|NOx|Asthma symptoms wheeze", US_national_yearly!$D:$AM, 10, FALSE), 1)</f>
        <v>4.0825435199533106E-3</v>
      </c>
      <c r="L8" s="7">
        <f>$B8 * IFERROR(VLOOKUP("industry|NOx|Asthma symptoms wheeze", US_national_yearly!$D:$AM, 20, FALSE) / VLOOKUP("industry|NOx|Asthma symptoms wheeze", US_national_yearly!$D:$AM, 10, FALSE), 1)</f>
        <v>4.0968665339903418E-3</v>
      </c>
      <c r="M8" s="7">
        <f>$B8 * IFERROR(VLOOKUP("industry|NOx|Asthma symptoms wheeze", US_national_yearly!$D:$AM, 21, FALSE) / VLOOKUP("industry|NOx|Asthma symptoms wheeze", US_national_yearly!$D:$AM, 10, FALSE), 1)</f>
        <v>4.1111895480273747E-3</v>
      </c>
      <c r="N8" s="7">
        <f>$B8 * IFERROR(VLOOKUP("industry|NOx|Asthma symptoms wheeze", US_national_yearly!$D:$AM, 22, FALSE) / VLOOKUP("industry|NOx|Asthma symptoms wheeze", US_national_yearly!$D:$AM, 10, FALSE), 1)</f>
        <v>4.1275396595465072E-3</v>
      </c>
      <c r="O8" s="7">
        <f>$B8 * IFERROR(VLOOKUP("industry|NOx|Asthma symptoms wheeze", US_national_yearly!$D:$AM, 23, FALSE) / VLOOKUP("industry|NOx|Asthma symptoms wheeze", US_national_yearly!$D:$AM, 10, FALSE), 1)</f>
        <v>4.1438897710656406E-3</v>
      </c>
      <c r="P8" s="7">
        <f>$B8 * IFERROR(VLOOKUP("industry|NOx|Asthma symptoms wheeze", US_national_yearly!$D:$AM, 24, FALSE) / VLOOKUP("industry|NOx|Asthma symptoms wheeze", US_national_yearly!$D:$AM, 10, FALSE), 1)</f>
        <v>4.1602398825847722E-3</v>
      </c>
      <c r="Q8" s="7">
        <f>$B8 * IFERROR(VLOOKUP("industry|NOx|Asthma symptoms wheeze", US_national_yearly!$D:$AM, 25, FALSE) / VLOOKUP("industry|NOx|Asthma symptoms wheeze", US_national_yearly!$D:$AM, 10, FALSE), 1)</f>
        <v>4.1765899941039047E-3</v>
      </c>
      <c r="R8" s="7">
        <f>$B8 * IFERROR(VLOOKUP("industry|NOx|Asthma symptoms wheeze", US_national_yearly!$D:$AM, 26, FALSE) / VLOOKUP("industry|NOx|Asthma symptoms wheeze", US_national_yearly!$D:$AM, 10, FALSE), 1)</f>
        <v>4.1929401056230373E-3</v>
      </c>
      <c r="S8" s="7">
        <f>$B8 * IFERROR(VLOOKUP("industry|NOx|Asthma symptoms wheeze", US_national_yearly!$D:$AM, 27, FALSE) / VLOOKUP("industry|NOx|Asthma symptoms wheeze", US_national_yearly!$D:$AM, 10, FALSE), 1)</f>
        <v>4.2140310260484854E-3</v>
      </c>
      <c r="T8" s="7">
        <f>$B8 * IFERROR(VLOOKUP("industry|NOx|Asthma symptoms wheeze", US_national_yearly!$D:$AM, 28, FALSE) / VLOOKUP("industry|NOx|Asthma symptoms wheeze", US_national_yearly!$D:$AM, 10, FALSE), 1)</f>
        <v>4.2351219464739328E-3</v>
      </c>
      <c r="U8" s="7">
        <f>$B8 * IFERROR(VLOOKUP("industry|NOx|Asthma symptoms wheeze", US_national_yearly!$D:$AM, 29, FALSE) / VLOOKUP("industry|NOx|Asthma symptoms wheeze", US_national_yearly!$D:$AM, 10, FALSE), 1)</f>
        <v>4.2562128668993801E-3</v>
      </c>
      <c r="V8" s="7">
        <f>$B8 * IFERROR(VLOOKUP("industry|NOx|Asthma symptoms wheeze", US_national_yearly!$D:$AM, 30, FALSE) / VLOOKUP("industry|NOx|Asthma symptoms wheeze", US_national_yearly!$D:$AM, 10, FALSE), 1)</f>
        <v>4.2773037873248274E-3</v>
      </c>
      <c r="W8" s="7">
        <f>$B8 * IFERROR(VLOOKUP("industry|NOx|Asthma symptoms wheeze", US_national_yearly!$D:$AM, 31, FALSE) / VLOOKUP("industry|NOx|Asthma symptoms wheeze", US_national_yearly!$D:$AM, 10, FALSE), 1)</f>
        <v>4.2983947077502747E-3</v>
      </c>
      <c r="X8" s="7">
        <f>$B8 * IFERROR(VLOOKUP("industry|NOx|Asthma symptoms wheeze", US_national_yearly!$D:$AM, 32, FALSE) / VLOOKUP("industry|NOx|Asthma symptoms wheeze", US_national_yearly!$D:$AM, 10, FALSE), 1)</f>
        <v>4.3179476128469858E-3</v>
      </c>
      <c r="Y8" s="7">
        <f>$B8 * IFERROR(VLOOKUP("industry|NOx|Asthma symptoms wheeze", US_national_yearly!$D:$AM, 33, FALSE) / VLOOKUP("industry|NOx|Asthma symptoms wheeze", US_national_yearly!$D:$AM, 10, FALSE), 1)</f>
        <v>4.337500517943696E-3</v>
      </c>
      <c r="Z8" s="7">
        <f>$B8 * IFERROR(VLOOKUP("industry|NOx|Asthma symptoms wheeze", US_national_yearly!$D:$AM, 34, FALSE) / VLOOKUP("industry|NOx|Asthma symptoms wheeze", US_national_yearly!$D:$AM, 10, FALSE), 1)</f>
        <v>4.3570534230404061E-3</v>
      </c>
      <c r="AA8" s="7">
        <f>$B8 * IFERROR(VLOOKUP("industry|NOx|Asthma symptoms wheeze", US_national_yearly!$D:$AM, 35, FALSE) / VLOOKUP("industry|NOx|Asthma symptoms wheeze", US_national_yearly!$D:$AM, 10, FALSE), 1)</f>
        <v>4.3766063281371155E-3</v>
      </c>
      <c r="AB8" s="7">
        <f>$B8 * IFERROR(VLOOKUP("industry|NOx|Asthma symptoms wheeze", US_national_yearly!$D:$AM, 36, FALSE) / VLOOKUP("industry|NOx|Asthma symptoms wheeze", US_national_yearly!$D:$AM, 10, FALSE), 1)</f>
        <v>4.3961592332338291E-3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5.5394969462190293E-5</v>
      </c>
      <c r="C12" s="7">
        <f>$B12 * IFERROR(VLOOKUP("industry|NOx|Respiratory hospital admissions", US_national_yearly!$D:$AM, 11, FALSE) / VLOOKUP("industry|NOx|Respiratory hospital admissions", US_national_yearly!$D:$AM, 10, FALSE), 1)</f>
        <v>5.6786674619381525E-5</v>
      </c>
      <c r="D12" s="7">
        <f>$B12 * IFERROR(VLOOKUP("industry|NOx|Respiratory hospital admissions", US_national_yearly!$D:$AM, 12, FALSE) / VLOOKUP("industry|NOx|Respiratory hospital admissions", US_national_yearly!$D:$AM, 10, FALSE), 1)</f>
        <v>5.817837977657275E-5</v>
      </c>
      <c r="E12" s="7">
        <f>$B12 * IFERROR(VLOOKUP("industry|NOx|Respiratory hospital admissions", US_national_yearly!$D:$AM, 13, FALSE) / VLOOKUP("industry|NOx|Respiratory hospital admissions", US_national_yearly!$D:$AM, 10, FALSE), 1)</f>
        <v>5.9570084933763995E-5</v>
      </c>
      <c r="F12" s="7">
        <f>$B12 * IFERROR(VLOOKUP("industry|NOx|Respiratory hospital admissions", US_national_yearly!$D:$AM, 14, FALSE) / VLOOKUP("industry|NOx|Respiratory hospital admissions", US_national_yearly!$D:$AM, 10, FALSE), 1)</f>
        <v>6.0961790090955213E-5</v>
      </c>
      <c r="G12" s="7">
        <f>$B12 * IFERROR(VLOOKUP("industry|NOx|Respiratory hospital admissions", US_national_yearly!$D:$AM, 15, FALSE) / VLOOKUP("industry|NOx|Respiratory hospital admissions", US_national_yearly!$D:$AM, 10, FALSE), 1)</f>
        <v>6.2293017959104169E-5</v>
      </c>
      <c r="H12" s="7">
        <f>$B12 * IFERROR(VLOOKUP("industry|NOx|Respiratory hospital admissions", US_national_yearly!$D:$AM, 16, FALSE) / VLOOKUP("industry|NOx|Respiratory hospital admissions", US_national_yearly!$D:$AM, 10, FALSE), 1)</f>
        <v>6.3624245827253125E-5</v>
      </c>
      <c r="I12" s="7">
        <f>$B12 * IFERROR(VLOOKUP("industry|NOx|Respiratory hospital admissions", US_national_yearly!$D:$AM, 17, FALSE) / VLOOKUP("industry|NOx|Respiratory hospital admissions", US_national_yearly!$D:$AM, 10, FALSE), 1)</f>
        <v>6.4757967127235599E-5</v>
      </c>
      <c r="J12" s="7">
        <f>$B12 * IFERROR(VLOOKUP("industry|NOx|Respiratory hospital admissions", US_national_yearly!$D:$AM, 18, FALSE) / VLOOKUP("industry|NOx|Respiratory hospital admissions", US_national_yearly!$D:$AM, 10, FALSE), 1)</f>
        <v>6.589168842721806E-5</v>
      </c>
      <c r="K12" s="7">
        <f>$B12 * IFERROR(VLOOKUP("industry|NOx|Respiratory hospital admissions", US_national_yearly!$D:$AM, 19, FALSE) / VLOOKUP("industry|NOx|Respiratory hospital admissions", US_national_yearly!$D:$AM, 10, FALSE), 1)</f>
        <v>6.7025409727200535E-5</v>
      </c>
      <c r="L12" s="7">
        <f>$B12 * IFERROR(VLOOKUP("industry|NOx|Respiratory hospital admissions", US_national_yearly!$D:$AM, 20, FALSE) / VLOOKUP("industry|NOx|Respiratory hospital admissions", US_national_yearly!$D:$AM, 10, FALSE), 1)</f>
        <v>6.8159131027183023E-5</v>
      </c>
      <c r="M12" s="7">
        <f>$B12 * IFERROR(VLOOKUP("industry|NOx|Respiratory hospital admissions", US_national_yearly!$D:$AM, 21, FALSE) / VLOOKUP("industry|NOx|Respiratory hospital admissions", US_national_yearly!$D:$AM, 10, FALSE), 1)</f>
        <v>6.9292852327165484E-5</v>
      </c>
      <c r="N12" s="7">
        <f>$B12 * IFERROR(VLOOKUP("industry|NOx|Respiratory hospital admissions", US_national_yearly!$D:$AM, 22, FALSE) / VLOOKUP("industry|NOx|Respiratory hospital admissions", US_national_yearly!$D:$AM, 10, FALSE), 1)</f>
        <v>7.0052691603000061E-5</v>
      </c>
      <c r="O12" s="7">
        <f>$B12 * IFERROR(VLOOKUP("industry|NOx|Respiratory hospital admissions", US_national_yearly!$D:$AM, 23, FALSE) / VLOOKUP("industry|NOx|Respiratory hospital admissions", US_national_yearly!$D:$AM, 10, FALSE), 1)</f>
        <v>7.0812530878834625E-5</v>
      </c>
      <c r="P12" s="7">
        <f>$B12 * IFERROR(VLOOKUP("industry|NOx|Respiratory hospital admissions", US_national_yearly!$D:$AM, 24, FALSE) / VLOOKUP("industry|NOx|Respiratory hospital admissions", US_national_yearly!$D:$AM, 10, FALSE), 1)</f>
        <v>7.1572370154669189E-5</v>
      </c>
      <c r="Q12" s="7">
        <f>$B12 * IFERROR(VLOOKUP("industry|NOx|Respiratory hospital admissions", US_national_yearly!$D:$AM, 25, FALSE) / VLOOKUP("industry|NOx|Respiratory hospital admissions", US_national_yearly!$D:$AM, 10, FALSE), 1)</f>
        <v>7.2332209430503753E-5</v>
      </c>
      <c r="R12" s="7">
        <f>$B12 * IFERROR(VLOOKUP("industry|NOx|Respiratory hospital admissions", US_national_yearly!$D:$AM, 26, FALSE) / VLOOKUP("industry|NOx|Respiratory hospital admissions", US_national_yearly!$D:$AM, 10, FALSE), 1)</f>
        <v>7.3092048706338331E-5</v>
      </c>
      <c r="S12" s="7">
        <f>$B12 * IFERROR(VLOOKUP("industry|NOx|Respiratory hospital admissions", US_national_yearly!$D:$AM, 27, FALSE) / VLOOKUP("industry|NOx|Respiratory hospital admissions", US_national_yearly!$D:$AM, 10, FALSE), 1)</f>
        <v>7.3504575412873253E-5</v>
      </c>
      <c r="T12" s="7">
        <f>$B12 * IFERROR(VLOOKUP("industry|NOx|Respiratory hospital admissions", US_national_yearly!$D:$AM, 28, FALSE) / VLOOKUP("industry|NOx|Respiratory hospital admissions", US_national_yearly!$D:$AM, 10, FALSE), 1)</f>
        <v>7.3917102119408203E-5</v>
      </c>
      <c r="U12" s="7">
        <f>$B12 * IFERROR(VLOOKUP("industry|NOx|Respiratory hospital admissions", US_national_yearly!$D:$AM, 29, FALSE) / VLOOKUP("industry|NOx|Respiratory hospital admissions", US_national_yearly!$D:$AM, 10, FALSE), 1)</f>
        <v>7.4329628825943125E-5</v>
      </c>
      <c r="V12" s="7">
        <f>$B12 * IFERROR(VLOOKUP("industry|NOx|Respiratory hospital admissions", US_national_yearly!$D:$AM, 30, FALSE) / VLOOKUP("industry|NOx|Respiratory hospital admissions", US_national_yearly!$D:$AM, 10, FALSE), 1)</f>
        <v>7.4742155532478061E-5</v>
      </c>
      <c r="W12" s="7">
        <f>$B12 * IFERROR(VLOOKUP("industry|NOx|Respiratory hospital admissions", US_national_yearly!$D:$AM, 31, FALSE) / VLOOKUP("industry|NOx|Respiratory hospital admissions", US_national_yearly!$D:$AM, 10, FALSE), 1)</f>
        <v>7.5154682239012997E-5</v>
      </c>
      <c r="X12" s="7">
        <f>$B12 * IFERROR(VLOOKUP("industry|NOx|Respiratory hospital admissions", US_national_yearly!$D:$AM, 32, FALSE) / VLOOKUP("industry|NOx|Respiratory hospital admissions", US_national_yearly!$D:$AM, 10, FALSE), 1)</f>
        <v>7.5442321270940814E-5</v>
      </c>
      <c r="Y12" s="7">
        <f>$B12 * IFERROR(VLOOKUP("industry|NOx|Respiratory hospital admissions", US_national_yearly!$D:$AM, 33, FALSE) / VLOOKUP("industry|NOx|Respiratory hospital admissions", US_national_yearly!$D:$AM, 10, FALSE), 1)</f>
        <v>7.5729960302868643E-5</v>
      </c>
      <c r="Z12" s="7">
        <f>$B12 * IFERROR(VLOOKUP("industry|NOx|Respiratory hospital admissions", US_national_yearly!$D:$AM, 34, FALSE) / VLOOKUP("industry|NOx|Respiratory hospital admissions", US_national_yearly!$D:$AM, 10, FALSE), 1)</f>
        <v>7.6017599334796473E-5</v>
      </c>
      <c r="AA12" s="7">
        <f>$B12 * IFERROR(VLOOKUP("industry|NOx|Respiratory hospital admissions", US_national_yearly!$D:$AM, 35, FALSE) / VLOOKUP("industry|NOx|Respiratory hospital admissions", US_national_yearly!$D:$AM, 10, FALSE), 1)</f>
        <v>7.6305238366724303E-5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7.659287739865212E-5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3.2716029533257605E-4</v>
      </c>
      <c r="C13" s="7">
        <f>$B13 * IFERROR(VLOOKUP("industry|NOx|Non-fatal heart attacks", US_national_yearly!$D:$AM, 11, FALSE) / VLOOKUP("industry|NOx|Non-fatal heart attacks", US_national_yearly!$D:$AM, 10, FALSE), 1)</f>
        <v>3.365075784814124E-4</v>
      </c>
      <c r="D13" s="7">
        <f>$B13 * IFERROR(VLOOKUP("industry|NOx|Non-fatal heart attacks", US_national_yearly!$D:$AM, 12, FALSE) / VLOOKUP("industry|NOx|Non-fatal heart attacks", US_national_yearly!$D:$AM, 10, FALSE), 1)</f>
        <v>3.458548616302488E-4</v>
      </c>
      <c r="E13" s="7">
        <f>$B13 * IFERROR(VLOOKUP("industry|NOx|Non-fatal heart attacks", US_national_yearly!$D:$AM, 13, FALSE) / VLOOKUP("industry|NOx|Non-fatal heart attacks", US_national_yearly!$D:$AM, 10, FALSE), 1)</f>
        <v>3.5520214477908514E-4</v>
      </c>
      <c r="F13" s="7">
        <f>$B13 * IFERROR(VLOOKUP("industry|NOx|Non-fatal heart attacks", US_national_yearly!$D:$AM, 14, FALSE) / VLOOKUP("industry|NOx|Non-fatal heart attacks", US_national_yearly!$D:$AM, 10, FALSE), 1)</f>
        <v>3.6454942792792149E-4</v>
      </c>
      <c r="G13" s="7">
        <f>$B13 * IFERROR(VLOOKUP("industry|NOx|Non-fatal heart attacks", US_national_yearly!$D:$AM, 15, FALSE) / VLOOKUP("industry|NOx|Non-fatal heart attacks", US_national_yearly!$D:$AM, 10, FALSE), 1)</f>
        <v>3.7329186058450366E-4</v>
      </c>
      <c r="H13" s="7">
        <f>$B13 * IFERROR(VLOOKUP("industry|NOx|Non-fatal heart attacks", US_national_yearly!$D:$AM, 16, FALSE) / VLOOKUP("industry|NOx|Non-fatal heart attacks", US_national_yearly!$D:$AM, 10, FALSE), 1)</f>
        <v>3.8203429324108577E-4</v>
      </c>
      <c r="I13" s="7">
        <f>$B13 * IFERROR(VLOOKUP("industry|NOx|Non-fatal heart attacks", US_national_yearly!$D:$AM, 17, FALSE) / VLOOKUP("industry|NOx|Non-fatal heart attacks", US_national_yearly!$D:$AM, 10, FALSE), 1)</f>
        <v>3.8894863847521195E-4</v>
      </c>
      <c r="J13" s="7">
        <f>$B13 * IFERROR(VLOOKUP("industry|NOx|Non-fatal heart attacks", US_national_yearly!$D:$AM, 18, FALSE) / VLOOKUP("industry|NOx|Non-fatal heart attacks", US_national_yearly!$D:$AM, 10, FALSE), 1)</f>
        <v>3.9586298370933819E-4</v>
      </c>
      <c r="K13" s="7">
        <f>$B13 * IFERROR(VLOOKUP("industry|NOx|Non-fatal heart attacks", US_national_yearly!$D:$AM, 19, FALSE) / VLOOKUP("industry|NOx|Non-fatal heart attacks", US_national_yearly!$D:$AM, 10, FALSE), 1)</f>
        <v>4.0277732894346421E-4</v>
      </c>
      <c r="L13" s="7">
        <f>$B13 * IFERROR(VLOOKUP("industry|NOx|Non-fatal heart attacks", US_national_yearly!$D:$AM, 20, FALSE) / VLOOKUP("industry|NOx|Non-fatal heart attacks", US_national_yearly!$D:$AM, 10, FALSE), 1)</f>
        <v>4.0969167417759055E-4</v>
      </c>
      <c r="M13" s="7">
        <f>$B13 * IFERROR(VLOOKUP("industry|NOx|Non-fatal heart attacks", US_national_yearly!$D:$AM, 21, FALSE) / VLOOKUP("industry|NOx|Non-fatal heart attacks", US_national_yearly!$D:$AM, 10, FALSE), 1)</f>
        <v>4.1660601941171684E-4</v>
      </c>
      <c r="N13" s="7">
        <f>$B13 * IFERROR(VLOOKUP("industry|NOx|Non-fatal heart attacks", US_national_yearly!$D:$AM, 22, FALSE) / VLOOKUP("industry|NOx|Non-fatal heart attacks", US_national_yearly!$D:$AM, 10, FALSE), 1)</f>
        <v>4.2077158055839071E-4</v>
      </c>
      <c r="O13" s="7">
        <f>$B13 * IFERROR(VLOOKUP("industry|NOx|Non-fatal heart attacks", US_national_yearly!$D:$AM, 23, FALSE) / VLOOKUP("industry|NOx|Non-fatal heart attacks", US_national_yearly!$D:$AM, 10, FALSE), 1)</f>
        <v>4.2493714170506453E-4</v>
      </c>
      <c r="P13" s="7">
        <f>$B13 * IFERROR(VLOOKUP("industry|NOx|Non-fatal heart attacks", US_national_yearly!$D:$AM, 24, FALSE) / VLOOKUP("industry|NOx|Non-fatal heart attacks", US_national_yearly!$D:$AM, 10, FALSE), 1)</f>
        <v>4.2910270285173834E-4</v>
      </c>
      <c r="Q13" s="7">
        <f>$B13 * IFERROR(VLOOKUP("industry|NOx|Non-fatal heart attacks", US_national_yearly!$D:$AM, 25, FALSE) / VLOOKUP("industry|NOx|Non-fatal heart attacks", US_national_yearly!$D:$AM, 10, FALSE), 1)</f>
        <v>4.3326826399841216E-4</v>
      </c>
      <c r="R13" s="7">
        <f>$B13 * IFERROR(VLOOKUP("industry|NOx|Non-fatal heart attacks", US_national_yearly!$D:$AM, 26, FALSE) / VLOOKUP("industry|NOx|Non-fatal heart attacks", US_national_yearly!$D:$AM, 10, FALSE), 1)</f>
        <v>4.3743382514508592E-4</v>
      </c>
      <c r="S13" s="7">
        <f>$B13 * IFERROR(VLOOKUP("industry|NOx|Non-fatal heart attacks", US_national_yearly!$D:$AM, 27, FALSE) / VLOOKUP("industry|NOx|Non-fatal heart attacks", US_national_yearly!$D:$AM, 10, FALSE), 1)</f>
        <v>4.3934506768719927E-4</v>
      </c>
      <c r="T13" s="7">
        <f>$B13 * IFERROR(VLOOKUP("industry|NOx|Non-fatal heart attacks", US_national_yearly!$D:$AM, 28, FALSE) / VLOOKUP("industry|NOx|Non-fatal heart attacks", US_national_yearly!$D:$AM, 10, FALSE), 1)</f>
        <v>4.4125631022931251E-4</v>
      </c>
      <c r="U13" s="7">
        <f>$B13 * IFERROR(VLOOKUP("industry|NOx|Non-fatal heart attacks", US_national_yearly!$D:$AM, 29, FALSE) / VLOOKUP("industry|NOx|Non-fatal heart attacks", US_national_yearly!$D:$AM, 10, FALSE), 1)</f>
        <v>4.431675527714257E-4</v>
      </c>
      <c r="V13" s="7">
        <f>$B13 * IFERROR(VLOOKUP("industry|NOx|Non-fatal heart attacks", US_national_yearly!$D:$AM, 30, FALSE) / VLOOKUP("industry|NOx|Non-fatal heart attacks", US_national_yearly!$D:$AM, 10, FALSE), 1)</f>
        <v>4.4507879531353905E-4</v>
      </c>
      <c r="W13" s="7">
        <f>$B13 * IFERROR(VLOOKUP("industry|NOx|Non-fatal heart attacks", US_national_yearly!$D:$AM, 31, FALSE) / VLOOKUP("industry|NOx|Non-fatal heart attacks", US_national_yearly!$D:$AM, 10, FALSE), 1)</f>
        <v>4.4699003785565229E-4</v>
      </c>
      <c r="X13" s="7">
        <f>$B13 * IFERROR(VLOOKUP("industry|NOx|Non-fatal heart attacks", US_national_yearly!$D:$AM, 32, FALSE) / VLOOKUP("industry|NOx|Non-fatal heart attacks", US_national_yearly!$D:$AM, 10, FALSE), 1)</f>
        <v>4.4827991718614794E-4</v>
      </c>
      <c r="Y13" s="7">
        <f>$B13 * IFERROR(VLOOKUP("industry|NOx|Non-fatal heart attacks", US_national_yearly!$D:$AM, 33, FALSE) / VLOOKUP("industry|NOx|Non-fatal heart attacks", US_national_yearly!$D:$AM, 10, FALSE), 1)</f>
        <v>4.4956979651664353E-4</v>
      </c>
      <c r="Z13" s="7">
        <f>$B13 * IFERROR(VLOOKUP("industry|NOx|Non-fatal heart attacks", US_national_yearly!$D:$AM, 34, FALSE) / VLOOKUP("industry|NOx|Non-fatal heart attacks", US_national_yearly!$D:$AM, 10, FALSE), 1)</f>
        <v>4.5085967584713917E-4</v>
      </c>
      <c r="AA13" s="7">
        <f>$B13 * IFERROR(VLOOKUP("industry|NOx|Non-fatal heart attacks", US_national_yearly!$D:$AM, 35, FALSE) / VLOOKUP("industry|NOx|Non-fatal heart attacks", US_national_yearly!$D:$AM, 10, FALSE), 1)</f>
        <v>4.5214955517763482E-4</v>
      </c>
      <c r="AB13" s="7">
        <f>$B13 * IFERROR(VLOOKUP("industry|NOx|Non-fatal heart attacks", US_national_yearly!$D:$AM, 36, FALSE) / VLOOKUP("industry|NOx|Non-fatal heart attacks", US_national_yearly!$D:$AM, 10, FALSE), 1)</f>
        <v>4.5343943450813046E-4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0.21618008825689614</v>
      </c>
      <c r="C14" s="7">
        <f>$B14 * IFERROR(VLOOKUP("industry|NOx|Minor restricted activity days", US_national_yearly!$D:$AM, 11, FALSE) / VLOOKUP("industry|NOx|Minor restricted activity days", US_national_yearly!$D:$AM, 10, FALSE), 1)</f>
        <v>0.21650037573908065</v>
      </c>
      <c r="D14" s="7">
        <f>$B14 * IFERROR(VLOOKUP("industry|NOx|Minor restricted activity days", US_national_yearly!$D:$AM, 12, FALSE) / VLOOKUP("industry|NOx|Minor restricted activity days", US_national_yearly!$D:$AM, 10, FALSE), 1)</f>
        <v>0.21682066322126514</v>
      </c>
      <c r="E14" s="7">
        <f>$B14 * IFERROR(VLOOKUP("industry|NOx|Minor restricted activity days", US_national_yearly!$D:$AM, 13, FALSE) / VLOOKUP("industry|NOx|Minor restricted activity days", US_national_yearly!$D:$AM, 10, FALSE), 1)</f>
        <v>0.21714095070344966</v>
      </c>
      <c r="F14" s="7">
        <f>$B14 * IFERROR(VLOOKUP("industry|NOx|Minor restricted activity days", US_national_yearly!$D:$AM, 14, FALSE) / VLOOKUP("industry|NOx|Minor restricted activity days", US_national_yearly!$D:$AM, 10, FALSE), 1)</f>
        <v>0.21746123818563415</v>
      </c>
      <c r="G14" s="7">
        <f>$B14 * IFERROR(VLOOKUP("industry|NOx|Minor restricted activity days", US_national_yearly!$D:$AM, 15, FALSE) / VLOOKUP("industry|NOx|Minor restricted activity days", US_national_yearly!$D:$AM, 10, FALSE), 1)</f>
        <v>0.21804429159422606</v>
      </c>
      <c r="H14" s="7">
        <f>$B14 * IFERROR(VLOOKUP("industry|NOx|Minor restricted activity days", US_national_yearly!$D:$AM, 16, FALSE) / VLOOKUP("industry|NOx|Minor restricted activity days", US_national_yearly!$D:$AM, 10, FALSE), 1)</f>
        <v>0.218627345002818</v>
      </c>
      <c r="I14" s="7">
        <f>$B14 * IFERROR(VLOOKUP("industry|NOx|Minor restricted activity days", US_national_yearly!$D:$AM, 17, FALSE) / VLOOKUP("industry|NOx|Minor restricted activity days", US_national_yearly!$D:$AM, 10, FALSE), 1)</f>
        <v>0.21977516863384872</v>
      </c>
      <c r="J14" s="7">
        <f>$B14 * IFERROR(VLOOKUP("industry|NOx|Minor restricted activity days", US_national_yearly!$D:$AM, 18, FALSE) / VLOOKUP("industry|NOx|Minor restricted activity days", US_national_yearly!$D:$AM, 10, FALSE), 1)</f>
        <v>0.22092299226487941</v>
      </c>
      <c r="K14" s="7">
        <f>$B14 * IFERROR(VLOOKUP("industry|NOx|Minor restricted activity days", US_national_yearly!$D:$AM, 19, FALSE) / VLOOKUP("industry|NOx|Minor restricted activity days", US_national_yearly!$D:$AM, 10, FALSE), 1)</f>
        <v>0.22207081589591002</v>
      </c>
      <c r="L14" s="7">
        <f>$B14 * IFERROR(VLOOKUP("industry|NOx|Minor restricted activity days", US_national_yearly!$D:$AM, 20, FALSE) / VLOOKUP("industry|NOx|Minor restricted activity days", US_national_yearly!$D:$AM, 10, FALSE), 1)</f>
        <v>0.22321863952694077</v>
      </c>
      <c r="M14" s="7">
        <f>$B14 * IFERROR(VLOOKUP("industry|NOx|Minor restricted activity days", US_national_yearly!$D:$AM, 21, FALSE) / VLOOKUP("industry|NOx|Minor restricted activity days", US_national_yearly!$D:$AM, 10, FALSE), 1)</f>
        <v>0.22436646315797143</v>
      </c>
      <c r="N14" s="7">
        <f>$B14 * IFERROR(VLOOKUP("industry|NOx|Minor restricted activity days", US_national_yearly!$D:$AM, 22, FALSE) / VLOOKUP("industry|NOx|Minor restricted activity days", US_national_yearly!$D:$AM, 10, FALSE), 1)</f>
        <v>0.22601940592103661</v>
      </c>
      <c r="O14" s="7">
        <f>$B14 * IFERROR(VLOOKUP("industry|NOx|Minor restricted activity days", US_national_yearly!$D:$AM, 23, FALSE) / VLOOKUP("industry|NOx|Minor restricted activity days", US_national_yearly!$D:$AM, 10, FALSE), 1)</f>
        <v>0.22767234868410186</v>
      </c>
      <c r="P14" s="7">
        <f>$B14 * IFERROR(VLOOKUP("industry|NOx|Minor restricted activity days", US_national_yearly!$D:$AM, 24, FALSE) / VLOOKUP("industry|NOx|Minor restricted activity days", US_national_yearly!$D:$AM, 10, FALSE), 1)</f>
        <v>0.2293252914471671</v>
      </c>
      <c r="Q14" s="7">
        <f>$B14 * IFERROR(VLOOKUP("industry|NOx|Minor restricted activity days", US_national_yearly!$D:$AM, 25, FALSE) / VLOOKUP("industry|NOx|Minor restricted activity days", US_national_yearly!$D:$AM, 10, FALSE), 1)</f>
        <v>0.23097823421023228</v>
      </c>
      <c r="R14" s="7">
        <f>$B14 * IFERROR(VLOOKUP("industry|NOx|Minor restricted activity days", US_national_yearly!$D:$AM, 26, FALSE) / VLOOKUP("industry|NOx|Minor restricted activity days", US_national_yearly!$D:$AM, 10, FALSE), 1)</f>
        <v>0.23263117697329752</v>
      </c>
      <c r="S14" s="7">
        <f>$B14 * IFERROR(VLOOKUP("industry|NOx|Minor restricted activity days", US_national_yearly!$D:$AM, 27, FALSE) / VLOOKUP("industry|NOx|Minor restricted activity days", US_national_yearly!$D:$AM, 10, FALSE), 1)</f>
        <v>0.23428588943279469</v>
      </c>
      <c r="T14" s="7">
        <f>$B14 * IFERROR(VLOOKUP("industry|NOx|Minor restricted activity days", US_national_yearly!$D:$AM, 28, FALSE) / VLOOKUP("industry|NOx|Minor restricted activity days", US_national_yearly!$D:$AM, 10, FALSE), 1)</f>
        <v>0.23594060189229191</v>
      </c>
      <c r="U14" s="7">
        <f>$B14 * IFERROR(VLOOKUP("industry|NOx|Minor restricted activity days", US_national_yearly!$D:$AM, 29, FALSE) / VLOOKUP("industry|NOx|Minor restricted activity days", US_national_yearly!$D:$AM, 10, FALSE), 1)</f>
        <v>0.23759531435178916</v>
      </c>
      <c r="V14" s="7">
        <f>$B14 * IFERROR(VLOOKUP("industry|NOx|Minor restricted activity days", US_national_yearly!$D:$AM, 30, FALSE) / VLOOKUP("industry|NOx|Minor restricted activity days", US_national_yearly!$D:$AM, 10, FALSE), 1)</f>
        <v>0.23925002681128638</v>
      </c>
      <c r="W14" s="7">
        <f>$B14 * IFERROR(VLOOKUP("industry|NOx|Minor restricted activity days", US_national_yearly!$D:$AM, 31, FALSE) / VLOOKUP("industry|NOx|Minor restricted activity days", US_national_yearly!$D:$AM, 10, FALSE), 1)</f>
        <v>0.2409047392707836</v>
      </c>
      <c r="X14" s="7">
        <f>$B14 * IFERROR(VLOOKUP("industry|NOx|Minor restricted activity days", US_national_yearly!$D:$AM, 32, FALSE) / VLOOKUP("industry|NOx|Minor restricted activity days", US_national_yearly!$D:$AM, 10, FALSE), 1)</f>
        <v>0.24230178885062975</v>
      </c>
      <c r="Y14" s="7">
        <f>$B14 * IFERROR(VLOOKUP("industry|NOx|Minor restricted activity days", US_national_yearly!$D:$AM, 33, FALSE) / VLOOKUP("industry|NOx|Minor restricted activity days", US_national_yearly!$D:$AM, 10, FALSE), 1)</f>
        <v>0.24369883843047588</v>
      </c>
      <c r="Z14" s="7">
        <f>$B14 * IFERROR(VLOOKUP("industry|NOx|Minor restricted activity days", US_national_yearly!$D:$AM, 34, FALSE) / VLOOKUP("industry|NOx|Minor restricted activity days", US_national_yearly!$D:$AM, 10, FALSE), 1)</f>
        <v>0.24509588801032201</v>
      </c>
      <c r="AA14" s="7">
        <f>$B14 * IFERROR(VLOOKUP("industry|NOx|Minor restricted activity days", US_national_yearly!$D:$AM, 35, FALSE) / VLOOKUP("industry|NOx|Minor restricted activity days", US_national_yearly!$D:$AM, 10, FALSE), 1)</f>
        <v>0.24649293759016816</v>
      </c>
      <c r="AB14" s="7">
        <f>$B14 * IFERROR(VLOOKUP("industry|NOx|Minor restricted activity days", US_national_yearly!$D:$AM, 36, FALSE) / VLOOKUP("industry|NOx|Minor restricted activity days", US_national_yearly!$D:$AM, 10, FALSE), 1)</f>
        <v>0.24788998717001431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3.6424449373377986E-2</v>
      </c>
      <c r="C15" s="7">
        <f>$B15 * IFERROR(VLOOKUP("industry|NOx|Work loss days", US_national_yearly!$D:$AM, 11, FALSE) / VLOOKUP("industry|NOx|Work loss days", US_national_yearly!$D:$AM, 10, FALSE), 1)</f>
        <v>3.6503369385716661E-2</v>
      </c>
      <c r="D15" s="7">
        <f>$B15 * IFERROR(VLOOKUP("industry|NOx|Work loss days", US_national_yearly!$D:$AM, 12, FALSE) / VLOOKUP("industry|NOx|Work loss days", US_national_yearly!$D:$AM, 10, FALSE), 1)</f>
        <v>3.6582289398055315E-2</v>
      </c>
      <c r="E15" s="7">
        <f>$B15 * IFERROR(VLOOKUP("industry|NOx|Work loss days", US_national_yearly!$D:$AM, 13, FALSE) / VLOOKUP("industry|NOx|Work loss days", US_national_yearly!$D:$AM, 10, FALSE), 1)</f>
        <v>3.666120941039399E-2</v>
      </c>
      <c r="F15" s="7">
        <f>$B15 * IFERROR(VLOOKUP("industry|NOx|Work loss days", US_national_yearly!$D:$AM, 14, FALSE) / VLOOKUP("industry|NOx|Work loss days", US_national_yearly!$D:$AM, 10, FALSE), 1)</f>
        <v>3.6740129422732658E-2</v>
      </c>
      <c r="G15" s="7">
        <f>$B15 * IFERROR(VLOOKUP("industry|NOx|Work loss days", US_national_yearly!$D:$AM, 15, FALSE) / VLOOKUP("industry|NOx|Work loss days", US_national_yearly!$D:$AM, 10, FALSE), 1)</f>
        <v>3.6855569607069302E-2</v>
      </c>
      <c r="H15" s="7">
        <f>$B15 * IFERROR(VLOOKUP("industry|NOx|Work loss days", US_national_yearly!$D:$AM, 16, FALSE) / VLOOKUP("industry|NOx|Work loss days", US_national_yearly!$D:$AM, 10, FALSE), 1)</f>
        <v>3.6971009791405947E-2</v>
      </c>
      <c r="I15" s="7">
        <f>$B15 * IFERROR(VLOOKUP("industry|NOx|Work loss days", US_national_yearly!$D:$AM, 17, FALSE) / VLOOKUP("industry|NOx|Work loss days", US_national_yearly!$D:$AM, 10, FALSE), 1)</f>
        <v>3.7158570820562835E-2</v>
      </c>
      <c r="J15" s="7">
        <f>$B15 * IFERROR(VLOOKUP("industry|NOx|Work loss days", US_national_yearly!$D:$AM, 18, FALSE) / VLOOKUP("industry|NOx|Work loss days", US_national_yearly!$D:$AM, 10, FALSE), 1)</f>
        <v>3.7346131849719716E-2</v>
      </c>
      <c r="K15" s="7">
        <f>$B15 * IFERROR(VLOOKUP("industry|NOx|Work loss days", US_national_yearly!$D:$AM, 19, FALSE) / VLOOKUP("industry|NOx|Work loss days", US_national_yearly!$D:$AM, 10, FALSE), 1)</f>
        <v>3.7533692878876604E-2</v>
      </c>
      <c r="L15" s="7">
        <f>$B15 * IFERROR(VLOOKUP("industry|NOx|Work loss days", US_national_yearly!$D:$AM, 20, FALSE) / VLOOKUP("industry|NOx|Work loss days", US_national_yearly!$D:$AM, 10, FALSE), 1)</f>
        <v>3.7721253908033485E-2</v>
      </c>
      <c r="M15" s="7">
        <f>$B15 * IFERROR(VLOOKUP("industry|NOx|Work loss days", US_national_yearly!$D:$AM, 21, FALSE) / VLOOKUP("industry|NOx|Work loss days", US_national_yearly!$D:$AM, 10, FALSE), 1)</f>
        <v>3.7908814937190373E-2</v>
      </c>
      <c r="N15" s="7">
        <f>$B15 * IFERROR(VLOOKUP("industry|NOx|Work loss days", US_national_yearly!$D:$AM, 22, FALSE) / VLOOKUP("industry|NOx|Work loss days", US_national_yearly!$D:$AM, 10, FALSE), 1)</f>
        <v>3.8154102228845632E-2</v>
      </c>
      <c r="O15" s="7">
        <f>$B15 * IFERROR(VLOOKUP("industry|NOx|Work loss days", US_national_yearly!$D:$AM, 23, FALSE) / VLOOKUP("industry|NOx|Work loss days", US_national_yearly!$D:$AM, 10, FALSE), 1)</f>
        <v>3.8399389520500898E-2</v>
      </c>
      <c r="P15" s="7">
        <f>$B15 * IFERROR(VLOOKUP("industry|NOx|Work loss days", US_national_yearly!$D:$AM, 24, FALSE) / VLOOKUP("industry|NOx|Work loss days", US_national_yearly!$D:$AM, 10, FALSE), 1)</f>
        <v>3.8644676812156158E-2</v>
      </c>
      <c r="Q15" s="7">
        <f>$B15 * IFERROR(VLOOKUP("industry|NOx|Work loss days", US_national_yearly!$D:$AM, 25, FALSE) / VLOOKUP("industry|NOx|Work loss days", US_national_yearly!$D:$AM, 10, FALSE), 1)</f>
        <v>3.8889964103811417E-2</v>
      </c>
      <c r="R15" s="7">
        <f>$B15 * IFERROR(VLOOKUP("industry|NOx|Work loss days", US_national_yearly!$D:$AM, 26, FALSE) / VLOOKUP("industry|NOx|Work loss days", US_national_yearly!$D:$AM, 10, FALSE), 1)</f>
        <v>3.9135251395466683E-2</v>
      </c>
      <c r="S15" s="7">
        <f>$B15 * IFERROR(VLOOKUP("industry|NOx|Work loss days", US_national_yearly!$D:$AM, 27, FALSE) / VLOOKUP("industry|NOx|Work loss days", US_national_yearly!$D:$AM, 10, FALSE), 1)</f>
        <v>3.9409467730018043E-2</v>
      </c>
      <c r="T15" s="7">
        <f>$B15 * IFERROR(VLOOKUP("industry|NOx|Work loss days", US_national_yearly!$D:$AM, 28, FALSE) / VLOOKUP("industry|NOx|Work loss days", US_national_yearly!$D:$AM, 10, FALSE), 1)</f>
        <v>3.9683684064569409E-2</v>
      </c>
      <c r="U15" s="7">
        <f>$B15 * IFERROR(VLOOKUP("industry|NOx|Work loss days", US_national_yearly!$D:$AM, 29, FALSE) / VLOOKUP("industry|NOx|Work loss days", US_national_yearly!$D:$AM, 10, FALSE), 1)</f>
        <v>3.9957900399120776E-2</v>
      </c>
      <c r="V15" s="7">
        <f>$B15 * IFERROR(VLOOKUP("industry|NOx|Work loss days", US_national_yearly!$D:$AM, 30, FALSE) / VLOOKUP("industry|NOx|Work loss days", US_national_yearly!$D:$AM, 10, FALSE), 1)</f>
        <v>4.0232116733672135E-2</v>
      </c>
      <c r="W15" s="7">
        <f>$B15 * IFERROR(VLOOKUP("industry|NOx|Work loss days", US_national_yearly!$D:$AM, 31, FALSE) / VLOOKUP("industry|NOx|Work loss days", US_national_yearly!$D:$AM, 10, FALSE), 1)</f>
        <v>4.0506333068223502E-2</v>
      </c>
      <c r="X15" s="7">
        <f>$B15 * IFERROR(VLOOKUP("industry|NOx|Work loss days", US_national_yearly!$D:$AM, 32, FALSE) / VLOOKUP("industry|NOx|Work loss days", US_national_yearly!$D:$AM, 10, FALSE), 1)</f>
        <v>4.0744225301740496E-2</v>
      </c>
      <c r="Y15" s="7">
        <f>$B15 * IFERROR(VLOOKUP("industry|NOx|Work loss days", US_national_yearly!$D:$AM, 33, FALSE) / VLOOKUP("industry|NOx|Work loss days", US_national_yearly!$D:$AM, 10, FALSE), 1)</f>
        <v>4.0982117535257497E-2</v>
      </c>
      <c r="Z15" s="7">
        <f>$B15 * IFERROR(VLOOKUP("industry|NOx|Work loss days", US_national_yearly!$D:$AM, 34, FALSE) / VLOOKUP("industry|NOx|Work loss days", US_national_yearly!$D:$AM, 10, FALSE), 1)</f>
        <v>4.1220009768774497E-2</v>
      </c>
      <c r="AA15" s="7">
        <f>$B15 * IFERROR(VLOOKUP("industry|NOx|Work loss days", US_national_yearly!$D:$AM, 35, FALSE) / VLOOKUP("industry|NOx|Work loss days", US_national_yearly!$D:$AM, 10, FALSE), 1)</f>
        <v>4.1457902002291498E-2</v>
      </c>
      <c r="AB15" s="7">
        <f>$B15 * IFERROR(VLOOKUP("industry|NOx|Work loss days", US_national_yearly!$D:$AM, 36, FALSE) / VLOOKUP("industry|NOx|Work loss days", US_national_yearly!$D:$AM, 10, FALSE), 1)</f>
        <v>4.1695794235808499E-2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8.2358393371252645E-5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8.4776655792547791E-5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8.7194918213842938E-5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8.9613180635138084E-5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9.2031443056433257E-5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9.4329818060815646E-5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9.6628193065198049E-5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9.8565889497645315E-5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1.0050358593009257E-4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1.0244128236253982E-4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1.0437897879498707E-4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1.0631667522743433E-4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1.0752975293172641E-4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1.0874283063601846E-4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1.0995590834031053E-4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1.1116898604460261E-4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1.1238206374889467E-4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1.1294168035218579E-4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1.1350129695547693E-4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1.1406091355876805E-4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1.1462053016205918E-4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1.1518014676535031E-4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1.1549632623519384E-4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1.1581250570503736E-4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1.1612868517488089E-4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1.1644486464472439E-4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1.1676104411456793E-4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1.1214526587065374E-3</v>
      </c>
      <c r="C2" s="7">
        <f>$B2 * IFERROR(VLOOKUP("industry|SO2|Premature mortality", US_national_yearly!$D:$AM, 11, FALSE) / VLOOKUP("industry|SO2|Premature mortality", US_national_yearly!$D:$AM, 10, FALSE), 1)</f>
        <v>1.1356692049391502E-3</v>
      </c>
      <c r="D2" s="7">
        <f>$B2 * IFERROR(VLOOKUP("industry|SO2|Premature mortality", US_national_yearly!$D:$AM, 12, FALSE) / VLOOKUP("industry|SO2|Premature mortality", US_national_yearly!$D:$AM, 10, FALSE), 1)</f>
        <v>1.1498857511717628E-3</v>
      </c>
      <c r="E2" s="7">
        <f>$B2 * IFERROR(VLOOKUP("industry|SO2|Premature mortality", US_national_yearly!$D:$AM, 13, FALSE) / VLOOKUP("industry|SO2|Premature mortality", US_national_yearly!$D:$AM, 10, FALSE), 1)</f>
        <v>1.1641022974043754E-3</v>
      </c>
      <c r="F2" s="7">
        <f>$B2 * IFERROR(VLOOKUP("industry|SO2|Premature mortality", US_national_yearly!$D:$AM, 14, FALSE) / VLOOKUP("industry|SO2|Premature mortality", US_national_yearly!$D:$AM, 10, FALSE), 1)</f>
        <v>1.178318843636988E-3</v>
      </c>
      <c r="G2" s="7">
        <f>$B2 * IFERROR(VLOOKUP("industry|SO2|Premature mortality", US_national_yearly!$D:$AM, 15, FALSE) / VLOOKUP("industry|SO2|Premature mortality", US_national_yearly!$D:$AM, 10, FALSE), 1)</f>
        <v>1.2057207192392859E-3</v>
      </c>
      <c r="H2" s="7">
        <f>$B2 * IFERROR(VLOOKUP("industry|SO2|Premature mortality", US_national_yearly!$D:$AM, 16, FALSE) / VLOOKUP("industry|SO2|Premature mortality", US_national_yearly!$D:$AM, 10, FALSE), 1)</f>
        <v>1.2331225948415839E-3</v>
      </c>
      <c r="I2" s="7">
        <f>$B2 * IFERROR(VLOOKUP("industry|SO2|Premature mortality", US_national_yearly!$D:$AM, 17, FALSE) / VLOOKUP("industry|SO2|Premature mortality", US_national_yearly!$D:$AM, 10, FALSE), 1)</f>
        <v>1.2512673148411845E-3</v>
      </c>
      <c r="J2" s="7">
        <f>$B2 * IFERROR(VLOOKUP("industry|SO2|Premature mortality", US_national_yearly!$D:$AM, 18, FALSE) / VLOOKUP("industry|SO2|Premature mortality", US_national_yearly!$D:$AM, 10, FALSE), 1)</f>
        <v>1.2694120348407847E-3</v>
      </c>
      <c r="K2" s="7">
        <f>$B2 * IFERROR(VLOOKUP("industry|SO2|Premature mortality", US_national_yearly!$D:$AM, 19, FALSE) / VLOOKUP("industry|SO2|Premature mortality", US_national_yearly!$D:$AM, 10, FALSE), 1)</f>
        <v>1.2875567548403851E-3</v>
      </c>
      <c r="L2" s="7">
        <f>$B2 * IFERROR(VLOOKUP("industry|SO2|Premature mortality", US_national_yearly!$D:$AM, 20, FALSE) / VLOOKUP("industry|SO2|Premature mortality", US_national_yearly!$D:$AM, 10, FALSE), 1)</f>
        <v>1.3057014748399855E-3</v>
      </c>
      <c r="M2" s="7">
        <f>$B2 * IFERROR(VLOOKUP("industry|SO2|Premature mortality", US_national_yearly!$D:$AM, 21, FALSE) / VLOOKUP("industry|SO2|Premature mortality", US_national_yearly!$D:$AM, 10, FALSE), 1)</f>
        <v>1.3238461948395859E-3</v>
      </c>
      <c r="N2" s="7">
        <f>$B2 * IFERROR(VLOOKUP("industry|SO2|Premature mortality", US_national_yearly!$D:$AM, 22, FALSE) / VLOOKUP("industry|SO2|Premature mortality", US_national_yearly!$D:$AM, 10, FALSE), 1)</f>
        <v>1.3380396799926022E-3</v>
      </c>
      <c r="O2" s="7">
        <f>$B2 * IFERROR(VLOOKUP("industry|SO2|Premature mortality", US_national_yearly!$D:$AM, 23, FALSE) / VLOOKUP("industry|SO2|Premature mortality", US_national_yearly!$D:$AM, 10, FALSE), 1)</f>
        <v>1.3522331651456187E-3</v>
      </c>
      <c r="P2" s="7">
        <f>$B2 * IFERROR(VLOOKUP("industry|SO2|Premature mortality", US_national_yearly!$D:$AM, 24, FALSE) / VLOOKUP("industry|SO2|Premature mortality", US_national_yearly!$D:$AM, 10, FALSE), 1)</f>
        <v>1.3664266502986353E-3</v>
      </c>
      <c r="Q2" s="7">
        <f>$B2 * IFERROR(VLOOKUP("industry|SO2|Premature mortality", US_national_yearly!$D:$AM, 25, FALSE) / VLOOKUP("industry|SO2|Premature mortality", US_national_yearly!$D:$AM, 10, FALSE), 1)</f>
        <v>1.3806201354516516E-3</v>
      </c>
      <c r="R2" s="7">
        <f>$B2 * IFERROR(VLOOKUP("industry|SO2|Premature mortality", US_national_yearly!$D:$AM, 26, FALSE) / VLOOKUP("industry|SO2|Premature mortality", US_national_yearly!$D:$AM, 10, FALSE), 1)</f>
        <v>1.3948136206046681E-3</v>
      </c>
      <c r="S2" s="7">
        <f>$B2 * IFERROR(VLOOKUP("industry|SO2|Premature mortality", US_national_yearly!$D:$AM, 27, FALSE) / VLOOKUP("industry|SO2|Premature mortality", US_national_yearly!$D:$AM, 10, FALSE), 1)</f>
        <v>1.4024773206584955E-3</v>
      </c>
      <c r="T2" s="7">
        <f>$B2 * IFERROR(VLOOKUP("industry|SO2|Premature mortality", US_national_yearly!$D:$AM, 28, FALSE) / VLOOKUP("industry|SO2|Premature mortality", US_national_yearly!$D:$AM, 10, FALSE), 1)</f>
        <v>1.4101410207123233E-3</v>
      </c>
      <c r="U2" s="7">
        <f>$B2 * IFERROR(VLOOKUP("industry|SO2|Premature mortality", US_national_yearly!$D:$AM, 29, FALSE) / VLOOKUP("industry|SO2|Premature mortality", US_national_yearly!$D:$AM, 10, FALSE), 1)</f>
        <v>1.4178047207661513E-3</v>
      </c>
      <c r="V2" s="7">
        <f>$B2 * IFERROR(VLOOKUP("industry|SO2|Premature mortality", US_national_yearly!$D:$AM, 30, FALSE) / VLOOKUP("industry|SO2|Premature mortality", US_national_yearly!$D:$AM, 10, FALSE), 1)</f>
        <v>1.425468420819979E-3</v>
      </c>
      <c r="W2" s="7">
        <f>$B2 * IFERROR(VLOOKUP("industry|SO2|Premature mortality", US_national_yearly!$D:$AM, 31, FALSE) / VLOOKUP("industry|SO2|Premature mortality", US_national_yearly!$D:$AM, 10, FALSE), 1)</f>
        <v>1.4331321208738068E-3</v>
      </c>
      <c r="X2" s="7">
        <f>$B2 * IFERROR(VLOOKUP("industry|SO2|Premature mortality", US_national_yearly!$D:$AM, 32, FALSE) / VLOOKUP("industry|SO2|Premature mortality", US_national_yearly!$D:$AM, 10, FALSE), 1)</f>
        <v>1.4347815829748214E-3</v>
      </c>
      <c r="Y2" s="7">
        <f>$B2 * IFERROR(VLOOKUP("industry|SO2|Premature mortality", US_national_yearly!$D:$AM, 33, FALSE) / VLOOKUP("industry|SO2|Premature mortality", US_national_yearly!$D:$AM, 10, FALSE), 1)</f>
        <v>1.4364310450758362E-3</v>
      </c>
      <c r="Z2" s="7">
        <f>$B2 * IFERROR(VLOOKUP("industry|SO2|Premature mortality", US_national_yearly!$D:$AM, 34, FALSE) / VLOOKUP("industry|SO2|Premature mortality", US_national_yearly!$D:$AM, 10, FALSE), 1)</f>
        <v>1.4380805071768513E-3</v>
      </c>
      <c r="AA2" s="7">
        <f>$B2 * IFERROR(VLOOKUP("industry|SO2|Premature mortality", US_national_yearly!$D:$AM, 35, FALSE) / VLOOKUP("industry|SO2|Premature mortality", US_national_yearly!$D:$AM, 10, FALSE), 1)</f>
        <v>1.4397299692778661E-3</v>
      </c>
      <c r="AB2" s="7">
        <f>$B2 * IFERROR(VLOOKUP("industry|SO2|Premature mortality", US_national_yearly!$D:$AM, 36, FALSE) / VLOOKUP("industry|SO2|Premature mortality", US_national_yearly!$D:$AM, 10, FALSE), 1)</f>
        <v>1.4413794313788808E-3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3.1419246339226656E-6</v>
      </c>
      <c r="C3" s="7">
        <f>$B3 * IFERROR(VLOOKUP("industry|SO2|Infant mortality", US_national_yearly!$D:$AM, 11, FALSE) / VLOOKUP("industry|SO2|Infant mortality", US_national_yearly!$D:$AM, 10, FALSE), 1)</f>
        <v>3.1148944140019819E-6</v>
      </c>
      <c r="D3" s="7">
        <f>$B3 * IFERROR(VLOOKUP("industry|SO2|Infant mortality", US_national_yearly!$D:$AM, 12, FALSE) / VLOOKUP("industry|SO2|Infant mortality", US_national_yearly!$D:$AM, 10, FALSE), 1)</f>
        <v>3.0878641940812987E-6</v>
      </c>
      <c r="E3" s="7">
        <f>$B3 * IFERROR(VLOOKUP("industry|SO2|Infant mortality", US_national_yearly!$D:$AM, 13, FALSE) / VLOOKUP("industry|SO2|Infant mortality", US_national_yearly!$D:$AM, 10, FALSE), 1)</f>
        <v>3.060833974160615E-6</v>
      </c>
      <c r="F3" s="7">
        <f>$B3 * IFERROR(VLOOKUP("industry|SO2|Infant mortality", US_national_yearly!$D:$AM, 14, FALSE) / VLOOKUP("industry|SO2|Infant mortality", US_national_yearly!$D:$AM, 10, FALSE), 1)</f>
        <v>3.0338037542399318E-6</v>
      </c>
      <c r="G3" s="7">
        <f>$B3 * IFERROR(VLOOKUP("industry|SO2|Infant mortality", US_national_yearly!$D:$AM, 15, FALSE) / VLOOKUP("industry|SO2|Infant mortality", US_national_yearly!$D:$AM, 10, FALSE), 1)</f>
        <v>2.0195981420969636E-6</v>
      </c>
      <c r="H3" s="7">
        <f>$B3 * IFERROR(VLOOKUP("industry|SO2|Infant mortality", US_national_yearly!$D:$AM, 16, FALSE) / VLOOKUP("industry|SO2|Infant mortality", US_national_yearly!$D:$AM, 10, FALSE), 1)</f>
        <v>1.005392529953995E-6</v>
      </c>
      <c r="I3" s="7">
        <f>$B3 * IFERROR(VLOOKUP("industry|SO2|Infant mortality", US_national_yearly!$D:$AM, 17, FALSE) / VLOOKUP("industry|SO2|Infant mortality", US_national_yearly!$D:$AM, 10, FALSE), 1)</f>
        <v>9.9900837313945219E-7</v>
      </c>
      <c r="J3" s="7">
        <f>$B3 * IFERROR(VLOOKUP("industry|SO2|Infant mortality", US_national_yearly!$D:$AM, 18, FALSE) / VLOOKUP("industry|SO2|Infant mortality", US_national_yearly!$D:$AM, 10, FALSE), 1)</f>
        <v>9.9262421632490955E-7</v>
      </c>
      <c r="K3" s="7">
        <f>$B3 * IFERROR(VLOOKUP("industry|SO2|Infant mortality", US_national_yearly!$D:$AM, 19, FALSE) / VLOOKUP("industry|SO2|Infant mortality", US_national_yearly!$D:$AM, 10, FALSE), 1)</f>
        <v>9.862400595103667E-7</v>
      </c>
      <c r="L3" s="7">
        <f>$B3 * IFERROR(VLOOKUP("industry|SO2|Infant mortality", US_national_yearly!$D:$AM, 20, FALSE) / VLOOKUP("industry|SO2|Infant mortality", US_national_yearly!$D:$AM, 10, FALSE), 1)</f>
        <v>9.7985590269582406E-7</v>
      </c>
      <c r="M3" s="7">
        <f>$B3 * IFERROR(VLOOKUP("industry|SO2|Infant mortality", US_national_yearly!$D:$AM, 21, FALSE) / VLOOKUP("industry|SO2|Infant mortality", US_national_yearly!$D:$AM, 10, FALSE), 1)</f>
        <v>9.7347174588128121E-7</v>
      </c>
      <c r="N3" s="7">
        <f>$B3 * IFERROR(VLOOKUP("industry|SO2|Infant mortality", US_national_yearly!$D:$AM, 22, FALSE) / VLOOKUP("industry|SO2|Infant mortality", US_national_yearly!$D:$AM, 10, FALSE), 1)</f>
        <v>9.6942543729978935E-7</v>
      </c>
      <c r="O3" s="7">
        <f>$B3 * IFERROR(VLOOKUP("industry|SO2|Infant mortality", US_national_yearly!$D:$AM, 23, FALSE) / VLOOKUP("industry|SO2|Infant mortality", US_national_yearly!$D:$AM, 10, FALSE), 1)</f>
        <v>9.6537912871829748E-7</v>
      </c>
      <c r="P3" s="7">
        <f>$B3 * IFERROR(VLOOKUP("industry|SO2|Infant mortality", US_national_yearly!$D:$AM, 24, FALSE) / VLOOKUP("industry|SO2|Infant mortality", US_national_yearly!$D:$AM, 10, FALSE), 1)</f>
        <v>9.6133282013680562E-7</v>
      </c>
      <c r="Q3" s="7">
        <f>$B3 * IFERROR(VLOOKUP("industry|SO2|Infant mortality", US_national_yearly!$D:$AM, 25, FALSE) / VLOOKUP("industry|SO2|Infant mortality", US_national_yearly!$D:$AM, 10, FALSE), 1)</f>
        <v>9.5728651155531376E-7</v>
      </c>
      <c r="R3" s="7">
        <f>$B3 * IFERROR(VLOOKUP("industry|SO2|Infant mortality", US_national_yearly!$D:$AM, 26, FALSE) / VLOOKUP("industry|SO2|Infant mortality", US_national_yearly!$D:$AM, 10, FALSE), 1)</f>
        <v>9.53240202973822E-7</v>
      </c>
      <c r="S3" s="7">
        <f>$B3 * IFERROR(VLOOKUP("industry|SO2|Infant mortality", US_national_yearly!$D:$AM, 27, FALSE) / VLOOKUP("industry|SO2|Infant mortality", US_national_yearly!$D:$AM, 10, FALSE), 1)</f>
        <v>9.4820461810316555E-7</v>
      </c>
      <c r="T3" s="7">
        <f>$B3 * IFERROR(VLOOKUP("industry|SO2|Infant mortality", US_national_yearly!$D:$AM, 28, FALSE) / VLOOKUP("industry|SO2|Infant mortality", US_national_yearly!$D:$AM, 10, FALSE), 1)</f>
        <v>9.431690332325092E-7</v>
      </c>
      <c r="U3" s="7">
        <f>$B3 * IFERROR(VLOOKUP("industry|SO2|Infant mortality", US_national_yearly!$D:$AM, 29, FALSE) / VLOOKUP("industry|SO2|Infant mortality", US_national_yearly!$D:$AM, 10, FALSE), 1)</f>
        <v>9.3813344836185286E-7</v>
      </c>
      <c r="V3" s="7">
        <f>$B3 * IFERROR(VLOOKUP("industry|SO2|Infant mortality", US_national_yearly!$D:$AM, 30, FALSE) / VLOOKUP("industry|SO2|Infant mortality", US_national_yearly!$D:$AM, 10, FALSE), 1)</f>
        <v>9.3309786349119641E-7</v>
      </c>
      <c r="W3" s="7">
        <f>$B3 * IFERROR(VLOOKUP("industry|SO2|Infant mortality", US_national_yearly!$D:$AM, 31, FALSE) / VLOOKUP("industry|SO2|Infant mortality", US_national_yearly!$D:$AM, 10, FALSE), 1)</f>
        <v>9.2806227862054006E-7</v>
      </c>
      <c r="X3" s="7">
        <f>$B3 * IFERROR(VLOOKUP("industry|SO2|Infant mortality", US_national_yearly!$D:$AM, 32, FALSE) / VLOOKUP("industry|SO2|Infant mortality", US_national_yearly!$D:$AM, 10, FALSE), 1)</f>
        <v>9.2259010059087319E-7</v>
      </c>
      <c r="Y3" s="7">
        <f>$B3 * IFERROR(VLOOKUP("industry|SO2|Infant mortality", US_national_yearly!$D:$AM, 33, FALSE) / VLOOKUP("industry|SO2|Infant mortality", US_national_yearly!$D:$AM, 10, FALSE), 1)</f>
        <v>9.1711792256120631E-7</v>
      </c>
      <c r="Z3" s="7">
        <f>$B3 * IFERROR(VLOOKUP("industry|SO2|Infant mortality", US_national_yearly!$D:$AM, 34, FALSE) / VLOOKUP("industry|SO2|Infant mortality", US_national_yearly!$D:$AM, 10, FALSE), 1)</f>
        <v>9.1164574453153944E-7</v>
      </c>
      <c r="AA3" s="7">
        <f>$B3 * IFERROR(VLOOKUP("industry|SO2|Infant mortality", US_national_yearly!$D:$AM, 35, FALSE) / VLOOKUP("industry|SO2|Infant mortality", US_national_yearly!$D:$AM, 10, FALSE), 1)</f>
        <v>9.0617356650187257E-7</v>
      </c>
      <c r="AB3" s="7">
        <f>$B3 * IFERROR(VLOOKUP("industry|SO2|Infant mortality", US_national_yearly!$D:$AM, 36, FALSE) / VLOOKUP("industry|SO2|Infant mortality", US_national_yearly!$D:$AM, 10, FALSE), 1)</f>
        <v>9.0070138847220569E-7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2.7111245811554797E-3</v>
      </c>
      <c r="C6" s="7">
        <f>$B6 * IFERROR(VLOOKUP("industry|SO2|Asthma symptoms cough", US_national_yearly!$D:$AM, 11, FALSE) / VLOOKUP("industry|SO2|Asthma symptoms cough", US_national_yearly!$D:$AM, 10, FALSE), 1)</f>
        <v>2.7111245811554797E-3</v>
      </c>
      <c r="D6" s="7">
        <f>$B6 * IFERROR(VLOOKUP("industry|SO2|Asthma symptoms cough", US_national_yearly!$D:$AM, 12, FALSE) / VLOOKUP("industry|SO2|Asthma symptoms cough", US_national_yearly!$D:$AM, 10, FALSE), 1)</f>
        <v>2.7111245811554797E-3</v>
      </c>
      <c r="E6" s="7">
        <f>$B6 * IFERROR(VLOOKUP("industry|SO2|Asthma symptoms cough", US_national_yearly!$D:$AM, 13, FALSE) / VLOOKUP("industry|SO2|Asthma symptoms cough", US_national_yearly!$D:$AM, 10, FALSE), 1)</f>
        <v>2.7111245811554797E-3</v>
      </c>
      <c r="F6" s="7">
        <f>$B6 * IFERROR(VLOOKUP("industry|SO2|Asthma symptoms cough", US_national_yearly!$D:$AM, 14, FALSE) / VLOOKUP("industry|SO2|Asthma symptoms cough", US_national_yearly!$D:$AM, 10, FALSE), 1)</f>
        <v>2.7111245811554797E-3</v>
      </c>
      <c r="G6" s="7">
        <f>$B6 * IFERROR(VLOOKUP("industry|SO2|Asthma symptoms cough", US_national_yearly!$D:$AM, 15, FALSE) / VLOOKUP("industry|SO2|Asthma symptoms cough", US_national_yearly!$D:$AM, 10, FALSE), 1)</f>
        <v>2.7111245811554797E-3</v>
      </c>
      <c r="H6" s="7">
        <f>$B6 * IFERROR(VLOOKUP("industry|SO2|Asthma symptoms cough", US_national_yearly!$D:$AM, 16, FALSE) / VLOOKUP("industry|SO2|Asthma symptoms cough", US_national_yearly!$D:$AM, 10, FALSE), 1)</f>
        <v>2.7111245811554797E-3</v>
      </c>
      <c r="I6" s="7">
        <f>$B6 * IFERROR(VLOOKUP("industry|SO2|Asthma symptoms cough", US_national_yearly!$D:$AM, 17, FALSE) / VLOOKUP("industry|SO2|Asthma symptoms cough", US_national_yearly!$D:$AM, 10, FALSE), 1)</f>
        <v>2.7111245811554797E-3</v>
      </c>
      <c r="J6" s="7">
        <f>$B6 * IFERROR(VLOOKUP("industry|SO2|Asthma symptoms cough", US_national_yearly!$D:$AM, 18, FALSE) / VLOOKUP("industry|SO2|Asthma symptoms cough", US_national_yearly!$D:$AM, 10, FALSE), 1)</f>
        <v>2.7111245811554797E-3</v>
      </c>
      <c r="K6" s="7">
        <f>$B6 * IFERROR(VLOOKUP("industry|SO2|Asthma symptoms cough", US_national_yearly!$D:$AM, 19, FALSE) / VLOOKUP("industry|SO2|Asthma symptoms cough", US_national_yearly!$D:$AM, 10, FALSE), 1)</f>
        <v>2.7111245811554797E-3</v>
      </c>
      <c r="L6" s="7">
        <f>$B6 * IFERROR(VLOOKUP("industry|SO2|Asthma symptoms cough", US_national_yearly!$D:$AM, 20, FALSE) / VLOOKUP("industry|SO2|Asthma symptoms cough", US_national_yearly!$D:$AM, 10, FALSE), 1)</f>
        <v>2.7111245811554797E-3</v>
      </c>
      <c r="M6" s="7">
        <f>$B6 * IFERROR(VLOOKUP("industry|SO2|Asthma symptoms cough", US_national_yearly!$D:$AM, 21, FALSE) / VLOOKUP("industry|SO2|Asthma symptoms cough", US_national_yearly!$D:$AM, 10, FALSE), 1)</f>
        <v>2.7111245811554797E-3</v>
      </c>
      <c r="N6" s="7">
        <f>$B6 * IFERROR(VLOOKUP("industry|SO2|Asthma symptoms cough", US_national_yearly!$D:$AM, 22, FALSE) / VLOOKUP("industry|SO2|Asthma symptoms cough", US_national_yearly!$D:$AM, 10, FALSE), 1)</f>
        <v>2.7111245811554797E-3</v>
      </c>
      <c r="O6" s="7">
        <f>$B6 * IFERROR(VLOOKUP("industry|SO2|Asthma symptoms cough", US_national_yearly!$D:$AM, 23, FALSE) / VLOOKUP("industry|SO2|Asthma symptoms cough", US_national_yearly!$D:$AM, 10, FALSE), 1)</f>
        <v>2.7111245811554797E-3</v>
      </c>
      <c r="P6" s="7">
        <f>$B6 * IFERROR(VLOOKUP("industry|SO2|Asthma symptoms cough", US_national_yearly!$D:$AM, 24, FALSE) / VLOOKUP("industry|SO2|Asthma symptoms cough", US_national_yearly!$D:$AM, 10, FALSE), 1)</f>
        <v>2.7111245811554797E-3</v>
      </c>
      <c r="Q6" s="7">
        <f>$B6 * IFERROR(VLOOKUP("industry|SO2|Asthma symptoms cough", US_national_yearly!$D:$AM, 25, FALSE) / VLOOKUP("industry|SO2|Asthma symptoms cough", US_national_yearly!$D:$AM, 10, FALSE), 1)</f>
        <v>2.7111245811554797E-3</v>
      </c>
      <c r="R6" s="7">
        <f>$B6 * IFERROR(VLOOKUP("industry|SO2|Asthma symptoms cough", US_national_yearly!$D:$AM, 26, FALSE) / VLOOKUP("industry|SO2|Asthma symptoms cough", US_national_yearly!$D:$AM, 10, FALSE), 1)</f>
        <v>2.7111245811554797E-3</v>
      </c>
      <c r="S6" s="7">
        <f>$B6 * IFERROR(VLOOKUP("industry|SO2|Asthma symptoms cough", US_national_yearly!$D:$AM, 27, FALSE) / VLOOKUP("industry|SO2|Asthma symptoms cough", US_national_yearly!$D:$AM, 10, FALSE), 1)</f>
        <v>2.7111245811554797E-3</v>
      </c>
      <c r="T6" s="7">
        <f>$B6 * IFERROR(VLOOKUP("industry|SO2|Asthma symptoms cough", US_national_yearly!$D:$AM, 28, FALSE) / VLOOKUP("industry|SO2|Asthma symptoms cough", US_national_yearly!$D:$AM, 10, FALSE), 1)</f>
        <v>2.7111245811554797E-3</v>
      </c>
      <c r="U6" s="7">
        <f>$B6 * IFERROR(VLOOKUP("industry|SO2|Asthma symptoms cough", US_national_yearly!$D:$AM, 29, FALSE) / VLOOKUP("industry|SO2|Asthma symptoms cough", US_national_yearly!$D:$AM, 10, FALSE), 1)</f>
        <v>2.7111245811554797E-3</v>
      </c>
      <c r="V6" s="7">
        <f>$B6 * IFERROR(VLOOKUP("industry|SO2|Asthma symptoms cough", US_national_yearly!$D:$AM, 30, FALSE) / VLOOKUP("industry|SO2|Asthma symptoms cough", US_national_yearly!$D:$AM, 10, FALSE), 1)</f>
        <v>2.7111245811554797E-3</v>
      </c>
      <c r="W6" s="7">
        <f>$B6 * IFERROR(VLOOKUP("industry|SO2|Asthma symptoms cough", US_national_yearly!$D:$AM, 31, FALSE) / VLOOKUP("industry|SO2|Asthma symptoms cough", US_national_yearly!$D:$AM, 10, FALSE), 1)</f>
        <v>2.7111245811554797E-3</v>
      </c>
      <c r="X6" s="7">
        <f>$B6 * IFERROR(VLOOKUP("industry|SO2|Asthma symptoms cough", US_national_yearly!$D:$AM, 32, FALSE) / VLOOKUP("industry|SO2|Asthma symptoms cough", US_national_yearly!$D:$AM, 10, FALSE), 1)</f>
        <v>2.7111245811554797E-3</v>
      </c>
      <c r="Y6" s="7">
        <f>$B6 * IFERROR(VLOOKUP("industry|SO2|Asthma symptoms cough", US_national_yearly!$D:$AM, 33, FALSE) / VLOOKUP("industry|SO2|Asthma symptoms cough", US_national_yearly!$D:$AM, 10, FALSE), 1)</f>
        <v>2.7111245811554797E-3</v>
      </c>
      <c r="Z6" s="7">
        <f>$B6 * IFERROR(VLOOKUP("industry|SO2|Asthma symptoms cough", US_national_yearly!$D:$AM, 34, FALSE) / VLOOKUP("industry|SO2|Asthma symptoms cough", US_national_yearly!$D:$AM, 10, FALSE), 1)</f>
        <v>2.7111245811554797E-3</v>
      </c>
      <c r="AA6" s="7">
        <f>$B6 * IFERROR(VLOOKUP("industry|SO2|Asthma symptoms cough", US_national_yearly!$D:$AM, 35, FALSE) / VLOOKUP("industry|SO2|Asthma symptoms cough", US_national_yearly!$D:$AM, 10, FALSE), 1)</f>
        <v>2.7111245811554797E-3</v>
      </c>
      <c r="AB6" s="7">
        <f>$B6 * IFERROR(VLOOKUP("industry|SO2|Asthma symptoms cough", US_national_yearly!$D:$AM, 36, FALSE) / VLOOKUP("industry|SO2|Asthma symptoms cough", US_national_yearly!$D:$AM, 10, FALSE), 1)</f>
        <v>2.7111245811554797E-3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3.6508910227283971E-3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3.6508910227283971E-3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3.6508910227283971E-3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3.6508910227283971E-3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3.6508910227283971E-3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3.6508910227283971E-3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3.6508910227283971E-3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3.6508910227283971E-3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3.6508910227283971E-3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3.6508910227283971E-3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3.6508910227283971E-3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3.6508910227283971E-3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3.6508910227283971E-3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3.6508910227283971E-3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3.6508910227283971E-3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3.6508910227283971E-3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3.6508910227283971E-3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3.6508910227283971E-3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3.6508910227283971E-3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3.6508910227283971E-3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3.6508910227283971E-3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3.6508910227283971E-3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3.6508910227283971E-3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3.6508910227283971E-3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3.6508910227283971E-3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3.6508910227283971E-3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3.6508910227283971E-3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5.5780555233066031E-3</v>
      </c>
      <c r="C8" s="7">
        <f>$B8 * IFERROR(VLOOKUP("industry|SO2|Asthma symptoms wheeze", US_national_yearly!$D:$AM, 11, FALSE) / VLOOKUP("industry|SO2|Asthma symptoms wheeze", US_national_yearly!$D:$AM, 10, FALSE), 1)</f>
        <v>5.5780555233066031E-3</v>
      </c>
      <c r="D8" s="7">
        <f>$B8 * IFERROR(VLOOKUP("industry|SO2|Asthma symptoms wheeze", US_national_yearly!$D:$AM, 12, FALSE) / VLOOKUP("industry|SO2|Asthma symptoms wheeze", US_national_yearly!$D:$AM, 10, FALSE), 1)</f>
        <v>5.5780555233066031E-3</v>
      </c>
      <c r="E8" s="7">
        <f>$B8 * IFERROR(VLOOKUP("industry|SO2|Asthma symptoms wheeze", US_national_yearly!$D:$AM, 13, FALSE) / VLOOKUP("industry|SO2|Asthma symptoms wheeze", US_national_yearly!$D:$AM, 10, FALSE), 1)</f>
        <v>5.5780555233066031E-3</v>
      </c>
      <c r="F8" s="7">
        <f>$B8 * IFERROR(VLOOKUP("industry|SO2|Asthma symptoms wheeze", US_national_yearly!$D:$AM, 14, FALSE) / VLOOKUP("industry|SO2|Asthma symptoms wheeze", US_national_yearly!$D:$AM, 10, FALSE), 1)</f>
        <v>5.5780555233066031E-3</v>
      </c>
      <c r="G8" s="7">
        <f>$B8 * IFERROR(VLOOKUP("industry|SO2|Asthma symptoms wheeze", US_national_yearly!$D:$AM, 15, FALSE) / VLOOKUP("industry|SO2|Asthma symptoms wheeze", US_national_yearly!$D:$AM, 10, FALSE), 1)</f>
        <v>5.5780555233066031E-3</v>
      </c>
      <c r="H8" s="7">
        <f>$B8 * IFERROR(VLOOKUP("industry|SO2|Asthma symptoms wheeze", US_national_yearly!$D:$AM, 16, FALSE) / VLOOKUP("industry|SO2|Asthma symptoms wheeze", US_national_yearly!$D:$AM, 10, FALSE), 1)</f>
        <v>5.5780555233066031E-3</v>
      </c>
      <c r="I8" s="7">
        <f>$B8 * IFERROR(VLOOKUP("industry|SO2|Asthma symptoms wheeze", US_national_yearly!$D:$AM, 17, FALSE) / VLOOKUP("industry|SO2|Asthma symptoms wheeze", US_national_yearly!$D:$AM, 10, FALSE), 1)</f>
        <v>5.5780555233066031E-3</v>
      </c>
      <c r="J8" s="7">
        <f>$B8 * IFERROR(VLOOKUP("industry|SO2|Asthma symptoms wheeze", US_national_yearly!$D:$AM, 18, FALSE) / VLOOKUP("industry|SO2|Asthma symptoms wheeze", US_national_yearly!$D:$AM, 10, FALSE), 1)</f>
        <v>5.5780555233066031E-3</v>
      </c>
      <c r="K8" s="7">
        <f>$B8 * IFERROR(VLOOKUP("industry|SO2|Asthma symptoms wheeze", US_national_yearly!$D:$AM, 19, FALSE) / VLOOKUP("industry|SO2|Asthma symptoms wheeze", US_national_yearly!$D:$AM, 10, FALSE), 1)</f>
        <v>5.5780555233066031E-3</v>
      </c>
      <c r="L8" s="7">
        <f>$B8 * IFERROR(VLOOKUP("industry|SO2|Asthma symptoms wheeze", US_national_yearly!$D:$AM, 20, FALSE) / VLOOKUP("industry|SO2|Asthma symptoms wheeze", US_national_yearly!$D:$AM, 10, FALSE), 1)</f>
        <v>5.5780555233066031E-3</v>
      </c>
      <c r="M8" s="7">
        <f>$B8 * IFERROR(VLOOKUP("industry|SO2|Asthma symptoms wheeze", US_national_yearly!$D:$AM, 21, FALSE) / VLOOKUP("industry|SO2|Asthma symptoms wheeze", US_national_yearly!$D:$AM, 10, FALSE), 1)</f>
        <v>5.5780555233066031E-3</v>
      </c>
      <c r="N8" s="7">
        <f>$B8 * IFERROR(VLOOKUP("industry|SO2|Asthma symptoms wheeze", US_national_yearly!$D:$AM, 22, FALSE) / VLOOKUP("industry|SO2|Asthma symptoms wheeze", US_national_yearly!$D:$AM, 10, FALSE), 1)</f>
        <v>5.5780555233066031E-3</v>
      </c>
      <c r="O8" s="7">
        <f>$B8 * IFERROR(VLOOKUP("industry|SO2|Asthma symptoms wheeze", US_national_yearly!$D:$AM, 23, FALSE) / VLOOKUP("industry|SO2|Asthma symptoms wheeze", US_national_yearly!$D:$AM, 10, FALSE), 1)</f>
        <v>5.5780555233066031E-3</v>
      </c>
      <c r="P8" s="7">
        <f>$B8 * IFERROR(VLOOKUP("industry|SO2|Asthma symptoms wheeze", US_national_yearly!$D:$AM, 24, FALSE) / VLOOKUP("industry|SO2|Asthma symptoms wheeze", US_national_yearly!$D:$AM, 10, FALSE), 1)</f>
        <v>5.5780555233066031E-3</v>
      </c>
      <c r="Q8" s="7">
        <f>$B8 * IFERROR(VLOOKUP("industry|SO2|Asthma symptoms wheeze", US_national_yearly!$D:$AM, 25, FALSE) / VLOOKUP("industry|SO2|Asthma symptoms wheeze", US_national_yearly!$D:$AM, 10, FALSE), 1)</f>
        <v>5.5780555233066031E-3</v>
      </c>
      <c r="R8" s="7">
        <f>$B8 * IFERROR(VLOOKUP("industry|SO2|Asthma symptoms wheeze", US_national_yearly!$D:$AM, 26, FALSE) / VLOOKUP("industry|SO2|Asthma symptoms wheeze", US_national_yearly!$D:$AM, 10, FALSE), 1)</f>
        <v>5.5780555233066031E-3</v>
      </c>
      <c r="S8" s="7">
        <f>$B8 * IFERROR(VLOOKUP("industry|SO2|Asthma symptoms wheeze", US_national_yearly!$D:$AM, 27, FALSE) / VLOOKUP("industry|SO2|Asthma symptoms wheeze", US_national_yearly!$D:$AM, 10, FALSE), 1)</f>
        <v>5.5780555233066031E-3</v>
      </c>
      <c r="T8" s="7">
        <f>$B8 * IFERROR(VLOOKUP("industry|SO2|Asthma symptoms wheeze", US_national_yearly!$D:$AM, 28, FALSE) / VLOOKUP("industry|SO2|Asthma symptoms wheeze", US_national_yearly!$D:$AM, 10, FALSE), 1)</f>
        <v>5.5780555233066031E-3</v>
      </c>
      <c r="U8" s="7">
        <f>$B8 * IFERROR(VLOOKUP("industry|SO2|Asthma symptoms wheeze", US_national_yearly!$D:$AM, 29, FALSE) / VLOOKUP("industry|SO2|Asthma symptoms wheeze", US_national_yearly!$D:$AM, 10, FALSE), 1)</f>
        <v>5.5780555233066031E-3</v>
      </c>
      <c r="V8" s="7">
        <f>$B8 * IFERROR(VLOOKUP("industry|SO2|Asthma symptoms wheeze", US_national_yearly!$D:$AM, 30, FALSE) / VLOOKUP("industry|SO2|Asthma symptoms wheeze", US_national_yearly!$D:$AM, 10, FALSE), 1)</f>
        <v>5.5780555233066031E-3</v>
      </c>
      <c r="W8" s="7">
        <f>$B8 * IFERROR(VLOOKUP("industry|SO2|Asthma symptoms wheeze", US_national_yearly!$D:$AM, 31, FALSE) / VLOOKUP("industry|SO2|Asthma symptoms wheeze", US_national_yearly!$D:$AM, 10, FALSE), 1)</f>
        <v>5.5780555233066031E-3</v>
      </c>
      <c r="X8" s="7">
        <f>$B8 * IFERROR(VLOOKUP("industry|SO2|Asthma symptoms wheeze", US_national_yearly!$D:$AM, 32, FALSE) / VLOOKUP("industry|SO2|Asthma symptoms wheeze", US_national_yearly!$D:$AM, 10, FALSE), 1)</f>
        <v>5.5780555233066031E-3</v>
      </c>
      <c r="Y8" s="7">
        <f>$B8 * IFERROR(VLOOKUP("industry|SO2|Asthma symptoms wheeze", US_national_yearly!$D:$AM, 33, FALSE) / VLOOKUP("industry|SO2|Asthma symptoms wheeze", US_national_yearly!$D:$AM, 10, FALSE), 1)</f>
        <v>5.5780555233066031E-3</v>
      </c>
      <c r="Z8" s="7">
        <f>$B8 * IFERROR(VLOOKUP("industry|SO2|Asthma symptoms wheeze", US_national_yearly!$D:$AM, 34, FALSE) / VLOOKUP("industry|SO2|Asthma symptoms wheeze", US_national_yearly!$D:$AM, 10, FALSE), 1)</f>
        <v>5.5780555233066031E-3</v>
      </c>
      <c r="AA8" s="7">
        <f>$B8 * IFERROR(VLOOKUP("industry|SO2|Asthma symptoms wheeze", US_national_yearly!$D:$AM, 35, FALSE) / VLOOKUP("industry|SO2|Asthma symptoms wheeze", US_national_yearly!$D:$AM, 10, FALSE), 1)</f>
        <v>5.5780555233066031E-3</v>
      </c>
      <c r="AB8" s="7">
        <f>$B8 * IFERROR(VLOOKUP("industry|SO2|Asthma symptoms wheeze", US_national_yearly!$D:$AM, 36, FALSE) / VLOOKUP("industry|SO2|Asthma symptoms wheeze", US_national_yearly!$D:$AM, 10, FALSE), 1)</f>
        <v>5.5780555233066031E-3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7.8453769804183576E-5</v>
      </c>
      <c r="C12" s="7">
        <f>$B12 * IFERROR(VLOOKUP("industry|SO2|Respiratory hospital admissions", US_national_yearly!$D:$AM, 11, FALSE) / VLOOKUP("industry|SO2|Respiratory hospital admissions", US_national_yearly!$D:$AM, 10, FALSE), 1)</f>
        <v>7.8913359122942669E-5</v>
      </c>
      <c r="D12" s="7">
        <f>$B12 * IFERROR(VLOOKUP("industry|SO2|Respiratory hospital admissions", US_national_yearly!$D:$AM, 12, FALSE) / VLOOKUP("industry|SO2|Respiratory hospital admissions", US_national_yearly!$D:$AM, 10, FALSE), 1)</f>
        <v>7.9372948441701761E-5</v>
      </c>
      <c r="E12" s="7">
        <f>$B12 * IFERROR(VLOOKUP("industry|SO2|Respiratory hospital admissions", US_national_yearly!$D:$AM, 13, FALSE) / VLOOKUP("industry|SO2|Respiratory hospital admissions", US_national_yearly!$D:$AM, 10, FALSE), 1)</f>
        <v>7.9832537760460854E-5</v>
      </c>
      <c r="F12" s="7">
        <f>$B12 * IFERROR(VLOOKUP("industry|SO2|Respiratory hospital admissions", US_national_yearly!$D:$AM, 14, FALSE) / VLOOKUP("industry|SO2|Respiratory hospital admissions", US_national_yearly!$D:$AM, 10, FALSE), 1)</f>
        <v>8.029212707921996E-5</v>
      </c>
      <c r="G12" s="7">
        <f>$B12 * IFERROR(VLOOKUP("industry|SO2|Respiratory hospital admissions", US_national_yearly!$D:$AM, 15, FALSE) / VLOOKUP("industry|SO2|Respiratory hospital admissions", US_national_yearly!$D:$AM, 10, FALSE), 1)</f>
        <v>8.0793168340627554E-5</v>
      </c>
      <c r="H12" s="7">
        <f>$B12 * IFERROR(VLOOKUP("industry|SO2|Respiratory hospital admissions", US_national_yearly!$D:$AM, 16, FALSE) / VLOOKUP("industry|SO2|Respiratory hospital admissions", US_national_yearly!$D:$AM, 10, FALSE), 1)</f>
        <v>8.1294209602035148E-5</v>
      </c>
      <c r="I12" s="7">
        <f>$B12 * IFERROR(VLOOKUP("industry|SO2|Respiratory hospital admissions", US_national_yearly!$D:$AM, 17, FALSE) / VLOOKUP("industry|SO2|Respiratory hospital admissions", US_national_yearly!$D:$AM, 10, FALSE), 1)</f>
        <v>8.1786314277034998E-5</v>
      </c>
      <c r="J12" s="7">
        <f>$B12 * IFERROR(VLOOKUP("industry|SO2|Respiratory hospital admissions", US_national_yearly!$D:$AM, 18, FALSE) / VLOOKUP("industry|SO2|Respiratory hospital admissions", US_national_yearly!$D:$AM, 10, FALSE), 1)</f>
        <v>8.2278418952034849E-5</v>
      </c>
      <c r="K12" s="7">
        <f>$B12 * IFERROR(VLOOKUP("industry|SO2|Respiratory hospital admissions", US_national_yearly!$D:$AM, 19, FALSE) / VLOOKUP("industry|SO2|Respiratory hospital admissions", US_national_yearly!$D:$AM, 10, FALSE), 1)</f>
        <v>8.2770523627034672E-5</v>
      </c>
      <c r="L12" s="7">
        <f>$B12 * IFERROR(VLOOKUP("industry|SO2|Respiratory hospital admissions", US_national_yearly!$D:$AM, 20, FALSE) / VLOOKUP("industry|SO2|Respiratory hospital admissions", US_national_yearly!$D:$AM, 10, FALSE), 1)</f>
        <v>8.3262628302034522E-5</v>
      </c>
      <c r="M12" s="7">
        <f>$B12 * IFERROR(VLOOKUP("industry|SO2|Respiratory hospital admissions", US_national_yearly!$D:$AM, 21, FALSE) / VLOOKUP("industry|SO2|Respiratory hospital admissions", US_national_yearly!$D:$AM, 10, FALSE), 1)</f>
        <v>8.3754732977034372E-5</v>
      </c>
      <c r="N12" s="7">
        <f>$B12 * IFERROR(VLOOKUP("industry|SO2|Respiratory hospital admissions", US_national_yearly!$D:$AM, 22, FALSE) / VLOOKUP("industry|SO2|Respiratory hospital admissions", US_national_yearly!$D:$AM, 10, FALSE), 1)</f>
        <v>8.411082684630176E-5</v>
      </c>
      <c r="O12" s="7">
        <f>$B12 * IFERROR(VLOOKUP("industry|SO2|Respiratory hospital admissions", US_national_yearly!$D:$AM, 23, FALSE) / VLOOKUP("industry|SO2|Respiratory hospital admissions", US_national_yearly!$D:$AM, 10, FALSE), 1)</f>
        <v>8.4466920715569135E-5</v>
      </c>
      <c r="P12" s="7">
        <f>$B12 * IFERROR(VLOOKUP("industry|SO2|Respiratory hospital admissions", US_national_yearly!$D:$AM, 24, FALSE) / VLOOKUP("industry|SO2|Respiratory hospital admissions", US_national_yearly!$D:$AM, 10, FALSE), 1)</f>
        <v>8.482301458483651E-5</v>
      </c>
      <c r="Q12" s="7">
        <f>$B12 * IFERROR(VLOOKUP("industry|SO2|Respiratory hospital admissions", US_national_yearly!$D:$AM, 25, FALSE) / VLOOKUP("industry|SO2|Respiratory hospital admissions", US_national_yearly!$D:$AM, 10, FALSE), 1)</f>
        <v>8.5179108454103885E-5</v>
      </c>
      <c r="R12" s="7">
        <f>$B12 * IFERROR(VLOOKUP("industry|SO2|Respiratory hospital admissions", US_national_yearly!$D:$AM, 26, FALSE) / VLOOKUP("industry|SO2|Respiratory hospital admissions", US_national_yearly!$D:$AM, 10, FALSE), 1)</f>
        <v>8.5535202323371259E-5</v>
      </c>
      <c r="S12" s="7">
        <f>$B12 * IFERROR(VLOOKUP("industry|SO2|Respiratory hospital admissions", US_national_yearly!$D:$AM, 27, FALSE) / VLOOKUP("industry|SO2|Respiratory hospital admissions", US_national_yearly!$D:$AM, 10, FALSE), 1)</f>
        <v>8.587361511448239E-5</v>
      </c>
      <c r="T12" s="7">
        <f>$B12 * IFERROR(VLOOKUP("industry|SO2|Respiratory hospital admissions", US_national_yearly!$D:$AM, 28, FALSE) / VLOOKUP("industry|SO2|Respiratory hospital admissions", US_national_yearly!$D:$AM, 10, FALSE), 1)</f>
        <v>8.6212027905593506E-5</v>
      </c>
      <c r="U12" s="7">
        <f>$B12 * IFERROR(VLOOKUP("industry|SO2|Respiratory hospital admissions", US_national_yearly!$D:$AM, 29, FALSE) / VLOOKUP("industry|SO2|Respiratory hospital admissions", US_national_yearly!$D:$AM, 10, FALSE), 1)</f>
        <v>8.6550440696704623E-5</v>
      </c>
      <c r="V12" s="7">
        <f>$B12 * IFERROR(VLOOKUP("industry|SO2|Respiratory hospital admissions", US_national_yearly!$D:$AM, 30, FALSE) / VLOOKUP("industry|SO2|Respiratory hospital admissions", US_national_yearly!$D:$AM, 10, FALSE), 1)</f>
        <v>8.6888853487815767E-5</v>
      </c>
      <c r="W12" s="7">
        <f>$B12 * IFERROR(VLOOKUP("industry|SO2|Respiratory hospital admissions", US_national_yearly!$D:$AM, 31, FALSE) / VLOOKUP("industry|SO2|Respiratory hospital admissions", US_national_yearly!$D:$AM, 10, FALSE), 1)</f>
        <v>8.7227266278926883E-5</v>
      </c>
      <c r="X12" s="7">
        <f>$B12 * IFERROR(VLOOKUP("industry|SO2|Respiratory hospital admissions", US_national_yearly!$D:$AM, 32, FALSE) / VLOOKUP("industry|SO2|Respiratory hospital admissions", US_national_yearly!$D:$AM, 10, FALSE), 1)</f>
        <v>8.7548628148964832E-5</v>
      </c>
      <c r="Y12" s="7">
        <f>$B12 * IFERROR(VLOOKUP("industry|SO2|Respiratory hospital admissions", US_national_yearly!$D:$AM, 33, FALSE) / VLOOKUP("industry|SO2|Respiratory hospital admissions", US_national_yearly!$D:$AM, 10, FALSE), 1)</f>
        <v>8.7869990019002794E-5</v>
      </c>
      <c r="Z12" s="7">
        <f>$B12 * IFERROR(VLOOKUP("industry|SO2|Respiratory hospital admissions", US_national_yearly!$D:$AM, 34, FALSE) / VLOOKUP("industry|SO2|Respiratory hospital admissions", US_national_yearly!$D:$AM, 10, FALSE), 1)</f>
        <v>8.8191351889040743E-5</v>
      </c>
      <c r="AA12" s="7">
        <f>$B12 * IFERROR(VLOOKUP("industry|SO2|Respiratory hospital admissions", US_national_yearly!$D:$AM, 35, FALSE) / VLOOKUP("industry|SO2|Respiratory hospital admissions", US_national_yearly!$D:$AM, 10, FALSE), 1)</f>
        <v>8.8512713759078692E-5</v>
      </c>
      <c r="AB12" s="7">
        <f>$B12 * IFERROR(VLOOKUP("industry|SO2|Respiratory hospital admissions", US_national_yearly!$D:$AM, 36, FALSE) / VLOOKUP("industry|SO2|Respiratory hospital admissions", US_national_yearly!$D:$AM, 10, FALSE), 1)</f>
        <v>8.8834075629116668E-5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4.6702091302727185E-4</v>
      </c>
      <c r="C13" s="7">
        <f>$B13 * IFERROR(VLOOKUP("industry|SO2|Non-fatal heart attacks", US_national_yearly!$D:$AM, 11, FALSE) / VLOOKUP("industry|SO2|Non-fatal heart attacks", US_national_yearly!$D:$AM, 10, FALSE), 1)</f>
        <v>4.8073089573543153E-4</v>
      </c>
      <c r="D13" s="7">
        <f>$B13 * IFERROR(VLOOKUP("industry|SO2|Non-fatal heart attacks", US_national_yearly!$D:$AM, 12, FALSE) / VLOOKUP("industry|SO2|Non-fatal heart attacks", US_national_yearly!$D:$AM, 10, FALSE), 1)</f>
        <v>4.9444087844359116E-4</v>
      </c>
      <c r="E13" s="7">
        <f>$B13 * IFERROR(VLOOKUP("industry|SO2|Non-fatal heart attacks", US_national_yearly!$D:$AM, 13, FALSE) / VLOOKUP("industry|SO2|Non-fatal heart attacks", US_national_yearly!$D:$AM, 10, FALSE), 1)</f>
        <v>5.0815086115175068E-4</v>
      </c>
      <c r="F13" s="7">
        <f>$B13 * IFERROR(VLOOKUP("industry|SO2|Non-fatal heart attacks", US_national_yearly!$D:$AM, 14, FALSE) / VLOOKUP("industry|SO2|Non-fatal heart attacks", US_national_yearly!$D:$AM, 10, FALSE), 1)</f>
        <v>5.2186084385991052E-4</v>
      </c>
      <c r="G13" s="7">
        <f>$B13 * IFERROR(VLOOKUP("industry|SO2|Non-fatal heart attacks", US_national_yearly!$D:$AM, 15, FALSE) / VLOOKUP("industry|SO2|Non-fatal heart attacks", US_national_yearly!$D:$AM, 10, FALSE), 1)</f>
        <v>5.3479922684787639E-4</v>
      </c>
      <c r="H13" s="7">
        <f>$B13 * IFERROR(VLOOKUP("industry|SO2|Non-fatal heart attacks", US_national_yearly!$D:$AM, 16, FALSE) / VLOOKUP("industry|SO2|Non-fatal heart attacks", US_national_yearly!$D:$AM, 10, FALSE), 1)</f>
        <v>5.4773760983584249E-4</v>
      </c>
      <c r="I13" s="7">
        <f>$B13 * IFERROR(VLOOKUP("industry|SO2|Non-fatal heart attacks", US_national_yearly!$D:$AM, 17, FALSE) / VLOOKUP("industry|SO2|Non-fatal heart attacks", US_national_yearly!$D:$AM, 10, FALSE), 1)</f>
        <v>5.5816818608121722E-4</v>
      </c>
      <c r="J13" s="7">
        <f>$B13 * IFERROR(VLOOKUP("industry|SO2|Non-fatal heart attacks", US_national_yearly!$D:$AM, 18, FALSE) / VLOOKUP("industry|SO2|Non-fatal heart attacks", US_national_yearly!$D:$AM, 10, FALSE), 1)</f>
        <v>5.6859876232659217E-4</v>
      </c>
      <c r="K13" s="7">
        <f>$B13 * IFERROR(VLOOKUP("industry|SO2|Non-fatal heart attacks", US_national_yearly!$D:$AM, 19, FALSE) / VLOOKUP("industry|SO2|Non-fatal heart attacks", US_national_yearly!$D:$AM, 10, FALSE), 1)</f>
        <v>5.7902933857196701E-4</v>
      </c>
      <c r="L13" s="7">
        <f>$B13 * IFERROR(VLOOKUP("industry|SO2|Non-fatal heart attacks", US_national_yearly!$D:$AM, 20, FALSE) / VLOOKUP("industry|SO2|Non-fatal heart attacks", US_national_yearly!$D:$AM, 10, FALSE), 1)</f>
        <v>5.8945991481734186E-4</v>
      </c>
      <c r="M13" s="7">
        <f>$B13 * IFERROR(VLOOKUP("industry|SO2|Non-fatal heart attacks", US_national_yearly!$D:$AM, 21, FALSE) / VLOOKUP("industry|SO2|Non-fatal heart attacks", US_national_yearly!$D:$AM, 10, FALSE), 1)</f>
        <v>5.998904910627167E-4</v>
      </c>
      <c r="N13" s="7">
        <f>$B13 * IFERROR(VLOOKUP("industry|SO2|Non-fatal heart attacks", US_national_yearly!$D:$AM, 22, FALSE) / VLOOKUP("industry|SO2|Non-fatal heart attacks", US_national_yearly!$D:$AM, 10, FALSE), 1)</f>
        <v>6.0666674909025278E-4</v>
      </c>
      <c r="O13" s="7">
        <f>$B13 * IFERROR(VLOOKUP("industry|SO2|Non-fatal heart attacks", US_national_yearly!$D:$AM, 23, FALSE) / VLOOKUP("industry|SO2|Non-fatal heart attacks", US_national_yearly!$D:$AM, 10, FALSE), 1)</f>
        <v>6.1344300711778908E-4</v>
      </c>
      <c r="P13" s="7">
        <f>$B13 * IFERROR(VLOOKUP("industry|SO2|Non-fatal heart attacks", US_national_yearly!$D:$AM, 24, FALSE) / VLOOKUP("industry|SO2|Non-fatal heart attacks", US_national_yearly!$D:$AM, 10, FALSE), 1)</f>
        <v>6.2021926514532505E-4</v>
      </c>
      <c r="Q13" s="7">
        <f>$B13 * IFERROR(VLOOKUP("industry|SO2|Non-fatal heart attacks", US_national_yearly!$D:$AM, 25, FALSE) / VLOOKUP("industry|SO2|Non-fatal heart attacks", US_national_yearly!$D:$AM, 10, FALSE), 1)</f>
        <v>6.2699552317286114E-4</v>
      </c>
      <c r="R13" s="7">
        <f>$B13 * IFERROR(VLOOKUP("industry|SO2|Non-fatal heart attacks", US_national_yearly!$D:$AM, 26, FALSE) / VLOOKUP("industry|SO2|Non-fatal heart attacks", US_national_yearly!$D:$AM, 10, FALSE), 1)</f>
        <v>6.3377178120039722E-4</v>
      </c>
      <c r="S13" s="7">
        <f>$B13 * IFERROR(VLOOKUP("industry|SO2|Non-fatal heart attacks", US_national_yearly!$D:$AM, 27, FALSE) / VLOOKUP("industry|SO2|Non-fatal heart attacks", US_national_yearly!$D:$AM, 10, FALSE), 1)</f>
        <v>6.373307715475604E-4</v>
      </c>
      <c r="T13" s="7">
        <f>$B13 * IFERROR(VLOOKUP("industry|SO2|Non-fatal heart attacks", US_national_yearly!$D:$AM, 28, FALSE) / VLOOKUP("industry|SO2|Non-fatal heart attacks", US_national_yearly!$D:$AM, 10, FALSE), 1)</f>
        <v>6.4088976189472359E-4</v>
      </c>
      <c r="U13" s="7">
        <f>$B13 * IFERROR(VLOOKUP("industry|SO2|Non-fatal heart attacks", US_national_yearly!$D:$AM, 29, FALSE) / VLOOKUP("industry|SO2|Non-fatal heart attacks", US_national_yearly!$D:$AM, 10, FALSE), 1)</f>
        <v>6.4444875224188678E-4</v>
      </c>
      <c r="V13" s="7">
        <f>$B13 * IFERROR(VLOOKUP("industry|SO2|Non-fatal heart attacks", US_national_yearly!$D:$AM, 30, FALSE) / VLOOKUP("industry|SO2|Non-fatal heart attacks", US_national_yearly!$D:$AM, 10, FALSE), 1)</f>
        <v>6.4800774258904985E-4</v>
      </c>
      <c r="W13" s="7">
        <f>$B13 * IFERROR(VLOOKUP("industry|SO2|Non-fatal heart attacks", US_national_yearly!$D:$AM, 31, FALSE) / VLOOKUP("industry|SO2|Non-fatal heart attacks", US_national_yearly!$D:$AM, 10, FALSE), 1)</f>
        <v>6.5156673293621304E-4</v>
      </c>
      <c r="X13" s="7">
        <f>$B13 * IFERROR(VLOOKUP("industry|SO2|Non-fatal heart attacks", US_national_yearly!$D:$AM, 32, FALSE) / VLOOKUP("industry|SO2|Non-fatal heart attacks", US_national_yearly!$D:$AM, 10, FALSE), 1)</f>
        <v>6.5426968340275015E-4</v>
      </c>
      <c r="Y13" s="7">
        <f>$B13 * IFERROR(VLOOKUP("industry|SO2|Non-fatal heart attacks", US_national_yearly!$D:$AM, 33, FALSE) / VLOOKUP("industry|SO2|Non-fatal heart attacks", US_national_yearly!$D:$AM, 10, FALSE), 1)</f>
        <v>6.5697263386928716E-4</v>
      </c>
      <c r="Z13" s="7">
        <f>$B13 * IFERROR(VLOOKUP("industry|SO2|Non-fatal heart attacks", US_national_yearly!$D:$AM, 34, FALSE) / VLOOKUP("industry|SO2|Non-fatal heart attacks", US_national_yearly!$D:$AM, 10, FALSE), 1)</f>
        <v>6.5967558433582428E-4</v>
      </c>
      <c r="AA13" s="7">
        <f>$B13 * IFERROR(VLOOKUP("industry|SO2|Non-fatal heart attacks", US_national_yearly!$D:$AM, 35, FALSE) / VLOOKUP("industry|SO2|Non-fatal heart attacks", US_national_yearly!$D:$AM, 10, FALSE), 1)</f>
        <v>6.6237853480236139E-4</v>
      </c>
      <c r="AB13" s="7">
        <f>$B13 * IFERROR(VLOOKUP("industry|SO2|Non-fatal heart attacks", US_national_yearly!$D:$AM, 36, FALSE) / VLOOKUP("industry|SO2|Non-fatal heart attacks", US_national_yearly!$D:$AM, 10, FALSE), 1)</f>
        <v>6.6508148526889851E-4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0.31593390138560773</v>
      </c>
      <c r="C14" s="7">
        <f>$B14 * IFERROR(VLOOKUP("industry|SO2|Minor restricted activity days", US_national_yearly!$D:$AM, 11, FALSE) / VLOOKUP("industry|SO2|Minor restricted activity days", US_national_yearly!$D:$AM, 10, FALSE), 1)</f>
        <v>0.31672417498572214</v>
      </c>
      <c r="D14" s="7">
        <f>$B14 * IFERROR(VLOOKUP("industry|SO2|Minor restricted activity days", US_national_yearly!$D:$AM, 12, FALSE) / VLOOKUP("industry|SO2|Minor restricted activity days", US_national_yearly!$D:$AM, 10, FALSE), 1)</f>
        <v>0.31751444858583655</v>
      </c>
      <c r="E14" s="7">
        <f>$B14 * IFERROR(VLOOKUP("industry|SO2|Minor restricted activity days", US_national_yearly!$D:$AM, 13, FALSE) / VLOOKUP("industry|SO2|Minor restricted activity days", US_national_yearly!$D:$AM, 10, FALSE), 1)</f>
        <v>0.31830472218595096</v>
      </c>
      <c r="F14" s="7">
        <f>$B14 * IFERROR(VLOOKUP("industry|SO2|Minor restricted activity days", US_national_yearly!$D:$AM, 14, FALSE) / VLOOKUP("industry|SO2|Minor restricted activity days", US_national_yearly!$D:$AM, 10, FALSE), 1)</f>
        <v>0.31909499578606537</v>
      </c>
      <c r="G14" s="7">
        <f>$B14 * IFERROR(VLOOKUP("industry|SO2|Minor restricted activity days", US_national_yearly!$D:$AM, 15, FALSE) / VLOOKUP("industry|SO2|Minor restricted activity days", US_national_yearly!$D:$AM, 10, FALSE), 1)</f>
        <v>0.32025756355486074</v>
      </c>
      <c r="H14" s="7">
        <f>$B14 * IFERROR(VLOOKUP("industry|SO2|Minor restricted activity days", US_national_yearly!$D:$AM, 16, FALSE) / VLOOKUP("industry|SO2|Minor restricted activity days", US_national_yearly!$D:$AM, 10, FALSE), 1)</f>
        <v>0.32142013132365599</v>
      </c>
      <c r="I14" s="7">
        <f>$B14 * IFERROR(VLOOKUP("industry|SO2|Minor restricted activity days", US_national_yearly!$D:$AM, 17, FALSE) / VLOOKUP("industry|SO2|Minor restricted activity days", US_national_yearly!$D:$AM, 10, FALSE), 1)</f>
        <v>0.32340266101968845</v>
      </c>
      <c r="J14" s="7">
        <f>$B14 * IFERROR(VLOOKUP("industry|SO2|Minor restricted activity days", US_national_yearly!$D:$AM, 18, FALSE) / VLOOKUP("industry|SO2|Minor restricted activity days", US_national_yearly!$D:$AM, 10, FALSE), 1)</f>
        <v>0.32538519071572097</v>
      </c>
      <c r="K14" s="7">
        <f>$B14 * IFERROR(VLOOKUP("industry|SO2|Minor restricted activity days", US_national_yearly!$D:$AM, 19, FALSE) / VLOOKUP("industry|SO2|Minor restricted activity days", US_national_yearly!$D:$AM, 10, FALSE), 1)</f>
        <v>0.32736772041175344</v>
      </c>
      <c r="L14" s="7">
        <f>$B14 * IFERROR(VLOOKUP("industry|SO2|Minor restricted activity days", US_national_yearly!$D:$AM, 20, FALSE) / VLOOKUP("industry|SO2|Minor restricted activity days", US_national_yearly!$D:$AM, 10, FALSE), 1)</f>
        <v>0.3293502501077859</v>
      </c>
      <c r="M14" s="7">
        <f>$B14 * IFERROR(VLOOKUP("industry|SO2|Minor restricted activity days", US_national_yearly!$D:$AM, 21, FALSE) / VLOOKUP("industry|SO2|Minor restricted activity days", US_national_yearly!$D:$AM, 10, FALSE), 1)</f>
        <v>0.33133277980381837</v>
      </c>
      <c r="N14" s="7">
        <f>$B14 * IFERROR(VLOOKUP("industry|SO2|Minor restricted activity days", US_national_yearly!$D:$AM, 22, FALSE) / VLOOKUP("industry|SO2|Minor restricted activity days", US_national_yearly!$D:$AM, 10, FALSE), 1)</f>
        <v>0.33405106645041066</v>
      </c>
      <c r="O14" s="7">
        <f>$B14 * IFERROR(VLOOKUP("industry|SO2|Minor restricted activity days", US_national_yearly!$D:$AM, 23, FALSE) / VLOOKUP("industry|SO2|Minor restricted activity days", US_national_yearly!$D:$AM, 10, FALSE), 1)</f>
        <v>0.3367693530970029</v>
      </c>
      <c r="P14" s="7">
        <f>$B14 * IFERROR(VLOOKUP("industry|SO2|Minor restricted activity days", US_national_yearly!$D:$AM, 24, FALSE) / VLOOKUP("industry|SO2|Minor restricted activity days", US_national_yearly!$D:$AM, 10, FALSE), 1)</f>
        <v>0.33948763974359519</v>
      </c>
      <c r="Q14" s="7">
        <f>$B14 * IFERROR(VLOOKUP("industry|SO2|Minor restricted activity days", US_national_yearly!$D:$AM, 25, FALSE) / VLOOKUP("industry|SO2|Minor restricted activity days", US_national_yearly!$D:$AM, 10, FALSE), 1)</f>
        <v>0.34220592639018754</v>
      </c>
      <c r="R14" s="7">
        <f>$B14 * IFERROR(VLOOKUP("industry|SO2|Minor restricted activity days", US_national_yearly!$D:$AM, 26, FALSE) / VLOOKUP("industry|SO2|Minor restricted activity days", US_national_yearly!$D:$AM, 10, FALSE), 1)</f>
        <v>0.34492421303677984</v>
      </c>
      <c r="S14" s="7">
        <f>$B14 * IFERROR(VLOOKUP("industry|SO2|Minor restricted activity days", US_national_yearly!$D:$AM, 27, FALSE) / VLOOKUP("industry|SO2|Minor restricted activity days", US_national_yearly!$D:$AM, 10, FALSE), 1)</f>
        <v>0.34769844409385009</v>
      </c>
      <c r="T14" s="7">
        <f>$B14 * IFERROR(VLOOKUP("industry|SO2|Minor restricted activity days", US_national_yearly!$D:$AM, 28, FALSE) / VLOOKUP("industry|SO2|Minor restricted activity days", US_national_yearly!$D:$AM, 10, FALSE), 1)</f>
        <v>0.3504726751509204</v>
      </c>
      <c r="U14" s="7">
        <f>$B14 * IFERROR(VLOOKUP("industry|SO2|Minor restricted activity days", US_national_yearly!$D:$AM, 29, FALSE) / VLOOKUP("industry|SO2|Minor restricted activity days", US_national_yearly!$D:$AM, 10, FALSE), 1)</f>
        <v>0.35324690620799065</v>
      </c>
      <c r="V14" s="7">
        <f>$B14 * IFERROR(VLOOKUP("industry|SO2|Minor restricted activity days", US_national_yearly!$D:$AM, 30, FALSE) / VLOOKUP("industry|SO2|Minor restricted activity days", US_national_yearly!$D:$AM, 10, FALSE), 1)</f>
        <v>0.35602113726506096</v>
      </c>
      <c r="W14" s="7">
        <f>$B14 * IFERROR(VLOOKUP("industry|SO2|Minor restricted activity days", US_national_yearly!$D:$AM, 31, FALSE) / VLOOKUP("industry|SO2|Minor restricted activity days", US_national_yearly!$D:$AM, 10, FALSE), 1)</f>
        <v>0.35879536832213121</v>
      </c>
      <c r="X14" s="7">
        <f>$B14 * IFERROR(VLOOKUP("industry|SO2|Minor restricted activity days", US_national_yearly!$D:$AM, 32, FALSE) / VLOOKUP("industry|SO2|Minor restricted activity days", US_national_yearly!$D:$AM, 10, FALSE), 1)</f>
        <v>0.3612347277947921</v>
      </c>
      <c r="Y14" s="7">
        <f>$B14 * IFERROR(VLOOKUP("industry|SO2|Minor restricted activity days", US_national_yearly!$D:$AM, 33, FALSE) / VLOOKUP("industry|SO2|Minor restricted activity days", US_national_yearly!$D:$AM, 10, FALSE), 1)</f>
        <v>0.36367408726745298</v>
      </c>
      <c r="Z14" s="7">
        <f>$B14 * IFERROR(VLOOKUP("industry|SO2|Minor restricted activity days", US_national_yearly!$D:$AM, 34, FALSE) / VLOOKUP("industry|SO2|Minor restricted activity days", US_national_yearly!$D:$AM, 10, FALSE), 1)</f>
        <v>0.36611344674011381</v>
      </c>
      <c r="AA14" s="7">
        <f>$B14 * IFERROR(VLOOKUP("industry|SO2|Minor restricted activity days", US_national_yearly!$D:$AM, 35, FALSE) / VLOOKUP("industry|SO2|Minor restricted activity days", US_national_yearly!$D:$AM, 10, FALSE), 1)</f>
        <v>0.36855280621277464</v>
      </c>
      <c r="AB14" s="7">
        <f>$B14 * IFERROR(VLOOKUP("industry|SO2|Minor restricted activity days", US_national_yearly!$D:$AM, 36, FALSE) / VLOOKUP("industry|SO2|Minor restricted activity days", US_national_yearly!$D:$AM, 10, FALSE), 1)</f>
        <v>0.37099216568543558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5.3332776603525388E-2</v>
      </c>
      <c r="C15" s="7">
        <f>$B15 * IFERROR(VLOOKUP("industry|SO2|Work loss days", US_national_yearly!$D:$AM, 11, FALSE) / VLOOKUP("industry|SO2|Work loss days", US_national_yearly!$D:$AM, 10, FALSE), 1)</f>
        <v>5.3504288787712122E-2</v>
      </c>
      <c r="D15" s="7">
        <f>$B15 * IFERROR(VLOOKUP("industry|SO2|Work loss days", US_national_yearly!$D:$AM, 12, FALSE) / VLOOKUP("industry|SO2|Work loss days", US_national_yearly!$D:$AM, 10, FALSE), 1)</f>
        <v>5.3675800971898883E-2</v>
      </c>
      <c r="E15" s="7">
        <f>$B15 * IFERROR(VLOOKUP("industry|SO2|Work loss days", US_national_yearly!$D:$AM, 13, FALSE) / VLOOKUP("industry|SO2|Work loss days", US_national_yearly!$D:$AM, 10, FALSE), 1)</f>
        <v>5.3847313156085617E-2</v>
      </c>
      <c r="F15" s="7">
        <f>$B15 * IFERROR(VLOOKUP("industry|SO2|Work loss days", US_national_yearly!$D:$AM, 14, FALSE) / VLOOKUP("industry|SO2|Work loss days", US_national_yearly!$D:$AM, 10, FALSE), 1)</f>
        <v>5.4018825340272372E-2</v>
      </c>
      <c r="G15" s="7">
        <f>$B15 * IFERROR(VLOOKUP("industry|SO2|Work loss days", US_national_yearly!$D:$AM, 15, FALSE) / VLOOKUP("industry|SO2|Work loss days", US_national_yearly!$D:$AM, 10, FALSE), 1)</f>
        <v>5.4242695089781523E-2</v>
      </c>
      <c r="H15" s="7">
        <f>$B15 * IFERROR(VLOOKUP("industry|SO2|Work loss days", US_national_yearly!$D:$AM, 16, FALSE) / VLOOKUP("industry|SO2|Work loss days", US_national_yearly!$D:$AM, 10, FALSE), 1)</f>
        <v>5.4466564839290688E-2</v>
      </c>
      <c r="I15" s="7">
        <f>$B15 * IFERROR(VLOOKUP("industry|SO2|Work loss days", US_national_yearly!$D:$AM, 17, FALSE) / VLOOKUP("industry|SO2|Work loss days", US_national_yearly!$D:$AM, 10, FALSE), 1)</f>
        <v>5.4793799329741134E-2</v>
      </c>
      <c r="J15" s="7">
        <f>$B15 * IFERROR(VLOOKUP("industry|SO2|Work loss days", US_national_yearly!$D:$AM, 18, FALSE) / VLOOKUP("industry|SO2|Work loss days", US_national_yearly!$D:$AM, 10, FALSE), 1)</f>
        <v>5.5121033820191574E-2</v>
      </c>
      <c r="K15" s="7">
        <f>$B15 * IFERROR(VLOOKUP("industry|SO2|Work loss days", US_national_yearly!$D:$AM, 19, FALSE) / VLOOKUP("industry|SO2|Work loss days", US_national_yearly!$D:$AM, 10, FALSE), 1)</f>
        <v>5.5448268310642007E-2</v>
      </c>
      <c r="L15" s="7">
        <f>$B15 * IFERROR(VLOOKUP("industry|SO2|Work loss days", US_national_yearly!$D:$AM, 20, FALSE) / VLOOKUP("industry|SO2|Work loss days", US_national_yearly!$D:$AM, 10, FALSE), 1)</f>
        <v>5.5775502801092461E-2</v>
      </c>
      <c r="M15" s="7">
        <f>$B15 * IFERROR(VLOOKUP("industry|SO2|Work loss days", US_national_yearly!$D:$AM, 21, FALSE) / VLOOKUP("industry|SO2|Work loss days", US_national_yearly!$D:$AM, 10, FALSE), 1)</f>
        <v>5.6102737291542894E-2</v>
      </c>
      <c r="N15" s="7">
        <f>$B15 * IFERROR(VLOOKUP("industry|SO2|Work loss days", US_national_yearly!$D:$AM, 22, FALSE) / VLOOKUP("industry|SO2|Work loss days", US_national_yearly!$D:$AM, 10, FALSE), 1)</f>
        <v>5.6514022870795801E-2</v>
      </c>
      <c r="O15" s="7">
        <f>$B15 * IFERROR(VLOOKUP("industry|SO2|Work loss days", US_national_yearly!$D:$AM, 23, FALSE) / VLOOKUP("industry|SO2|Work loss days", US_national_yearly!$D:$AM, 10, FALSE), 1)</f>
        <v>5.6925308450048707E-2</v>
      </c>
      <c r="P15" s="7">
        <f>$B15 * IFERROR(VLOOKUP("industry|SO2|Work loss days", US_national_yearly!$D:$AM, 24, FALSE) / VLOOKUP("industry|SO2|Work loss days", US_national_yearly!$D:$AM, 10, FALSE), 1)</f>
        <v>5.7336594029301614E-2</v>
      </c>
      <c r="Q15" s="7">
        <f>$B15 * IFERROR(VLOOKUP("industry|SO2|Work loss days", US_national_yearly!$D:$AM, 25, FALSE) / VLOOKUP("industry|SO2|Work loss days", US_national_yearly!$D:$AM, 10, FALSE), 1)</f>
        <v>5.7747879608554521E-2</v>
      </c>
      <c r="R15" s="7">
        <f>$B15 * IFERROR(VLOOKUP("industry|SO2|Work loss days", US_national_yearly!$D:$AM, 26, FALSE) / VLOOKUP("industry|SO2|Work loss days", US_national_yearly!$D:$AM, 10, FALSE), 1)</f>
        <v>5.8159165187807428E-2</v>
      </c>
      <c r="S15" s="7">
        <f>$B15 * IFERROR(VLOOKUP("industry|SO2|Work loss days", US_national_yearly!$D:$AM, 27, FALSE) / VLOOKUP("industry|SO2|Work loss days", US_national_yearly!$D:$AM, 10, FALSE), 1)</f>
        <v>5.8619376800835329E-2</v>
      </c>
      <c r="T15" s="7">
        <f>$B15 * IFERROR(VLOOKUP("industry|SO2|Work loss days", US_national_yearly!$D:$AM, 28, FALSE) / VLOOKUP("industry|SO2|Work loss days", US_national_yearly!$D:$AM, 10, FALSE), 1)</f>
        <v>5.9079588413863245E-2</v>
      </c>
      <c r="U15" s="7">
        <f>$B15 * IFERROR(VLOOKUP("industry|SO2|Work loss days", US_national_yearly!$D:$AM, 29, FALSE) / VLOOKUP("industry|SO2|Work loss days", US_national_yearly!$D:$AM, 10, FALSE), 1)</f>
        <v>5.9539800026891174E-2</v>
      </c>
      <c r="V15" s="7">
        <f>$B15 * IFERROR(VLOOKUP("industry|SO2|Work loss days", US_national_yearly!$D:$AM, 30, FALSE) / VLOOKUP("industry|SO2|Work loss days", US_national_yearly!$D:$AM, 10, FALSE), 1)</f>
        <v>6.0000011639919075E-2</v>
      </c>
      <c r="W15" s="7">
        <f>$B15 * IFERROR(VLOOKUP("industry|SO2|Work loss days", US_national_yearly!$D:$AM, 31, FALSE) / VLOOKUP("industry|SO2|Work loss days", US_national_yearly!$D:$AM, 10, FALSE), 1)</f>
        <v>6.046022325294699E-2</v>
      </c>
      <c r="X15" s="7">
        <f>$B15 * IFERROR(VLOOKUP("industry|SO2|Work loss days", US_national_yearly!$D:$AM, 32, FALSE) / VLOOKUP("industry|SO2|Work loss days", US_national_yearly!$D:$AM, 10, FALSE), 1)</f>
        <v>6.087357284911387E-2</v>
      </c>
      <c r="Y15" s="7">
        <f>$B15 * IFERROR(VLOOKUP("industry|SO2|Work loss days", US_national_yearly!$D:$AM, 33, FALSE) / VLOOKUP("industry|SO2|Work loss days", US_national_yearly!$D:$AM, 10, FALSE), 1)</f>
        <v>6.1286922445280757E-2</v>
      </c>
      <c r="Z15" s="7">
        <f>$B15 * IFERROR(VLOOKUP("industry|SO2|Work loss days", US_national_yearly!$D:$AM, 34, FALSE) / VLOOKUP("industry|SO2|Work loss days", US_national_yearly!$D:$AM, 10, FALSE), 1)</f>
        <v>6.1700272041447624E-2</v>
      </c>
      <c r="AA15" s="7">
        <f>$B15 * IFERROR(VLOOKUP("industry|SO2|Work loss days", US_national_yearly!$D:$AM, 35, FALSE) / VLOOKUP("industry|SO2|Work loss days", US_national_yearly!$D:$AM, 10, FALSE), 1)</f>
        <v>6.2113621637614511E-2</v>
      </c>
      <c r="AB15" s="7">
        <f>$B15 * IFERROR(VLOOKUP("industry|SO2|Work loss days", US_national_yearly!$D:$AM, 36, FALSE) / VLOOKUP("industry|SO2|Work loss days", US_national_yearly!$D:$AM, 10, FALSE), 1)</f>
        <v>6.2526971233781398E-2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1.1752931954549753E-4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1.2108307667693277E-4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1.2463683380836802E-4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1.2819059093980328E-4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1.3174434807123854E-4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1.3515012921099691E-4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1.3855591035075529E-4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1.4147818982730115E-4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1.4440046930384705E-4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1.4732274878039294E-4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1.502450282569388E-4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1.5316730773348467E-4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1.5513065349321501E-4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1.5709399925294536E-4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1.5905734501267567E-4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1.6102069077240599E-4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1.6298403653213634E-4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1.6402217765409065E-4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1.6506031877604503E-4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1.6609845989799934E-4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1.6713660101995372E-4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1.6817474214190801E-4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1.6887680079030027E-4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1.6957885943869248E-4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1.7028091808708474E-4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1.7098297673547697E-4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1.7168503538386918E-4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7.8497541275448124E-4</v>
      </c>
      <c r="C2" s="7">
        <f>$B2 * IFERROR(VLOOKUP("LULUCF|PM25|Premature mortality", US_national_yearly!$D:$AM, 11, FALSE) / VLOOKUP("LULUCF|PM25|Premature mortality", US_national_yearly!$D:$AM, 10, FALSE), 1)</f>
        <v>7.9470738760990432E-4</v>
      </c>
      <c r="D2" s="7">
        <f>$B2 * IFERROR(VLOOKUP("LULUCF|PM25|Premature mortality", US_national_yearly!$D:$AM, 12, FALSE) / VLOOKUP("LULUCF|PM25|Premature mortality", US_national_yearly!$D:$AM, 10, FALSE), 1)</f>
        <v>8.0443936246532718E-4</v>
      </c>
      <c r="E2" s="7">
        <f>$B2 * IFERROR(VLOOKUP("LULUCF|PM25|Premature mortality", US_national_yearly!$D:$AM, 13, FALSE) / VLOOKUP("LULUCF|PM25|Premature mortality", US_national_yearly!$D:$AM, 10, FALSE), 1)</f>
        <v>8.1417133732075004E-4</v>
      </c>
      <c r="F2" s="7">
        <f>$B2 * IFERROR(VLOOKUP("LULUCF|PM25|Premature mortality", US_national_yearly!$D:$AM, 14, FALSE) / VLOOKUP("LULUCF|PM25|Premature mortality", US_national_yearly!$D:$AM, 10, FALSE), 1)</f>
        <v>8.2390331217617289E-4</v>
      </c>
      <c r="G2" s="7">
        <f>$B2 * IFERROR(VLOOKUP("LULUCF|PM25|Premature mortality", US_national_yearly!$D:$AM, 15, FALSE) / VLOOKUP("LULUCF|PM25|Premature mortality", US_national_yearly!$D:$AM, 10, FALSE), 1)</f>
        <v>8.428562598102921E-4</v>
      </c>
      <c r="H2" s="7">
        <f>$B2 * IFERROR(VLOOKUP("LULUCF|PM25|Premature mortality", US_national_yearly!$D:$AM, 16, FALSE) / VLOOKUP("LULUCF|PM25|Premature mortality", US_national_yearly!$D:$AM, 10, FALSE), 1)</f>
        <v>8.6180920744441131E-4</v>
      </c>
      <c r="I2" s="7">
        <f>$B2 * IFERROR(VLOOKUP("LULUCF|PM25|Premature mortality", US_national_yearly!$D:$AM, 17, FALSE) / VLOOKUP("LULUCF|PM25|Premature mortality", US_national_yearly!$D:$AM, 10, FALSE), 1)</f>
        <v>8.7425830127739826E-4</v>
      </c>
      <c r="J2" s="7">
        <f>$B2 * IFERROR(VLOOKUP("LULUCF|PM25|Premature mortality", US_national_yearly!$D:$AM, 18, FALSE) / VLOOKUP("LULUCF|PM25|Premature mortality", US_national_yearly!$D:$AM, 10, FALSE), 1)</f>
        <v>8.8670739511038563E-4</v>
      </c>
      <c r="K2" s="7">
        <f>$B2 * IFERROR(VLOOKUP("LULUCF|PM25|Premature mortality", US_national_yearly!$D:$AM, 19, FALSE) / VLOOKUP("LULUCF|PM25|Premature mortality", US_national_yearly!$D:$AM, 10, FALSE), 1)</f>
        <v>8.9915648894337279E-4</v>
      </c>
      <c r="L2" s="7">
        <f>$B2 * IFERROR(VLOOKUP("LULUCF|PM25|Premature mortality", US_national_yearly!$D:$AM, 20, FALSE) / VLOOKUP("LULUCF|PM25|Premature mortality", US_national_yearly!$D:$AM, 10, FALSE), 1)</f>
        <v>9.1160558277636006E-4</v>
      </c>
      <c r="M2" s="7">
        <f>$B2 * IFERROR(VLOOKUP("LULUCF|PM25|Premature mortality", US_national_yearly!$D:$AM, 21, FALSE) / VLOOKUP("LULUCF|PM25|Premature mortality", US_national_yearly!$D:$AM, 10, FALSE), 1)</f>
        <v>9.2405467660934722E-4</v>
      </c>
      <c r="N2" s="7">
        <f>$B2 * IFERROR(VLOOKUP("LULUCF|PM25|Premature mortality", US_national_yearly!$D:$AM, 22, FALSE) / VLOOKUP("LULUCF|PM25|Premature mortality", US_national_yearly!$D:$AM, 10, FALSE), 1)</f>
        <v>9.3372060566004325E-4</v>
      </c>
      <c r="O2" s="7">
        <f>$B2 * IFERROR(VLOOKUP("LULUCF|PM25|Premature mortality", US_national_yearly!$D:$AM, 23, FALSE) / VLOOKUP("LULUCF|PM25|Premature mortality", US_national_yearly!$D:$AM, 10, FALSE), 1)</f>
        <v>9.4338653471073928E-4</v>
      </c>
      <c r="P2" s="7">
        <f>$B2 * IFERROR(VLOOKUP("LULUCF|PM25|Premature mortality", US_national_yearly!$D:$AM, 24, FALSE) / VLOOKUP("LULUCF|PM25|Premature mortality", US_national_yearly!$D:$AM, 10, FALSE), 1)</f>
        <v>9.5305246376143531E-4</v>
      </c>
      <c r="Q2" s="7">
        <f>$B2 * IFERROR(VLOOKUP("LULUCF|PM25|Premature mortality", US_national_yearly!$D:$AM, 25, FALSE) / VLOOKUP("LULUCF|PM25|Premature mortality", US_national_yearly!$D:$AM, 10, FALSE), 1)</f>
        <v>9.6271839281213134E-4</v>
      </c>
      <c r="R2" s="7">
        <f>$B2 * IFERROR(VLOOKUP("LULUCF|PM25|Premature mortality", US_national_yearly!$D:$AM, 26, FALSE) / VLOOKUP("LULUCF|PM25|Premature mortality", US_national_yearly!$D:$AM, 10, FALSE), 1)</f>
        <v>9.7238432186282748E-4</v>
      </c>
      <c r="S2" s="7">
        <f>$B2 * IFERROR(VLOOKUP("LULUCF|PM25|Premature mortality", US_national_yearly!$D:$AM, 27, FALSE) / VLOOKUP("LULUCF|PM25|Premature mortality", US_national_yearly!$D:$AM, 10, FALSE), 1)</f>
        <v>9.7750504388956216E-4</v>
      </c>
      <c r="T2" s="7">
        <f>$B2 * IFERROR(VLOOKUP("LULUCF|PM25|Premature mortality", US_national_yearly!$D:$AM, 28, FALSE) / VLOOKUP("LULUCF|PM25|Premature mortality", US_national_yearly!$D:$AM, 10, FALSE), 1)</f>
        <v>9.8262576591629652E-4</v>
      </c>
      <c r="U2" s="7">
        <f>$B2 * IFERROR(VLOOKUP("LULUCF|PM25|Premature mortality", US_national_yearly!$D:$AM, 29, FALSE) / VLOOKUP("LULUCF|PM25|Premature mortality", US_national_yearly!$D:$AM, 10, FALSE), 1)</f>
        <v>9.877464879430311E-4</v>
      </c>
      <c r="V2" s="7">
        <f>$B2 * IFERROR(VLOOKUP("LULUCF|PM25|Premature mortality", US_national_yearly!$D:$AM, 30, FALSE) / VLOOKUP("LULUCF|PM25|Premature mortality", US_national_yearly!$D:$AM, 10, FALSE), 1)</f>
        <v>9.9286720996976546E-4</v>
      </c>
      <c r="W2" s="7">
        <f>$B2 * IFERROR(VLOOKUP("LULUCF|PM25|Premature mortality", US_national_yearly!$D:$AM, 31, FALSE) / VLOOKUP("LULUCF|PM25|Premature mortality", US_national_yearly!$D:$AM, 10, FALSE), 1)</f>
        <v>9.9798793199650003E-4</v>
      </c>
      <c r="X2" s="7">
        <f>$B2 * IFERROR(VLOOKUP("LULUCF|PM25|Premature mortality", US_national_yearly!$D:$AM, 32, FALSE) / VLOOKUP("LULUCF|PM25|Premature mortality", US_national_yearly!$D:$AM, 10, FALSE), 1)</f>
        <v>9.9888332985440345E-4</v>
      </c>
      <c r="Y2" s="7">
        <f>$B2 * IFERROR(VLOOKUP("LULUCF|PM25|Premature mortality", US_national_yearly!$D:$AM, 33, FALSE) / VLOOKUP("LULUCF|PM25|Premature mortality", US_national_yearly!$D:$AM, 10, FALSE), 1)</f>
        <v>9.9977872771230708E-4</v>
      </c>
      <c r="Z2" s="7">
        <f>$B2 * IFERROR(VLOOKUP("LULUCF|PM25|Premature mortality", US_national_yearly!$D:$AM, 34, FALSE) / VLOOKUP("LULUCF|PM25|Premature mortality", US_national_yearly!$D:$AM, 10, FALSE), 1)</f>
        <v>1.0006741255702105E-3</v>
      </c>
      <c r="AA2" s="7">
        <f>$B2 * IFERROR(VLOOKUP("LULUCF|PM25|Premature mortality", US_national_yearly!$D:$AM, 35, FALSE) / VLOOKUP("LULUCF|PM25|Premature mortality", US_national_yearly!$D:$AM, 10, FALSE), 1)</f>
        <v>1.0015695234281141E-3</v>
      </c>
      <c r="AB2" s="7">
        <f>$B2 * IFERROR(VLOOKUP("LULUCF|PM25|Premature mortality", US_national_yearly!$D:$AM, 36, FALSE) / VLOOKUP("LULUCF|PM25|Premature mortality", US_national_yearly!$D:$AM, 10, FALSE), 1)</f>
        <v>1.0024649212860177E-3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2.0544105185206148E-6</v>
      </c>
      <c r="C3" s="7">
        <f>$B3 * IFERROR(VLOOKUP("LULUCF|PM25|Infant mortality", US_national_yearly!$D:$AM, 11, FALSE) / VLOOKUP("LULUCF|PM25|Infant mortality", US_national_yearly!$D:$AM, 10, FALSE), 1)</f>
        <v>2.0364979334620754E-6</v>
      </c>
      <c r="D3" s="7">
        <f>$B3 * IFERROR(VLOOKUP("LULUCF|PM25|Infant mortality", US_national_yearly!$D:$AM, 12, FALSE) / VLOOKUP("LULUCF|PM25|Infant mortality", US_national_yearly!$D:$AM, 10, FALSE), 1)</f>
        <v>2.0185853484035361E-6</v>
      </c>
      <c r="E3" s="7">
        <f>$B3 * IFERROR(VLOOKUP("LULUCF|PM25|Infant mortality", US_national_yearly!$D:$AM, 13, FALSE) / VLOOKUP("LULUCF|PM25|Infant mortality", US_national_yearly!$D:$AM, 10, FALSE), 1)</f>
        <v>2.0006727633449967E-6</v>
      </c>
      <c r="F3" s="7">
        <f>$B3 * IFERROR(VLOOKUP("LULUCF|PM25|Infant mortality", US_national_yearly!$D:$AM, 14, FALSE) / VLOOKUP("LULUCF|PM25|Infant mortality", US_national_yearly!$D:$AM, 10, FALSE), 1)</f>
        <v>1.9827601782864569E-6</v>
      </c>
      <c r="G3" s="7">
        <f>$B3 * IFERROR(VLOOKUP("LULUCF|PM25|Infant mortality", US_national_yearly!$D:$AM, 15, FALSE) / VLOOKUP("LULUCF|PM25|Infant mortality", US_national_yearly!$D:$AM, 10, FALSE), 1)</f>
        <v>1.3186415802808757E-6</v>
      </c>
      <c r="H3" s="7">
        <f>$B3 * IFERROR(VLOOKUP("LULUCF|PM25|Infant mortality", US_national_yearly!$D:$AM, 16, FALSE) / VLOOKUP("LULUCF|PM25|Infant mortality", US_national_yearly!$D:$AM, 10, FALSE), 1)</f>
        <v>6.5452298227529416E-7</v>
      </c>
      <c r="I3" s="7">
        <f>$B3 * IFERROR(VLOOKUP("LULUCF|PM25|Infant mortality", US_national_yearly!$D:$AM, 17, FALSE) / VLOOKUP("LULUCF|PM25|Infant mortality", US_national_yearly!$D:$AM, 10, FALSE), 1)</f>
        <v>6.5024459341057764E-7</v>
      </c>
      <c r="J3" s="7">
        <f>$B3 * IFERROR(VLOOKUP("LULUCF|PM25|Infant mortality", US_national_yearly!$D:$AM, 18, FALSE) / VLOOKUP("LULUCF|PM25|Infant mortality", US_national_yearly!$D:$AM, 10, FALSE), 1)</f>
        <v>6.4596620454586112E-7</v>
      </c>
      <c r="K3" s="7">
        <f>$B3 * IFERROR(VLOOKUP("LULUCF|PM25|Infant mortality", US_national_yearly!$D:$AM, 19, FALSE) / VLOOKUP("LULUCF|PM25|Infant mortality", US_national_yearly!$D:$AM, 10, FALSE), 1)</f>
        <v>6.416878156811446E-7</v>
      </c>
      <c r="L3" s="7">
        <f>$B3 * IFERROR(VLOOKUP("LULUCF|PM25|Infant mortality", US_national_yearly!$D:$AM, 20, FALSE) / VLOOKUP("LULUCF|PM25|Infant mortality", US_national_yearly!$D:$AM, 10, FALSE), 1)</f>
        <v>6.3740942681642808E-7</v>
      </c>
      <c r="M3" s="7">
        <f>$B3 * IFERROR(VLOOKUP("LULUCF|PM25|Infant mortality", US_national_yearly!$D:$AM, 21, FALSE) / VLOOKUP("LULUCF|PM25|Infant mortality", US_national_yearly!$D:$AM, 10, FALSE), 1)</f>
        <v>6.3313103795171167E-7</v>
      </c>
      <c r="N3" s="7">
        <f>$B3 * IFERROR(VLOOKUP("LULUCF|PM25|Infant mortality", US_national_yearly!$D:$AM, 22, FALSE) / VLOOKUP("LULUCF|PM25|Infant mortality", US_national_yearly!$D:$AM, 10, FALSE), 1)</f>
        <v>6.3044373608076223E-7</v>
      </c>
      <c r="O3" s="7">
        <f>$B3 * IFERROR(VLOOKUP("LULUCF|PM25|Infant mortality", US_national_yearly!$D:$AM, 23, FALSE) / VLOOKUP("LULUCF|PM25|Infant mortality", US_national_yearly!$D:$AM, 10, FALSE), 1)</f>
        <v>6.2775643420981291E-7</v>
      </c>
      <c r="P3" s="7">
        <f>$B3 * IFERROR(VLOOKUP("LULUCF|PM25|Infant mortality", US_national_yearly!$D:$AM, 24, FALSE) / VLOOKUP("LULUCF|PM25|Infant mortality", US_national_yearly!$D:$AM, 10, FALSE), 1)</f>
        <v>6.2506913233886336E-7</v>
      </c>
      <c r="Q3" s="7">
        <f>$B3 * IFERROR(VLOOKUP("LULUCF|PM25|Infant mortality", US_national_yearly!$D:$AM, 25, FALSE) / VLOOKUP("LULUCF|PM25|Infant mortality", US_national_yearly!$D:$AM, 10, FALSE), 1)</f>
        <v>6.2238183046791404E-7</v>
      </c>
      <c r="R3" s="7">
        <f>$B3 * IFERROR(VLOOKUP("LULUCF|PM25|Infant mortality", US_national_yearly!$D:$AM, 26, FALSE) / VLOOKUP("LULUCF|PM25|Infant mortality", US_national_yearly!$D:$AM, 10, FALSE), 1)</f>
        <v>6.196945285969646E-7</v>
      </c>
      <c r="S3" s="7">
        <f>$B3 * IFERROR(VLOOKUP("LULUCF|PM25|Infant mortality", US_national_yearly!$D:$AM, 27, FALSE) / VLOOKUP("LULUCF|PM25|Infant mortality", US_national_yearly!$D:$AM, 10, FALSE), 1)</f>
        <v>6.1634475186864335E-7</v>
      </c>
      <c r="T3" s="7">
        <f>$B3 * IFERROR(VLOOKUP("LULUCF|PM25|Infant mortality", US_national_yearly!$D:$AM, 28, FALSE) / VLOOKUP("LULUCF|PM25|Infant mortality", US_national_yearly!$D:$AM, 10, FALSE), 1)</f>
        <v>6.129949751403221E-7</v>
      </c>
      <c r="U3" s="7">
        <f>$B3 * IFERROR(VLOOKUP("LULUCF|PM25|Infant mortality", US_national_yearly!$D:$AM, 29, FALSE) / VLOOKUP("LULUCF|PM25|Infant mortality", US_national_yearly!$D:$AM, 10, FALSE), 1)</f>
        <v>6.0964519841200086E-7</v>
      </c>
      <c r="V3" s="7">
        <f>$B3 * IFERROR(VLOOKUP("LULUCF|PM25|Infant mortality", US_national_yearly!$D:$AM, 30, FALSE) / VLOOKUP("LULUCF|PM25|Infant mortality", US_national_yearly!$D:$AM, 10, FALSE), 1)</f>
        <v>6.0629542168367961E-7</v>
      </c>
      <c r="W3" s="7">
        <f>$B3 * IFERROR(VLOOKUP("LULUCF|PM25|Infant mortality", US_national_yearly!$D:$AM, 31, FALSE) / VLOOKUP("LULUCF|PM25|Infant mortality", US_national_yearly!$D:$AM, 10, FALSE), 1)</f>
        <v>6.0294564495535836E-7</v>
      </c>
      <c r="X3" s="7">
        <f>$B3 * IFERROR(VLOOKUP("LULUCF|PM25|Infant mortality", US_national_yearly!$D:$AM, 32, FALSE) / VLOOKUP("LULUCF|PM25|Infant mortality", US_national_yearly!$D:$AM, 10, FALSE), 1)</f>
        <v>5.9933416461946365E-7</v>
      </c>
      <c r="Y3" s="7">
        <f>$B3 * IFERROR(VLOOKUP("LULUCF|PM25|Infant mortality", US_national_yearly!$D:$AM, 33, FALSE) / VLOOKUP("LULUCF|PM25|Infant mortality", US_national_yearly!$D:$AM, 10, FALSE), 1)</f>
        <v>5.9572268428356883E-7</v>
      </c>
      <c r="Z3" s="7">
        <f>$B3 * IFERROR(VLOOKUP("LULUCF|PM25|Infant mortality", US_national_yearly!$D:$AM, 34, FALSE) / VLOOKUP("LULUCF|PM25|Infant mortality", US_national_yearly!$D:$AM, 10, FALSE), 1)</f>
        <v>5.9211120394767412E-7</v>
      </c>
      <c r="AA3" s="7">
        <f>$B3 * IFERROR(VLOOKUP("LULUCF|PM25|Infant mortality", US_national_yearly!$D:$AM, 35, FALSE) / VLOOKUP("LULUCF|PM25|Infant mortality", US_national_yearly!$D:$AM, 10, FALSE), 1)</f>
        <v>5.884997236117794E-7</v>
      </c>
      <c r="AB3" s="7">
        <f>$B3 * IFERROR(VLOOKUP("LULUCF|PM25|Infant mortality", US_national_yearly!$D:$AM, 36, FALSE) / VLOOKUP("LULUCF|PM25|Infant mortality", US_national_yearly!$D:$AM, 10, FALSE), 1)</f>
        <v>5.8488824327588469E-7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1.8235440905998231E-3</v>
      </c>
      <c r="C6" s="7">
        <f>$B6 * IFERROR(VLOOKUP("LULUCF|PM25|Asthma symptoms cough", US_national_yearly!$D:$AM, 11, FALSE) / VLOOKUP("LULUCF|PM25|Asthma symptoms cough", US_national_yearly!$D:$AM, 10, FALSE), 1)</f>
        <v>1.8235440905998231E-3</v>
      </c>
      <c r="D6" s="7">
        <f>$B6 * IFERROR(VLOOKUP("LULUCF|PM25|Asthma symptoms cough", US_national_yearly!$D:$AM, 12, FALSE) / VLOOKUP("LULUCF|PM25|Asthma symptoms cough", US_national_yearly!$D:$AM, 10, FALSE), 1)</f>
        <v>1.8235440905998231E-3</v>
      </c>
      <c r="E6" s="7">
        <f>$B6 * IFERROR(VLOOKUP("LULUCF|PM25|Asthma symptoms cough", US_national_yearly!$D:$AM, 13, FALSE) / VLOOKUP("LULUCF|PM25|Asthma symptoms cough", US_national_yearly!$D:$AM, 10, FALSE), 1)</f>
        <v>1.8235440905998231E-3</v>
      </c>
      <c r="F6" s="7">
        <f>$B6 * IFERROR(VLOOKUP("LULUCF|PM25|Asthma symptoms cough", US_national_yearly!$D:$AM, 14, FALSE) / VLOOKUP("LULUCF|PM25|Asthma symptoms cough", US_national_yearly!$D:$AM, 10, FALSE), 1)</f>
        <v>1.8235440905998231E-3</v>
      </c>
      <c r="G6" s="7">
        <f>$B6 * IFERROR(VLOOKUP("LULUCF|PM25|Asthma symptoms cough", US_national_yearly!$D:$AM, 15, FALSE) / VLOOKUP("LULUCF|PM25|Asthma symptoms cough", US_national_yearly!$D:$AM, 10, FALSE), 1)</f>
        <v>1.8235440905998231E-3</v>
      </c>
      <c r="H6" s="7">
        <f>$B6 * IFERROR(VLOOKUP("LULUCF|PM25|Asthma symptoms cough", US_national_yearly!$D:$AM, 16, FALSE) / VLOOKUP("LULUCF|PM25|Asthma symptoms cough", US_national_yearly!$D:$AM, 10, FALSE), 1)</f>
        <v>1.8235440905998231E-3</v>
      </c>
      <c r="I6" s="7">
        <f>$B6 * IFERROR(VLOOKUP("LULUCF|PM25|Asthma symptoms cough", US_national_yearly!$D:$AM, 17, FALSE) / VLOOKUP("LULUCF|PM25|Asthma symptoms cough", US_national_yearly!$D:$AM, 10, FALSE), 1)</f>
        <v>1.8235440905998231E-3</v>
      </c>
      <c r="J6" s="7">
        <f>$B6 * IFERROR(VLOOKUP("LULUCF|PM25|Asthma symptoms cough", US_national_yearly!$D:$AM, 18, FALSE) / VLOOKUP("LULUCF|PM25|Asthma symptoms cough", US_national_yearly!$D:$AM, 10, FALSE), 1)</f>
        <v>1.8235440905998231E-3</v>
      </c>
      <c r="K6" s="7">
        <f>$B6 * IFERROR(VLOOKUP("LULUCF|PM25|Asthma symptoms cough", US_national_yearly!$D:$AM, 19, FALSE) / VLOOKUP("LULUCF|PM25|Asthma symptoms cough", US_national_yearly!$D:$AM, 10, FALSE), 1)</f>
        <v>1.8235440905998231E-3</v>
      </c>
      <c r="L6" s="7">
        <f>$B6 * IFERROR(VLOOKUP("LULUCF|PM25|Asthma symptoms cough", US_national_yearly!$D:$AM, 20, FALSE) / VLOOKUP("LULUCF|PM25|Asthma symptoms cough", US_national_yearly!$D:$AM, 10, FALSE), 1)</f>
        <v>1.8235440905998231E-3</v>
      </c>
      <c r="M6" s="7">
        <f>$B6 * IFERROR(VLOOKUP("LULUCF|PM25|Asthma symptoms cough", US_national_yearly!$D:$AM, 21, FALSE) / VLOOKUP("LULUCF|PM25|Asthma symptoms cough", US_national_yearly!$D:$AM, 10, FALSE), 1)</f>
        <v>1.8235440905998231E-3</v>
      </c>
      <c r="N6" s="7">
        <f>$B6 * IFERROR(VLOOKUP("LULUCF|PM25|Asthma symptoms cough", US_national_yearly!$D:$AM, 22, FALSE) / VLOOKUP("LULUCF|PM25|Asthma symptoms cough", US_national_yearly!$D:$AM, 10, FALSE), 1)</f>
        <v>1.8235440905998231E-3</v>
      </c>
      <c r="O6" s="7">
        <f>$B6 * IFERROR(VLOOKUP("LULUCF|PM25|Asthma symptoms cough", US_national_yearly!$D:$AM, 23, FALSE) / VLOOKUP("LULUCF|PM25|Asthma symptoms cough", US_national_yearly!$D:$AM, 10, FALSE), 1)</f>
        <v>1.8235440905998231E-3</v>
      </c>
      <c r="P6" s="7">
        <f>$B6 * IFERROR(VLOOKUP("LULUCF|PM25|Asthma symptoms cough", US_national_yearly!$D:$AM, 24, FALSE) / VLOOKUP("LULUCF|PM25|Asthma symptoms cough", US_national_yearly!$D:$AM, 10, FALSE), 1)</f>
        <v>1.8235440905998231E-3</v>
      </c>
      <c r="Q6" s="7">
        <f>$B6 * IFERROR(VLOOKUP("LULUCF|PM25|Asthma symptoms cough", US_national_yearly!$D:$AM, 25, FALSE) / VLOOKUP("LULUCF|PM25|Asthma symptoms cough", US_national_yearly!$D:$AM, 10, FALSE), 1)</f>
        <v>1.8235440905998231E-3</v>
      </c>
      <c r="R6" s="7">
        <f>$B6 * IFERROR(VLOOKUP("LULUCF|PM25|Asthma symptoms cough", US_national_yearly!$D:$AM, 26, FALSE) / VLOOKUP("LULUCF|PM25|Asthma symptoms cough", US_national_yearly!$D:$AM, 10, FALSE), 1)</f>
        <v>1.8235440905998231E-3</v>
      </c>
      <c r="S6" s="7">
        <f>$B6 * IFERROR(VLOOKUP("LULUCF|PM25|Asthma symptoms cough", US_national_yearly!$D:$AM, 27, FALSE) / VLOOKUP("LULUCF|PM25|Asthma symptoms cough", US_national_yearly!$D:$AM, 10, FALSE), 1)</f>
        <v>1.8235440905998231E-3</v>
      </c>
      <c r="T6" s="7">
        <f>$B6 * IFERROR(VLOOKUP("LULUCF|PM25|Asthma symptoms cough", US_national_yearly!$D:$AM, 28, FALSE) / VLOOKUP("LULUCF|PM25|Asthma symptoms cough", US_national_yearly!$D:$AM, 10, FALSE), 1)</f>
        <v>1.8235440905998231E-3</v>
      </c>
      <c r="U6" s="7">
        <f>$B6 * IFERROR(VLOOKUP("LULUCF|PM25|Asthma symptoms cough", US_national_yearly!$D:$AM, 29, FALSE) / VLOOKUP("LULUCF|PM25|Asthma symptoms cough", US_national_yearly!$D:$AM, 10, FALSE), 1)</f>
        <v>1.8235440905998231E-3</v>
      </c>
      <c r="V6" s="7">
        <f>$B6 * IFERROR(VLOOKUP("LULUCF|PM25|Asthma symptoms cough", US_national_yearly!$D:$AM, 30, FALSE) / VLOOKUP("LULUCF|PM25|Asthma symptoms cough", US_national_yearly!$D:$AM, 10, FALSE), 1)</f>
        <v>1.8235440905998231E-3</v>
      </c>
      <c r="W6" s="7">
        <f>$B6 * IFERROR(VLOOKUP("LULUCF|PM25|Asthma symptoms cough", US_national_yearly!$D:$AM, 31, FALSE) / VLOOKUP("LULUCF|PM25|Asthma symptoms cough", US_national_yearly!$D:$AM, 10, FALSE), 1)</f>
        <v>1.8235440905998231E-3</v>
      </c>
      <c r="X6" s="7">
        <f>$B6 * IFERROR(VLOOKUP("LULUCF|PM25|Asthma symptoms cough", US_national_yearly!$D:$AM, 32, FALSE) / VLOOKUP("LULUCF|PM25|Asthma symptoms cough", US_national_yearly!$D:$AM, 10, FALSE), 1)</f>
        <v>1.8235440905998231E-3</v>
      </c>
      <c r="Y6" s="7">
        <f>$B6 * IFERROR(VLOOKUP("LULUCF|PM25|Asthma symptoms cough", US_national_yearly!$D:$AM, 33, FALSE) / VLOOKUP("LULUCF|PM25|Asthma symptoms cough", US_national_yearly!$D:$AM, 10, FALSE), 1)</f>
        <v>1.8235440905998231E-3</v>
      </c>
      <c r="Z6" s="7">
        <f>$B6 * IFERROR(VLOOKUP("LULUCF|PM25|Asthma symptoms cough", US_national_yearly!$D:$AM, 34, FALSE) / VLOOKUP("LULUCF|PM25|Asthma symptoms cough", US_national_yearly!$D:$AM, 10, FALSE), 1)</f>
        <v>1.8235440905998231E-3</v>
      </c>
      <c r="AA6" s="7">
        <f>$B6 * IFERROR(VLOOKUP("LULUCF|PM25|Asthma symptoms cough", US_national_yearly!$D:$AM, 35, FALSE) / VLOOKUP("LULUCF|PM25|Asthma symptoms cough", US_national_yearly!$D:$AM, 10, FALSE), 1)</f>
        <v>1.8235440905998231E-3</v>
      </c>
      <c r="AB6" s="7">
        <f>$B6 * IFERROR(VLOOKUP("LULUCF|PM25|Asthma symptoms cough", US_national_yearly!$D:$AM, 36, FALSE) / VLOOKUP("LULUCF|PM25|Asthma symptoms cough", US_national_yearly!$D:$AM, 10, FALSE), 1)</f>
        <v>1.8235440905998231E-3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2.4556146479674116E-3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2.4556146479674116E-3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2.4556146479674116E-3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2.4556146479674116E-3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2.4556146479674116E-3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2.4556146479674116E-3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2.4556146479674116E-3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2.4556146479674116E-3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2.4556146479674116E-3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2.4556146479674116E-3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2.4556146479674116E-3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2.4556146479674116E-3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2.4556146479674116E-3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2.4556146479674116E-3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2.4556146479674116E-3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2.4556146479674116E-3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2.4556146479674116E-3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2.4556146479674116E-3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2.4556146479674116E-3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2.4556146479674116E-3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2.4556146479674116E-3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2.4556146479674116E-3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2.4556146479674116E-3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2.4556146479674116E-3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2.4556146479674116E-3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2.4556146479674116E-3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2.4556146479674116E-3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3.7519486779683496E-3</v>
      </c>
      <c r="C8" s="7">
        <f>$B8 * IFERROR(VLOOKUP("LULUCF|PM25|Asthma symptoms wheeze", US_national_yearly!$D:$AM, 11, FALSE) / VLOOKUP("LULUCF|PM25|Asthma symptoms wheeze", US_national_yearly!$D:$AM, 10, FALSE), 1)</f>
        <v>3.7519486779683496E-3</v>
      </c>
      <c r="D8" s="7">
        <f>$B8 * IFERROR(VLOOKUP("LULUCF|PM25|Asthma symptoms wheeze", US_national_yearly!$D:$AM, 12, FALSE) / VLOOKUP("LULUCF|PM25|Asthma symptoms wheeze", US_national_yearly!$D:$AM, 10, FALSE), 1)</f>
        <v>3.7519486779683496E-3</v>
      </c>
      <c r="E8" s="7">
        <f>$B8 * IFERROR(VLOOKUP("LULUCF|PM25|Asthma symptoms wheeze", US_national_yearly!$D:$AM, 13, FALSE) / VLOOKUP("LULUCF|PM25|Asthma symptoms wheeze", US_national_yearly!$D:$AM, 10, FALSE), 1)</f>
        <v>3.7519486779683496E-3</v>
      </c>
      <c r="F8" s="7">
        <f>$B8 * IFERROR(VLOOKUP("LULUCF|PM25|Asthma symptoms wheeze", US_national_yearly!$D:$AM, 14, FALSE) / VLOOKUP("LULUCF|PM25|Asthma symptoms wheeze", US_national_yearly!$D:$AM, 10, FALSE), 1)</f>
        <v>3.7519486779683496E-3</v>
      </c>
      <c r="G8" s="7">
        <f>$B8 * IFERROR(VLOOKUP("LULUCF|PM25|Asthma symptoms wheeze", US_national_yearly!$D:$AM, 15, FALSE) / VLOOKUP("LULUCF|PM25|Asthma symptoms wheeze", US_national_yearly!$D:$AM, 10, FALSE), 1)</f>
        <v>3.7519486779683496E-3</v>
      </c>
      <c r="H8" s="7">
        <f>$B8 * IFERROR(VLOOKUP("LULUCF|PM25|Asthma symptoms wheeze", US_national_yearly!$D:$AM, 16, FALSE) / VLOOKUP("LULUCF|PM25|Asthma symptoms wheeze", US_national_yearly!$D:$AM, 10, FALSE), 1)</f>
        <v>3.7519486779683496E-3</v>
      </c>
      <c r="I8" s="7">
        <f>$B8 * IFERROR(VLOOKUP("LULUCF|PM25|Asthma symptoms wheeze", US_national_yearly!$D:$AM, 17, FALSE) / VLOOKUP("LULUCF|PM25|Asthma symptoms wheeze", US_national_yearly!$D:$AM, 10, FALSE), 1)</f>
        <v>3.7519486779683496E-3</v>
      </c>
      <c r="J8" s="7">
        <f>$B8 * IFERROR(VLOOKUP("LULUCF|PM25|Asthma symptoms wheeze", US_national_yearly!$D:$AM, 18, FALSE) / VLOOKUP("LULUCF|PM25|Asthma symptoms wheeze", US_national_yearly!$D:$AM, 10, FALSE), 1)</f>
        <v>3.7519486779683496E-3</v>
      </c>
      <c r="K8" s="7">
        <f>$B8 * IFERROR(VLOOKUP("LULUCF|PM25|Asthma symptoms wheeze", US_national_yearly!$D:$AM, 19, FALSE) / VLOOKUP("LULUCF|PM25|Asthma symptoms wheeze", US_national_yearly!$D:$AM, 10, FALSE), 1)</f>
        <v>3.7519486779683496E-3</v>
      </c>
      <c r="L8" s="7">
        <f>$B8 * IFERROR(VLOOKUP("LULUCF|PM25|Asthma symptoms wheeze", US_national_yearly!$D:$AM, 20, FALSE) / VLOOKUP("LULUCF|PM25|Asthma symptoms wheeze", US_national_yearly!$D:$AM, 10, FALSE), 1)</f>
        <v>3.7519486779683496E-3</v>
      </c>
      <c r="M8" s="7">
        <f>$B8 * IFERROR(VLOOKUP("LULUCF|PM25|Asthma symptoms wheeze", US_national_yearly!$D:$AM, 21, FALSE) / VLOOKUP("LULUCF|PM25|Asthma symptoms wheeze", US_national_yearly!$D:$AM, 10, FALSE), 1)</f>
        <v>3.7519486779683496E-3</v>
      </c>
      <c r="N8" s="7">
        <f>$B8 * IFERROR(VLOOKUP("LULUCF|PM25|Asthma symptoms wheeze", US_national_yearly!$D:$AM, 22, FALSE) / VLOOKUP("LULUCF|PM25|Asthma symptoms wheeze", US_national_yearly!$D:$AM, 10, FALSE), 1)</f>
        <v>3.7519486779683496E-3</v>
      </c>
      <c r="O8" s="7">
        <f>$B8 * IFERROR(VLOOKUP("LULUCF|PM25|Asthma symptoms wheeze", US_national_yearly!$D:$AM, 23, FALSE) / VLOOKUP("LULUCF|PM25|Asthma symptoms wheeze", US_national_yearly!$D:$AM, 10, FALSE), 1)</f>
        <v>3.7519486779683496E-3</v>
      </c>
      <c r="P8" s="7">
        <f>$B8 * IFERROR(VLOOKUP("LULUCF|PM25|Asthma symptoms wheeze", US_national_yearly!$D:$AM, 24, FALSE) / VLOOKUP("LULUCF|PM25|Asthma symptoms wheeze", US_national_yearly!$D:$AM, 10, FALSE), 1)</f>
        <v>3.7519486779683496E-3</v>
      </c>
      <c r="Q8" s="7">
        <f>$B8 * IFERROR(VLOOKUP("LULUCF|PM25|Asthma symptoms wheeze", US_national_yearly!$D:$AM, 25, FALSE) / VLOOKUP("LULUCF|PM25|Asthma symptoms wheeze", US_national_yearly!$D:$AM, 10, FALSE), 1)</f>
        <v>3.7519486779683496E-3</v>
      </c>
      <c r="R8" s="7">
        <f>$B8 * IFERROR(VLOOKUP("LULUCF|PM25|Asthma symptoms wheeze", US_national_yearly!$D:$AM, 26, FALSE) / VLOOKUP("LULUCF|PM25|Asthma symptoms wheeze", US_national_yearly!$D:$AM, 10, FALSE), 1)</f>
        <v>3.7519486779683496E-3</v>
      </c>
      <c r="S8" s="7">
        <f>$B8 * IFERROR(VLOOKUP("LULUCF|PM25|Asthma symptoms wheeze", US_national_yearly!$D:$AM, 27, FALSE) / VLOOKUP("LULUCF|PM25|Asthma symptoms wheeze", US_national_yearly!$D:$AM, 10, FALSE), 1)</f>
        <v>3.7519486779683496E-3</v>
      </c>
      <c r="T8" s="7">
        <f>$B8 * IFERROR(VLOOKUP("LULUCF|PM25|Asthma symptoms wheeze", US_national_yearly!$D:$AM, 28, FALSE) / VLOOKUP("LULUCF|PM25|Asthma symptoms wheeze", US_national_yearly!$D:$AM, 10, FALSE), 1)</f>
        <v>3.7519486779683496E-3</v>
      </c>
      <c r="U8" s="7">
        <f>$B8 * IFERROR(VLOOKUP("LULUCF|PM25|Asthma symptoms wheeze", US_national_yearly!$D:$AM, 29, FALSE) / VLOOKUP("LULUCF|PM25|Asthma symptoms wheeze", US_national_yearly!$D:$AM, 10, FALSE), 1)</f>
        <v>3.7519486779683496E-3</v>
      </c>
      <c r="V8" s="7">
        <f>$B8 * IFERROR(VLOOKUP("LULUCF|PM25|Asthma symptoms wheeze", US_national_yearly!$D:$AM, 30, FALSE) / VLOOKUP("LULUCF|PM25|Asthma symptoms wheeze", US_national_yearly!$D:$AM, 10, FALSE), 1)</f>
        <v>3.7519486779683496E-3</v>
      </c>
      <c r="W8" s="7">
        <f>$B8 * IFERROR(VLOOKUP("LULUCF|PM25|Asthma symptoms wheeze", US_national_yearly!$D:$AM, 31, FALSE) / VLOOKUP("LULUCF|PM25|Asthma symptoms wheeze", US_national_yearly!$D:$AM, 10, FALSE), 1)</f>
        <v>3.7519486779683496E-3</v>
      </c>
      <c r="X8" s="7">
        <f>$B8 * IFERROR(VLOOKUP("LULUCF|PM25|Asthma symptoms wheeze", US_national_yearly!$D:$AM, 32, FALSE) / VLOOKUP("LULUCF|PM25|Asthma symptoms wheeze", US_national_yearly!$D:$AM, 10, FALSE), 1)</f>
        <v>3.7519486779683496E-3</v>
      </c>
      <c r="Y8" s="7">
        <f>$B8 * IFERROR(VLOOKUP("LULUCF|PM25|Asthma symptoms wheeze", US_national_yearly!$D:$AM, 33, FALSE) / VLOOKUP("LULUCF|PM25|Asthma symptoms wheeze", US_national_yearly!$D:$AM, 10, FALSE), 1)</f>
        <v>3.7519486779683496E-3</v>
      </c>
      <c r="Z8" s="7">
        <f>$B8 * IFERROR(VLOOKUP("LULUCF|PM25|Asthma symptoms wheeze", US_national_yearly!$D:$AM, 34, FALSE) / VLOOKUP("LULUCF|PM25|Asthma symptoms wheeze", US_national_yearly!$D:$AM, 10, FALSE), 1)</f>
        <v>3.7519486779683496E-3</v>
      </c>
      <c r="AA8" s="7">
        <f>$B8 * IFERROR(VLOOKUP("LULUCF|PM25|Asthma symptoms wheeze", US_national_yearly!$D:$AM, 35, FALSE) / VLOOKUP("LULUCF|PM25|Asthma symptoms wheeze", US_national_yearly!$D:$AM, 10, FALSE), 1)</f>
        <v>3.7519486779683496E-3</v>
      </c>
      <c r="AB8" s="7">
        <f>$B8 * IFERROR(VLOOKUP("LULUCF|PM25|Asthma symptoms wheeze", US_national_yearly!$D:$AM, 36, FALSE) / VLOOKUP("LULUCF|PM25|Asthma symptoms wheeze", US_national_yearly!$D:$AM, 10, FALSE), 1)</f>
        <v>3.7519486779683496E-3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5.5394969462190293E-5</v>
      </c>
      <c r="C12" s="7">
        <f>$B12 * IFERROR(VLOOKUP("LULUCF|PM25|Respiratory hospital admissions", US_national_yearly!$D:$AM, 11, FALSE) / VLOOKUP("LULUCF|PM25|Respiratory hospital admissions", US_national_yearly!$D:$AM, 10, FALSE), 1)</f>
        <v>5.571247109982E-5</v>
      </c>
      <c r="D12" s="7">
        <f>$B12 * IFERROR(VLOOKUP("LULUCF|PM25|Respiratory hospital admissions", US_national_yearly!$D:$AM, 12, FALSE) / VLOOKUP("LULUCF|PM25|Respiratory hospital admissions", US_national_yearly!$D:$AM, 10, FALSE), 1)</f>
        <v>5.6029972737449687E-5</v>
      </c>
      <c r="E12" s="7">
        <f>$B12 * IFERROR(VLOOKUP("LULUCF|PM25|Respiratory hospital admissions", US_national_yearly!$D:$AM, 13, FALSE) / VLOOKUP("LULUCF|PM25|Respiratory hospital admissions", US_national_yearly!$D:$AM, 10, FALSE), 1)</f>
        <v>5.6347474375079394E-5</v>
      </c>
      <c r="F12" s="7">
        <f>$B12 * IFERROR(VLOOKUP("LULUCF|PM25|Respiratory hospital admissions", US_national_yearly!$D:$AM, 14, FALSE) / VLOOKUP("LULUCF|PM25|Respiratory hospital admissions", US_national_yearly!$D:$AM, 10, FALSE), 1)</f>
        <v>5.6664976012709087E-5</v>
      </c>
      <c r="G12" s="7">
        <f>$B12 * IFERROR(VLOOKUP("LULUCF|PM25|Respiratory hospital admissions", US_national_yearly!$D:$AM, 15, FALSE) / VLOOKUP("LULUCF|PM25|Respiratory hospital admissions", US_national_yearly!$D:$AM, 10, FALSE), 1)</f>
        <v>5.7007891324469044E-5</v>
      </c>
      <c r="H12" s="7">
        <f>$B12 * IFERROR(VLOOKUP("LULUCF|PM25|Respiratory hospital admissions", US_national_yearly!$D:$AM, 16, FALSE) / VLOOKUP("LULUCF|PM25|Respiratory hospital admissions", US_national_yearly!$D:$AM, 10, FALSE), 1)</f>
        <v>5.7350806636229001E-5</v>
      </c>
      <c r="I12" s="7">
        <f>$B12 * IFERROR(VLOOKUP("LULUCF|PM25|Respiratory hospital admissions", US_national_yearly!$D:$AM, 17, FALSE) / VLOOKUP("LULUCF|PM25|Respiratory hospital admissions", US_national_yearly!$D:$AM, 10, FALSE), 1)</f>
        <v>5.7678449188058628E-5</v>
      </c>
      <c r="J12" s="7">
        <f>$B12 * IFERROR(VLOOKUP("LULUCF|PM25|Respiratory hospital admissions", US_national_yearly!$D:$AM, 18, FALSE) / VLOOKUP("LULUCF|PM25|Respiratory hospital admissions", US_national_yearly!$D:$AM, 10, FALSE), 1)</f>
        <v>5.8006091739888289E-5</v>
      </c>
      <c r="K12" s="7">
        <f>$B12 * IFERROR(VLOOKUP("LULUCF|PM25|Respiratory hospital admissions", US_national_yearly!$D:$AM, 19, FALSE) / VLOOKUP("LULUCF|PM25|Respiratory hospital admissions", US_national_yearly!$D:$AM, 10, FALSE), 1)</f>
        <v>5.833373429171793E-5</v>
      </c>
      <c r="L12" s="7">
        <f>$B12 * IFERROR(VLOOKUP("LULUCF|PM25|Respiratory hospital admissions", US_national_yearly!$D:$AM, 20, FALSE) / VLOOKUP("LULUCF|PM25|Respiratory hospital admissions", US_national_yearly!$D:$AM, 10, FALSE), 1)</f>
        <v>5.8661376843547584E-5</v>
      </c>
      <c r="M12" s="7">
        <f>$B12 * IFERROR(VLOOKUP("LULUCF|PM25|Respiratory hospital admissions", US_national_yearly!$D:$AM, 21, FALSE) / VLOOKUP("LULUCF|PM25|Respiratory hospital admissions", US_national_yearly!$D:$AM, 10, FALSE), 1)</f>
        <v>5.8989019395377218E-5</v>
      </c>
      <c r="N12" s="7">
        <f>$B12 * IFERROR(VLOOKUP("LULUCF|PM25|Respiratory hospital admissions", US_national_yearly!$D:$AM, 22, FALSE) / VLOOKUP("LULUCF|PM25|Respiratory hospital admissions", US_national_yearly!$D:$AM, 10, FALSE), 1)</f>
        <v>5.9224178016034281E-5</v>
      </c>
      <c r="O12" s="7">
        <f>$B12 * IFERROR(VLOOKUP("LULUCF|PM25|Respiratory hospital admissions", US_national_yearly!$D:$AM, 23, FALSE) / VLOOKUP("LULUCF|PM25|Respiratory hospital admissions", US_national_yearly!$D:$AM, 10, FALSE), 1)</f>
        <v>5.9459336636691336E-5</v>
      </c>
      <c r="P12" s="7">
        <f>$B12 * IFERROR(VLOOKUP("LULUCF|PM25|Respiratory hospital admissions", US_national_yearly!$D:$AM, 24, FALSE) / VLOOKUP("LULUCF|PM25|Respiratory hospital admissions", US_national_yearly!$D:$AM, 10, FALSE), 1)</f>
        <v>5.9694495257348378E-5</v>
      </c>
      <c r="Q12" s="7">
        <f>$B12 * IFERROR(VLOOKUP("LULUCF|PM25|Respiratory hospital admissions", US_national_yearly!$D:$AM, 25, FALSE) / VLOOKUP("LULUCF|PM25|Respiratory hospital admissions", US_national_yearly!$D:$AM, 10, FALSE), 1)</f>
        <v>5.9929653878005427E-5</v>
      </c>
      <c r="R12" s="7">
        <f>$B12 * IFERROR(VLOOKUP("LULUCF|PM25|Respiratory hospital admissions", US_national_yearly!$D:$AM, 26, FALSE) / VLOOKUP("LULUCF|PM25|Respiratory hospital admissions", US_national_yearly!$D:$AM, 10, FALSE), 1)</f>
        <v>6.0164812498662496E-5</v>
      </c>
      <c r="S12" s="7">
        <f>$B12 * IFERROR(VLOOKUP("LULUCF|PM25|Respiratory hospital admissions", US_national_yearly!$D:$AM, 27, FALSE) / VLOOKUP("LULUCF|PM25|Respiratory hospital admissions", US_national_yearly!$D:$AM, 10, FALSE), 1)</f>
        <v>6.038871449187859E-5</v>
      </c>
      <c r="T12" s="7">
        <f>$B12 * IFERROR(VLOOKUP("LULUCF|PM25|Respiratory hospital admissions", US_national_yearly!$D:$AM, 28, FALSE) / VLOOKUP("LULUCF|PM25|Respiratory hospital admissions", US_national_yearly!$D:$AM, 10, FALSE), 1)</f>
        <v>6.0612616485094698E-5</v>
      </c>
      <c r="U12" s="7">
        <f>$B12 * IFERROR(VLOOKUP("LULUCF|PM25|Respiratory hospital admissions", US_national_yearly!$D:$AM, 29, FALSE) / VLOOKUP("LULUCF|PM25|Respiratory hospital admissions", US_national_yearly!$D:$AM, 10, FALSE), 1)</f>
        <v>6.0836518478310793E-5</v>
      </c>
      <c r="V12" s="7">
        <f>$B12 * IFERROR(VLOOKUP("LULUCF|PM25|Respiratory hospital admissions", US_national_yearly!$D:$AM, 30, FALSE) / VLOOKUP("LULUCF|PM25|Respiratory hospital admissions", US_national_yearly!$D:$AM, 10, FALSE), 1)</f>
        <v>6.1060420471526888E-5</v>
      </c>
      <c r="W12" s="7">
        <f>$B12 * IFERROR(VLOOKUP("LULUCF|PM25|Respiratory hospital admissions", US_national_yearly!$D:$AM, 31, FALSE) / VLOOKUP("LULUCF|PM25|Respiratory hospital admissions", US_national_yearly!$D:$AM, 10, FALSE), 1)</f>
        <v>6.1284322464742982E-5</v>
      </c>
      <c r="X12" s="7">
        <f>$B12 * IFERROR(VLOOKUP("LULUCF|PM25|Respiratory hospital admissions", US_national_yearly!$D:$AM, 32, FALSE) / VLOOKUP("LULUCF|PM25|Respiratory hospital admissions", US_national_yearly!$D:$AM, 10, FALSE), 1)</f>
        <v>6.1499719038348802E-5</v>
      </c>
      <c r="Y12" s="7">
        <f>$B12 * IFERROR(VLOOKUP("LULUCF|PM25|Respiratory hospital admissions", US_national_yearly!$D:$AM, 33, FALSE) / VLOOKUP("LULUCF|PM25|Respiratory hospital admissions", US_national_yearly!$D:$AM, 10, FALSE), 1)</f>
        <v>6.1715115611954595E-5</v>
      </c>
      <c r="Z12" s="7">
        <f>$B12 * IFERROR(VLOOKUP("LULUCF|PM25|Respiratory hospital admissions", US_national_yearly!$D:$AM, 34, FALSE) / VLOOKUP("LULUCF|PM25|Respiratory hospital admissions", US_national_yearly!$D:$AM, 10, FALSE), 1)</f>
        <v>6.1930512185560388E-5</v>
      </c>
      <c r="AA12" s="7">
        <f>$B12 * IFERROR(VLOOKUP("LULUCF|PM25|Respiratory hospital admissions", US_national_yearly!$D:$AM, 35, FALSE) / VLOOKUP("LULUCF|PM25|Respiratory hospital admissions", US_national_yearly!$D:$AM, 10, FALSE), 1)</f>
        <v>6.214590875916618E-5</v>
      </c>
      <c r="AB12" s="7">
        <f>$B12 * IFERROR(VLOOKUP("LULUCF|PM25|Respiratory hospital admissions", US_national_yearly!$D:$AM, 36, FALSE) / VLOOKUP("LULUCF|PM25|Respiratory hospital admissions", US_national_yearly!$D:$AM, 10, FALSE), 1)</f>
        <v>6.2361305332771987E-5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3.2716029533257605E-4</v>
      </c>
      <c r="C13" s="7">
        <f>$B13 * IFERROR(VLOOKUP("LULUCF|PM25|Non-fatal heart attacks", US_national_yearly!$D:$AM, 11, FALSE) / VLOOKUP("LULUCF|PM25|Non-fatal heart attacks", US_national_yearly!$D:$AM, 10, FALSE), 1)</f>
        <v>3.3667171330195426E-4</v>
      </c>
      <c r="D13" s="7">
        <f>$B13 * IFERROR(VLOOKUP("LULUCF|PM25|Non-fatal heart attacks", US_national_yearly!$D:$AM, 12, FALSE) / VLOOKUP("LULUCF|PM25|Non-fatal heart attacks", US_national_yearly!$D:$AM, 10, FALSE), 1)</f>
        <v>3.4618313127133242E-4</v>
      </c>
      <c r="E13" s="7">
        <f>$B13 * IFERROR(VLOOKUP("LULUCF|PM25|Non-fatal heart attacks", US_national_yearly!$D:$AM, 13, FALSE) / VLOOKUP("LULUCF|PM25|Non-fatal heart attacks", US_national_yearly!$D:$AM, 10, FALSE), 1)</f>
        <v>3.5569454924071057E-4</v>
      </c>
      <c r="F13" s="7">
        <f>$B13 * IFERROR(VLOOKUP("LULUCF|PM25|Non-fatal heart attacks", US_national_yearly!$D:$AM, 14, FALSE) / VLOOKUP("LULUCF|PM25|Non-fatal heart attacks", US_national_yearly!$D:$AM, 10, FALSE), 1)</f>
        <v>3.6520596721008883E-4</v>
      </c>
      <c r="G13" s="7">
        <f>$B13 * IFERROR(VLOOKUP("LULUCF|PM25|Non-fatal heart attacks", US_national_yearly!$D:$AM, 15, FALSE) / VLOOKUP("LULUCF|PM25|Non-fatal heart attacks", US_national_yearly!$D:$AM, 10, FALSE), 1)</f>
        <v>3.7417583565539902E-4</v>
      </c>
      <c r="H13" s="7">
        <f>$B13 * IFERROR(VLOOKUP("LULUCF|PM25|Non-fatal heart attacks", US_national_yearly!$D:$AM, 16, FALSE) / VLOOKUP("LULUCF|PM25|Non-fatal heart attacks", US_national_yearly!$D:$AM, 10, FALSE), 1)</f>
        <v>3.831457041007091E-4</v>
      </c>
      <c r="I13" s="7">
        <f>$B13 * IFERROR(VLOOKUP("LULUCF|PM25|Non-fatal heart attacks", US_national_yearly!$D:$AM, 17, FALSE) / VLOOKUP("LULUCF|PM25|Non-fatal heart attacks", US_national_yearly!$D:$AM, 10, FALSE), 1)</f>
        <v>3.903544935621138E-4</v>
      </c>
      <c r="J13" s="7">
        <f>$B13 * IFERROR(VLOOKUP("LULUCF|PM25|Non-fatal heart attacks", US_national_yearly!$D:$AM, 18, FALSE) / VLOOKUP("LULUCF|PM25|Non-fatal heart attacks", US_national_yearly!$D:$AM, 10, FALSE), 1)</f>
        <v>3.9756328302351844E-4</v>
      </c>
      <c r="K13" s="7">
        <f>$B13 * IFERROR(VLOOKUP("LULUCF|PM25|Non-fatal heart attacks", US_national_yearly!$D:$AM, 19, FALSE) / VLOOKUP("LULUCF|PM25|Non-fatal heart attacks", US_national_yearly!$D:$AM, 10, FALSE), 1)</f>
        <v>4.0477207248492319E-4</v>
      </c>
      <c r="L13" s="7">
        <f>$B13 * IFERROR(VLOOKUP("LULUCF|PM25|Non-fatal heart attacks", US_national_yearly!$D:$AM, 20, FALSE) / VLOOKUP("LULUCF|PM25|Non-fatal heart attacks", US_national_yearly!$D:$AM, 10, FALSE), 1)</f>
        <v>4.1198086194632789E-4</v>
      </c>
      <c r="M13" s="7">
        <f>$B13 * IFERROR(VLOOKUP("LULUCF|PM25|Non-fatal heart attacks", US_national_yearly!$D:$AM, 21, FALSE) / VLOOKUP("LULUCF|PM25|Non-fatal heart attacks", US_national_yearly!$D:$AM, 10, FALSE), 1)</f>
        <v>4.1918965140773265E-4</v>
      </c>
      <c r="N13" s="7">
        <f>$B13 * IFERROR(VLOOKUP("LULUCF|PM25|Non-fatal heart attacks", US_national_yearly!$D:$AM, 22, FALSE) / VLOOKUP("LULUCF|PM25|Non-fatal heart attacks", US_national_yearly!$D:$AM, 10, FALSE), 1)</f>
        <v>4.2383860877496539E-4</v>
      </c>
      <c r="O13" s="7">
        <f>$B13 * IFERROR(VLOOKUP("LULUCF|PM25|Non-fatal heart attacks", US_national_yearly!$D:$AM, 23, FALSE) / VLOOKUP("LULUCF|PM25|Non-fatal heart attacks", US_national_yearly!$D:$AM, 10, FALSE), 1)</f>
        <v>4.2848756614219825E-4</v>
      </c>
      <c r="P13" s="7">
        <f>$B13 * IFERROR(VLOOKUP("LULUCF|PM25|Non-fatal heart attacks", US_national_yearly!$D:$AM, 24, FALSE) / VLOOKUP("LULUCF|PM25|Non-fatal heart attacks", US_national_yearly!$D:$AM, 10, FALSE), 1)</f>
        <v>4.331365235094311E-4</v>
      </c>
      <c r="Q13" s="7">
        <f>$B13 * IFERROR(VLOOKUP("LULUCF|PM25|Non-fatal heart attacks", US_national_yearly!$D:$AM, 25, FALSE) / VLOOKUP("LULUCF|PM25|Non-fatal heart attacks", US_national_yearly!$D:$AM, 10, FALSE), 1)</f>
        <v>4.3778548087666384E-4</v>
      </c>
      <c r="R13" s="7">
        <f>$B13 * IFERROR(VLOOKUP("LULUCF|PM25|Non-fatal heart attacks", US_national_yearly!$D:$AM, 26, FALSE) / VLOOKUP("LULUCF|PM25|Non-fatal heart attacks", US_national_yearly!$D:$AM, 10, FALSE), 1)</f>
        <v>4.424344382438967E-4</v>
      </c>
      <c r="S13" s="7">
        <f>$B13 * IFERROR(VLOOKUP("LULUCF|PM25|Non-fatal heart attacks", US_national_yearly!$D:$AM, 27, FALSE) / VLOOKUP("LULUCF|PM25|Non-fatal heart attacks", US_national_yearly!$D:$AM, 10, FALSE), 1)</f>
        <v>4.4488271201317982E-4</v>
      </c>
      <c r="T13" s="7">
        <f>$B13 * IFERROR(VLOOKUP("LULUCF|PM25|Non-fatal heart attacks", US_national_yearly!$D:$AM, 28, FALSE) / VLOOKUP("LULUCF|PM25|Non-fatal heart attacks", US_national_yearly!$D:$AM, 10, FALSE), 1)</f>
        <v>4.4733098578246305E-4</v>
      </c>
      <c r="U13" s="7">
        <f>$B13 * IFERROR(VLOOKUP("LULUCF|PM25|Non-fatal heart attacks", US_national_yearly!$D:$AM, 29, FALSE) / VLOOKUP("LULUCF|PM25|Non-fatal heart attacks", US_national_yearly!$D:$AM, 10, FALSE), 1)</f>
        <v>4.4977925955174634E-4</v>
      </c>
      <c r="V13" s="7">
        <f>$B13 * IFERROR(VLOOKUP("LULUCF|PM25|Non-fatal heart attacks", US_national_yearly!$D:$AM, 30, FALSE) / VLOOKUP("LULUCF|PM25|Non-fatal heart attacks", US_national_yearly!$D:$AM, 10, FALSE), 1)</f>
        <v>4.5222753332102952E-4</v>
      </c>
      <c r="W13" s="7">
        <f>$B13 * IFERROR(VLOOKUP("LULUCF|PM25|Non-fatal heart attacks", US_national_yearly!$D:$AM, 31, FALSE) / VLOOKUP("LULUCF|PM25|Non-fatal heart attacks", US_national_yearly!$D:$AM, 10, FALSE), 1)</f>
        <v>4.5467580709031269E-4</v>
      </c>
      <c r="X13" s="7">
        <f>$B13 * IFERROR(VLOOKUP("LULUCF|PM25|Non-fatal heart attacks", US_national_yearly!$D:$AM, 32, FALSE) / VLOOKUP("LULUCF|PM25|Non-fatal heart attacks", US_national_yearly!$D:$AM, 10, FALSE), 1)</f>
        <v>4.5653440089430997E-4</v>
      </c>
      <c r="Y13" s="7">
        <f>$B13 * IFERROR(VLOOKUP("LULUCF|PM25|Non-fatal heart attacks", US_national_yearly!$D:$AM, 33, FALSE) / VLOOKUP("LULUCF|PM25|Non-fatal heart attacks", US_national_yearly!$D:$AM, 10, FALSE), 1)</f>
        <v>4.5839299469830735E-4</v>
      </c>
      <c r="Z13" s="7">
        <f>$B13 * IFERROR(VLOOKUP("LULUCF|PM25|Non-fatal heart attacks", US_national_yearly!$D:$AM, 34, FALSE) / VLOOKUP("LULUCF|PM25|Non-fatal heart attacks", US_national_yearly!$D:$AM, 10, FALSE), 1)</f>
        <v>4.6025158850230468E-4</v>
      </c>
      <c r="AA13" s="7">
        <f>$B13 * IFERROR(VLOOKUP("LULUCF|PM25|Non-fatal heart attacks", US_national_yearly!$D:$AM, 35, FALSE) / VLOOKUP("LULUCF|PM25|Non-fatal heart attacks", US_national_yearly!$D:$AM, 10, FALSE), 1)</f>
        <v>4.6211018230630206E-4</v>
      </c>
      <c r="AB13" s="7">
        <f>$B13 * IFERROR(VLOOKUP("LULUCF|PM25|Non-fatal heart attacks", US_national_yearly!$D:$AM, 36, FALSE) / VLOOKUP("LULUCF|PM25|Non-fatal heart attacks", US_national_yearly!$D:$AM, 10, FALSE), 1)</f>
        <v>4.6396877611029933E-4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0.21618008825689614</v>
      </c>
      <c r="C14" s="7">
        <f>$B14 * IFERROR(VLOOKUP("LULUCF|PM25|Minor restricted activity days", US_national_yearly!$D:$AM, 11, FALSE) / VLOOKUP("LULUCF|PM25|Minor restricted activity days", US_national_yearly!$D:$AM, 10, FALSE), 1)</f>
        <v>0.21670802566940722</v>
      </c>
      <c r="D14" s="7">
        <f>$B14 * IFERROR(VLOOKUP("LULUCF|PM25|Minor restricted activity days", US_national_yearly!$D:$AM, 12, FALSE) / VLOOKUP("LULUCF|PM25|Minor restricted activity days", US_national_yearly!$D:$AM, 10, FALSE), 1)</f>
        <v>0.21723596308191828</v>
      </c>
      <c r="E14" s="7">
        <f>$B14 * IFERROR(VLOOKUP("LULUCF|PM25|Minor restricted activity days", US_national_yearly!$D:$AM, 13, FALSE) / VLOOKUP("LULUCF|PM25|Minor restricted activity days", US_national_yearly!$D:$AM, 10, FALSE), 1)</f>
        <v>0.2177639004944294</v>
      </c>
      <c r="F14" s="7">
        <f>$B14 * IFERROR(VLOOKUP("LULUCF|PM25|Minor restricted activity days", US_national_yearly!$D:$AM, 14, FALSE) / VLOOKUP("LULUCF|PM25|Minor restricted activity days", US_national_yearly!$D:$AM, 10, FALSE), 1)</f>
        <v>0.21829183790694043</v>
      </c>
      <c r="G14" s="7">
        <f>$B14 * IFERROR(VLOOKUP("LULUCF|PM25|Minor restricted activity days", US_national_yearly!$D:$AM, 15, FALSE) / VLOOKUP("LULUCF|PM25|Minor restricted activity days", US_national_yearly!$D:$AM, 10, FALSE), 1)</f>
        <v>0.21907079375930294</v>
      </c>
      <c r="H14" s="7">
        <f>$B14 * IFERROR(VLOOKUP("LULUCF|PM25|Minor restricted activity days", US_national_yearly!$D:$AM, 16, FALSE) / VLOOKUP("LULUCF|PM25|Minor restricted activity days", US_national_yearly!$D:$AM, 10, FALSE), 1)</f>
        <v>0.21984974961166545</v>
      </c>
      <c r="I14" s="7">
        <f>$B14 * IFERROR(VLOOKUP("LULUCF|PM25|Minor restricted activity days", US_national_yearly!$D:$AM, 17, FALSE) / VLOOKUP("LULUCF|PM25|Minor restricted activity days", US_national_yearly!$D:$AM, 10, FALSE), 1)</f>
        <v>0.22118140741259901</v>
      </c>
      <c r="J14" s="7">
        <f>$B14 * IFERROR(VLOOKUP("LULUCF|PM25|Minor restricted activity days", US_national_yearly!$D:$AM, 18, FALSE) / VLOOKUP("LULUCF|PM25|Minor restricted activity days", US_national_yearly!$D:$AM, 10, FALSE), 1)</f>
        <v>0.22251306521353245</v>
      </c>
      <c r="K14" s="7">
        <f>$B14 * IFERROR(VLOOKUP("LULUCF|PM25|Minor restricted activity days", US_national_yearly!$D:$AM, 19, FALSE) / VLOOKUP("LULUCF|PM25|Minor restricted activity days", US_national_yearly!$D:$AM, 10, FALSE), 1)</f>
        <v>0.22384472301446601</v>
      </c>
      <c r="L14" s="7">
        <f>$B14 * IFERROR(VLOOKUP("LULUCF|PM25|Minor restricted activity days", US_national_yearly!$D:$AM, 20, FALSE) / VLOOKUP("LULUCF|PM25|Minor restricted activity days", US_national_yearly!$D:$AM, 10, FALSE), 1)</f>
        <v>0.22517638081539951</v>
      </c>
      <c r="M14" s="7">
        <f>$B14 * IFERROR(VLOOKUP("LULUCF|PM25|Minor restricted activity days", US_national_yearly!$D:$AM, 21, FALSE) / VLOOKUP("LULUCF|PM25|Minor restricted activity days", US_national_yearly!$D:$AM, 10, FALSE), 1)</f>
        <v>0.22650803861633301</v>
      </c>
      <c r="N14" s="7">
        <f>$B14 * IFERROR(VLOOKUP("LULUCF|PM25|Minor restricted activity days", US_national_yearly!$D:$AM, 22, FALSE) / VLOOKUP("LULUCF|PM25|Minor restricted activity days", US_national_yearly!$D:$AM, 10, FALSE), 1)</f>
        <v>0.22832202167380108</v>
      </c>
      <c r="O14" s="7">
        <f>$B14 * IFERROR(VLOOKUP("LULUCF|PM25|Minor restricted activity days", US_national_yearly!$D:$AM, 23, FALSE) / VLOOKUP("LULUCF|PM25|Minor restricted activity days", US_national_yearly!$D:$AM, 10, FALSE), 1)</f>
        <v>0.23013600473126913</v>
      </c>
      <c r="P14" s="7">
        <f>$B14 * IFERROR(VLOOKUP("LULUCF|PM25|Minor restricted activity days", US_national_yearly!$D:$AM, 24, FALSE) / VLOOKUP("LULUCF|PM25|Minor restricted activity days", US_national_yearly!$D:$AM, 10, FALSE), 1)</f>
        <v>0.23194998778873724</v>
      </c>
      <c r="Q14" s="7">
        <f>$B14 * IFERROR(VLOOKUP("LULUCF|PM25|Minor restricted activity days", US_national_yearly!$D:$AM, 25, FALSE) / VLOOKUP("LULUCF|PM25|Minor restricted activity days", US_national_yearly!$D:$AM, 10, FALSE), 1)</f>
        <v>0.23376397084620529</v>
      </c>
      <c r="R14" s="7">
        <f>$B14 * IFERROR(VLOOKUP("LULUCF|PM25|Minor restricted activity days", US_national_yearly!$D:$AM, 26, FALSE) / VLOOKUP("LULUCF|PM25|Minor restricted activity days", US_national_yearly!$D:$AM, 10, FALSE), 1)</f>
        <v>0.23557795390367331</v>
      </c>
      <c r="S14" s="7">
        <f>$B14 * IFERROR(VLOOKUP("LULUCF|PM25|Minor restricted activity days", US_national_yearly!$D:$AM, 27, FALSE) / VLOOKUP("LULUCF|PM25|Minor restricted activity days", US_national_yearly!$D:$AM, 10, FALSE), 1)</f>
        <v>0.2374044292680533</v>
      </c>
      <c r="T14" s="7">
        <f>$B14 * IFERROR(VLOOKUP("LULUCF|PM25|Minor restricted activity days", US_national_yearly!$D:$AM, 28, FALSE) / VLOOKUP("LULUCF|PM25|Minor restricted activity days", US_national_yearly!$D:$AM, 10, FALSE), 1)</f>
        <v>0.23923090463243327</v>
      </c>
      <c r="U14" s="7">
        <f>$B14 * IFERROR(VLOOKUP("LULUCF|PM25|Minor restricted activity days", US_national_yearly!$D:$AM, 29, FALSE) / VLOOKUP("LULUCF|PM25|Minor restricted activity days", US_national_yearly!$D:$AM, 10, FALSE), 1)</f>
        <v>0.24105737999681326</v>
      </c>
      <c r="V14" s="7">
        <f>$B14 * IFERROR(VLOOKUP("LULUCF|PM25|Minor restricted activity days", US_national_yearly!$D:$AM, 30, FALSE) / VLOOKUP("LULUCF|PM25|Minor restricted activity days", US_national_yearly!$D:$AM, 10, FALSE), 1)</f>
        <v>0.24288385536119322</v>
      </c>
      <c r="W14" s="7">
        <f>$B14 * IFERROR(VLOOKUP("LULUCF|PM25|Minor restricted activity days", US_national_yearly!$D:$AM, 31, FALSE) / VLOOKUP("LULUCF|PM25|Minor restricted activity days", US_national_yearly!$D:$AM, 10, FALSE), 1)</f>
        <v>0.24471033072557319</v>
      </c>
      <c r="X14" s="7">
        <f>$B14 * IFERROR(VLOOKUP("LULUCF|PM25|Minor restricted activity days", US_national_yearly!$D:$AM, 32, FALSE) / VLOOKUP("LULUCF|PM25|Minor restricted activity days", US_national_yearly!$D:$AM, 10, FALSE), 1)</f>
        <v>0.24629589508877267</v>
      </c>
      <c r="Y14" s="7">
        <f>$B14 * IFERROR(VLOOKUP("LULUCF|PM25|Minor restricted activity days", US_national_yearly!$D:$AM, 33, FALSE) / VLOOKUP("LULUCF|PM25|Minor restricted activity days", US_national_yearly!$D:$AM, 10, FALSE), 1)</f>
        <v>0.24788145945197215</v>
      </c>
      <c r="Z14" s="7">
        <f>$B14 * IFERROR(VLOOKUP("LULUCF|PM25|Minor restricted activity days", US_national_yearly!$D:$AM, 34, FALSE) / VLOOKUP("LULUCF|PM25|Minor restricted activity days", US_national_yearly!$D:$AM, 10, FALSE), 1)</f>
        <v>0.24946702381517161</v>
      </c>
      <c r="AA14" s="7">
        <f>$B14 * IFERROR(VLOOKUP("LULUCF|PM25|Minor restricted activity days", US_national_yearly!$D:$AM, 35, FALSE) / VLOOKUP("LULUCF|PM25|Minor restricted activity days", US_national_yearly!$D:$AM, 10, FALSE), 1)</f>
        <v>0.25105258817837106</v>
      </c>
      <c r="AB14" s="7">
        <f>$B14 * IFERROR(VLOOKUP("LULUCF|PM25|Minor restricted activity days", US_national_yearly!$D:$AM, 36, FALSE) / VLOOKUP("LULUCF|PM25|Minor restricted activity days", US_national_yearly!$D:$AM, 10, FALSE), 1)</f>
        <v>0.25263815254157052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3.6424449373377986E-2</v>
      </c>
      <c r="C15" s="7">
        <f>$B15 * IFERROR(VLOOKUP("LULUCF|PM25|Work loss days", US_national_yearly!$D:$AM, 11, FALSE) / VLOOKUP("LULUCF|PM25|Work loss days", US_national_yearly!$D:$AM, 10, FALSE), 1)</f>
        <v>3.6537352047412555E-2</v>
      </c>
      <c r="D15" s="7">
        <f>$B15 * IFERROR(VLOOKUP("LULUCF|PM25|Work loss days", US_national_yearly!$D:$AM, 12, FALSE) / VLOOKUP("LULUCF|PM25|Work loss days", US_national_yearly!$D:$AM, 10, FALSE), 1)</f>
        <v>3.6650254721447138E-2</v>
      </c>
      <c r="E15" s="7">
        <f>$B15 * IFERROR(VLOOKUP("LULUCF|PM25|Work loss days", US_national_yearly!$D:$AM, 13, FALSE) / VLOOKUP("LULUCF|PM25|Work loss days", US_national_yearly!$D:$AM, 10, FALSE), 1)</f>
        <v>3.6763157395481708E-2</v>
      </c>
      <c r="F15" s="7">
        <f>$B15 * IFERROR(VLOOKUP("LULUCF|PM25|Work loss days", US_national_yearly!$D:$AM, 14, FALSE) / VLOOKUP("LULUCF|PM25|Work loss days", US_national_yearly!$D:$AM, 10, FALSE), 1)</f>
        <v>3.6876060069516284E-2</v>
      </c>
      <c r="G15" s="7">
        <f>$B15 * IFERROR(VLOOKUP("LULUCF|PM25|Work loss days", US_national_yearly!$D:$AM, 15, FALSE) / VLOOKUP("LULUCF|PM25|Work loss days", US_national_yearly!$D:$AM, 10, FALSE), 1)</f>
        <v>3.7024082679603526E-2</v>
      </c>
      <c r="H15" s="7">
        <f>$B15 * IFERROR(VLOOKUP("LULUCF|PM25|Work loss days", US_national_yearly!$D:$AM, 16, FALSE) / VLOOKUP("LULUCF|PM25|Work loss days", US_national_yearly!$D:$AM, 10, FALSE), 1)</f>
        <v>3.7172105289690775E-2</v>
      </c>
      <c r="I15" s="7">
        <f>$B15 * IFERROR(VLOOKUP("LULUCF|PM25|Work loss days", US_national_yearly!$D:$AM, 17, FALSE) / VLOOKUP("LULUCF|PM25|Work loss days", US_national_yearly!$D:$AM, 10, FALSE), 1)</f>
        <v>3.7390084863297368E-2</v>
      </c>
      <c r="J15" s="7">
        <f>$B15 * IFERROR(VLOOKUP("LULUCF|PM25|Work loss days", US_national_yearly!$D:$AM, 18, FALSE) / VLOOKUP("LULUCF|PM25|Work loss days", US_national_yearly!$D:$AM, 10, FALSE), 1)</f>
        <v>3.7608064436903968E-2</v>
      </c>
      <c r="K15" s="7">
        <f>$B15 * IFERROR(VLOOKUP("LULUCF|PM25|Work loss days", US_national_yearly!$D:$AM, 19, FALSE) / VLOOKUP("LULUCF|PM25|Work loss days", US_national_yearly!$D:$AM, 10, FALSE), 1)</f>
        <v>3.7826044010510568E-2</v>
      </c>
      <c r="L15" s="7">
        <f>$B15 * IFERROR(VLOOKUP("LULUCF|PM25|Work loss days", US_national_yearly!$D:$AM, 20, FALSE) / VLOOKUP("LULUCF|PM25|Work loss days", US_national_yearly!$D:$AM, 10, FALSE), 1)</f>
        <v>3.8044023584117168E-2</v>
      </c>
      <c r="M15" s="7">
        <f>$B15 * IFERROR(VLOOKUP("LULUCF|PM25|Work loss days", US_national_yearly!$D:$AM, 21, FALSE) / VLOOKUP("LULUCF|PM25|Work loss days", US_national_yearly!$D:$AM, 10, FALSE), 1)</f>
        <v>3.8262003157723767E-2</v>
      </c>
      <c r="N15" s="7">
        <f>$B15 * IFERROR(VLOOKUP("LULUCF|PM25|Work loss days", US_national_yearly!$D:$AM, 22, FALSE) / VLOOKUP("LULUCF|PM25|Work loss days", US_national_yearly!$D:$AM, 10, FALSE), 1)</f>
        <v>3.853634694972026E-2</v>
      </c>
      <c r="O15" s="7">
        <f>$B15 * IFERROR(VLOOKUP("LULUCF|PM25|Work loss days", US_national_yearly!$D:$AM, 23, FALSE) / VLOOKUP("LULUCF|PM25|Work loss days", US_national_yearly!$D:$AM, 10, FALSE), 1)</f>
        <v>3.8810690741716745E-2</v>
      </c>
      <c r="P15" s="7">
        <f>$B15 * IFERROR(VLOOKUP("LULUCF|PM25|Work loss days", US_national_yearly!$D:$AM, 24, FALSE) / VLOOKUP("LULUCF|PM25|Work loss days", US_national_yearly!$D:$AM, 10, FALSE), 1)</f>
        <v>3.9085034533713238E-2</v>
      </c>
      <c r="Q15" s="7">
        <f>$B15 * IFERROR(VLOOKUP("LULUCF|PM25|Work loss days", US_national_yearly!$D:$AM, 25, FALSE) / VLOOKUP("LULUCF|PM25|Work loss days", US_national_yearly!$D:$AM, 10, FALSE), 1)</f>
        <v>3.9359378325709724E-2</v>
      </c>
      <c r="R15" s="7">
        <f>$B15 * IFERROR(VLOOKUP("LULUCF|PM25|Work loss days", US_national_yearly!$D:$AM, 26, FALSE) / VLOOKUP("LULUCF|PM25|Work loss days", US_national_yearly!$D:$AM, 10, FALSE), 1)</f>
        <v>3.9633722117706216E-2</v>
      </c>
      <c r="S15" s="7">
        <f>$B15 * IFERROR(VLOOKUP("LULUCF|PM25|Work loss days", US_national_yearly!$D:$AM, 27, FALSE) / VLOOKUP("LULUCF|PM25|Work loss days", US_national_yearly!$D:$AM, 10, FALSE), 1)</f>
        <v>3.9937158064338146E-2</v>
      </c>
      <c r="T15" s="7">
        <f>$B15 * IFERROR(VLOOKUP("LULUCF|PM25|Work loss days", US_national_yearly!$D:$AM, 28, FALSE) / VLOOKUP("LULUCF|PM25|Work loss days", US_national_yearly!$D:$AM, 10, FALSE), 1)</f>
        <v>4.0240594010970084E-2</v>
      </c>
      <c r="U15" s="7">
        <f>$B15 * IFERROR(VLOOKUP("LULUCF|PM25|Work loss days", US_national_yearly!$D:$AM, 29, FALSE) / VLOOKUP("LULUCF|PM25|Work loss days", US_national_yearly!$D:$AM, 10, FALSE), 1)</f>
        <v>4.0544029957602007E-2</v>
      </c>
      <c r="V15" s="7">
        <f>$B15 * IFERROR(VLOOKUP("LULUCF|PM25|Work loss days", US_national_yearly!$D:$AM, 30, FALSE) / VLOOKUP("LULUCF|PM25|Work loss days", US_national_yearly!$D:$AM, 10, FALSE), 1)</f>
        <v>4.0847465904233944E-2</v>
      </c>
      <c r="W15" s="7">
        <f>$B15 * IFERROR(VLOOKUP("LULUCF|PM25|Work loss days", US_national_yearly!$D:$AM, 31, FALSE) / VLOOKUP("LULUCF|PM25|Work loss days", US_national_yearly!$D:$AM, 10, FALSE), 1)</f>
        <v>4.1150901850865881E-2</v>
      </c>
      <c r="X15" s="7">
        <f>$B15 * IFERROR(VLOOKUP("LULUCF|PM25|Work loss days", US_national_yearly!$D:$AM, 32, FALSE) / VLOOKUP("LULUCF|PM25|Work loss days", US_national_yearly!$D:$AM, 10, FALSE), 1)</f>
        <v>4.1420131373302374E-2</v>
      </c>
      <c r="Y15" s="7">
        <f>$B15 * IFERROR(VLOOKUP("LULUCF|PM25|Work loss days", US_national_yearly!$D:$AM, 33, FALSE) / VLOOKUP("LULUCF|PM25|Work loss days", US_national_yearly!$D:$AM, 10, FALSE), 1)</f>
        <v>4.1689360895738867E-2</v>
      </c>
      <c r="Z15" s="7">
        <f>$B15 * IFERROR(VLOOKUP("LULUCF|PM25|Work loss days", US_national_yearly!$D:$AM, 34, FALSE) / VLOOKUP("LULUCF|PM25|Work loss days", US_national_yearly!$D:$AM, 10, FALSE), 1)</f>
        <v>4.1958590418175366E-2</v>
      </c>
      <c r="AA15" s="7">
        <f>$B15 * IFERROR(VLOOKUP("LULUCF|PM25|Work loss days", US_national_yearly!$D:$AM, 35, FALSE) / VLOOKUP("LULUCF|PM25|Work loss days", US_national_yearly!$D:$AM, 10, FALSE), 1)</f>
        <v>4.2227819940611866E-2</v>
      </c>
      <c r="AB15" s="7">
        <f>$B15 * IFERROR(VLOOKUP("LULUCF|PM25|Work loss days", US_national_yearly!$D:$AM, 36, FALSE) / VLOOKUP("LULUCF|PM25|Work loss days", US_national_yearly!$D:$AM, 10, FALSE), 1)</f>
        <v>4.2497049463048359E-2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8.2358393371252645E-5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8.4819319595081616E-5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8.7280245818910615E-5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8.9741172042739599E-5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9.2202098266568598E-5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9.4559226001742142E-5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9.6916353736915727E-5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9.8932298787536536E-5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1.0094824383815733E-4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1.0296418888877813E-4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1.0498013393939895E-4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1.0699607899001974E-4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1.0834015558198165E-4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1.0968423217394357E-4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1.1102830876590547E-4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1.123723853578674E-4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1.1371646194982931E-4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1.1442760395140426E-4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1.151387459529792E-4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1.1584988795455412E-4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1.1656102995612906E-4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1.17272171957704E-4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1.1775092210750488E-4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1.1822967225730578E-4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1.1870842240710666E-4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1.1918717255690756E-4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1.1966592270670844E-4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7.8497541275448124E-4</v>
      </c>
      <c r="C2" s="7">
        <f>$B2 * IFERROR(VLOOKUP("LULUCF|NOx|Premature mortality", US_national_yearly!$D:$AM, 11, FALSE) / VLOOKUP("LULUCF|NOx|Premature mortality", US_national_yearly!$D:$AM, 10, FALSE), 1)</f>
        <v>7.9650537476058409E-4</v>
      </c>
      <c r="D2" s="7">
        <f>$B2 * IFERROR(VLOOKUP("LULUCF|NOx|Premature mortality", US_national_yearly!$D:$AM, 12, FALSE) / VLOOKUP("LULUCF|NOx|Premature mortality", US_national_yearly!$D:$AM, 10, FALSE), 1)</f>
        <v>8.0803533676668672E-4</v>
      </c>
      <c r="E2" s="7">
        <f>$B2 * IFERROR(VLOOKUP("LULUCF|NOx|Premature mortality", US_national_yearly!$D:$AM, 13, FALSE) / VLOOKUP("LULUCF|NOx|Premature mortality", US_national_yearly!$D:$AM, 10, FALSE), 1)</f>
        <v>8.1956529877278957E-4</v>
      </c>
      <c r="F2" s="7">
        <f>$B2 * IFERROR(VLOOKUP("LULUCF|NOx|Premature mortality", US_national_yearly!$D:$AM, 14, FALSE) / VLOOKUP("LULUCF|NOx|Premature mortality", US_national_yearly!$D:$AM, 10, FALSE), 1)</f>
        <v>8.3109526077889241E-4</v>
      </c>
      <c r="G2" s="7">
        <f>$B2 * IFERROR(VLOOKUP("LULUCF|NOx|Premature mortality", US_national_yearly!$D:$AM, 15, FALSE) / VLOOKUP("LULUCF|NOx|Premature mortality", US_national_yearly!$D:$AM, 10, FALSE), 1)</f>
        <v>8.5180579850394631E-4</v>
      </c>
      <c r="H2" s="7">
        <f>$B2 * IFERROR(VLOOKUP("LULUCF|NOx|Premature mortality", US_national_yearly!$D:$AM, 16, FALSE) / VLOOKUP("LULUCF|NOx|Premature mortality", US_national_yearly!$D:$AM, 10, FALSE), 1)</f>
        <v>8.7251633622900042E-4</v>
      </c>
      <c r="I2" s="7">
        <f>$B2 * IFERROR(VLOOKUP("LULUCF|NOx|Premature mortality", US_national_yearly!$D:$AM, 17, FALSE) / VLOOKUP("LULUCF|NOx|Premature mortality", US_national_yearly!$D:$AM, 10, FALSE), 1)</f>
        <v>8.8588538118115337E-4</v>
      </c>
      <c r="J2" s="7">
        <f>$B2 * IFERROR(VLOOKUP("LULUCF|NOx|Premature mortality", US_national_yearly!$D:$AM, 18, FALSE) / VLOOKUP("LULUCF|NOx|Premature mortality", US_national_yearly!$D:$AM, 10, FALSE), 1)</f>
        <v>8.9925442613330642E-4</v>
      </c>
      <c r="K2" s="7">
        <f>$B2 * IFERROR(VLOOKUP("LULUCF|NOx|Premature mortality", US_national_yearly!$D:$AM, 19, FALSE) / VLOOKUP("LULUCF|NOx|Premature mortality", US_national_yearly!$D:$AM, 10, FALSE), 1)</f>
        <v>9.1262347108545937E-4</v>
      </c>
      <c r="L2" s="7">
        <f>$B2 * IFERROR(VLOOKUP("LULUCF|NOx|Premature mortality", US_national_yearly!$D:$AM, 20, FALSE) / VLOOKUP("LULUCF|NOx|Premature mortality", US_national_yearly!$D:$AM, 10, FALSE), 1)</f>
        <v>9.2599251603761232E-4</v>
      </c>
      <c r="M2" s="7">
        <f>$B2 * IFERROR(VLOOKUP("LULUCF|NOx|Premature mortality", US_national_yearly!$D:$AM, 21, FALSE) / VLOOKUP("LULUCF|NOx|Premature mortality", US_national_yearly!$D:$AM, 10, FALSE), 1)</f>
        <v>9.3936156098976549E-4</v>
      </c>
      <c r="N2" s="7">
        <f>$B2 * IFERROR(VLOOKUP("LULUCF|NOx|Premature mortality", US_national_yearly!$D:$AM, 22, FALSE) / VLOOKUP("LULUCF|NOx|Premature mortality", US_national_yearly!$D:$AM, 10, FALSE), 1)</f>
        <v>9.4926529751757386E-4</v>
      </c>
      <c r="O2" s="7">
        <f>$B2 * IFERROR(VLOOKUP("LULUCF|NOx|Premature mortality", US_national_yearly!$D:$AM, 23, FALSE) / VLOOKUP("LULUCF|NOx|Premature mortality", US_national_yearly!$D:$AM, 10, FALSE), 1)</f>
        <v>9.5916903404538235E-4</v>
      </c>
      <c r="P2" s="7">
        <f>$B2 * IFERROR(VLOOKUP("LULUCF|NOx|Premature mortality", US_national_yearly!$D:$AM, 24, FALSE) / VLOOKUP("LULUCF|NOx|Premature mortality", US_national_yearly!$D:$AM, 10, FALSE), 1)</f>
        <v>9.6907277057319084E-4</v>
      </c>
      <c r="Q2" s="7">
        <f>$B2 * IFERROR(VLOOKUP("LULUCF|NOx|Premature mortality", US_national_yearly!$D:$AM, 25, FALSE) / VLOOKUP("LULUCF|NOx|Premature mortality", US_national_yearly!$D:$AM, 10, FALSE), 1)</f>
        <v>9.7897650710099954E-4</v>
      </c>
      <c r="R2" s="7">
        <f>$B2 * IFERROR(VLOOKUP("LULUCF|NOx|Premature mortality", US_national_yearly!$D:$AM, 26, FALSE) / VLOOKUP("LULUCF|NOx|Premature mortality", US_national_yearly!$D:$AM, 10, FALSE), 1)</f>
        <v>9.8888024362880781E-4</v>
      </c>
      <c r="S2" s="7">
        <f>$B2 * IFERROR(VLOOKUP("LULUCF|NOx|Premature mortality", US_national_yearly!$D:$AM, 27, FALSE) / VLOOKUP("LULUCF|NOx|Premature mortality", US_national_yearly!$D:$AM, 10, FALSE), 1)</f>
        <v>9.933815916099984E-4</v>
      </c>
      <c r="T2" s="7">
        <f>$B2 * IFERROR(VLOOKUP("LULUCF|NOx|Premature mortality", US_national_yearly!$D:$AM, 28, FALSE) / VLOOKUP("LULUCF|NOx|Premature mortality", US_national_yearly!$D:$AM, 10, FALSE), 1)</f>
        <v>9.9788293959118899E-4</v>
      </c>
      <c r="U2" s="7">
        <f>$B2 * IFERROR(VLOOKUP("LULUCF|NOx|Premature mortality", US_national_yearly!$D:$AM, 29, FALSE) / VLOOKUP("LULUCF|NOx|Premature mortality", US_national_yearly!$D:$AM, 10, FALSE), 1)</f>
        <v>1.0023842875723794E-3</v>
      </c>
      <c r="V2" s="7">
        <f>$B2 * IFERROR(VLOOKUP("LULUCF|NOx|Premature mortality", US_national_yearly!$D:$AM, 30, FALSE) / VLOOKUP("LULUCF|NOx|Premature mortality", US_national_yearly!$D:$AM, 10, FALSE), 1)</f>
        <v>1.00688563555357E-3</v>
      </c>
      <c r="W2" s="7">
        <f>$B2 * IFERROR(VLOOKUP("LULUCF|NOx|Premature mortality", US_national_yearly!$D:$AM, 31, FALSE) / VLOOKUP("LULUCF|NOx|Premature mortality", US_national_yearly!$D:$AM, 10, FALSE), 1)</f>
        <v>1.0113869835347605E-3</v>
      </c>
      <c r="X2" s="7">
        <f>$B2 * IFERROR(VLOOKUP("LULUCF|NOx|Premature mortality", US_national_yearly!$D:$AM, 32, FALSE) / VLOOKUP("LULUCF|NOx|Premature mortality", US_national_yearly!$D:$AM, 10, FALSE), 1)</f>
        <v>1.0115429076450345E-3</v>
      </c>
      <c r="Y2" s="7">
        <f>$B2 * IFERROR(VLOOKUP("LULUCF|NOx|Premature mortality", US_national_yearly!$D:$AM, 33, FALSE) / VLOOKUP("LULUCF|NOx|Premature mortality", US_national_yearly!$D:$AM, 10, FALSE), 1)</f>
        <v>1.0116988317553086E-3</v>
      </c>
      <c r="Z2" s="7">
        <f>$B2 * IFERROR(VLOOKUP("LULUCF|NOx|Premature mortality", US_national_yearly!$D:$AM, 34, FALSE) / VLOOKUP("LULUCF|NOx|Premature mortality", US_national_yearly!$D:$AM, 10, FALSE), 1)</f>
        <v>1.0118547558655825E-3</v>
      </c>
      <c r="AA2" s="7">
        <f>$B2 * IFERROR(VLOOKUP("LULUCF|NOx|Premature mortality", US_national_yearly!$D:$AM, 35, FALSE) / VLOOKUP("LULUCF|NOx|Premature mortality", US_national_yearly!$D:$AM, 10, FALSE), 1)</f>
        <v>1.0120106799758567E-3</v>
      </c>
      <c r="AB2" s="7">
        <f>$B2 * IFERROR(VLOOKUP("LULUCF|NOx|Premature mortality", US_national_yearly!$D:$AM, 36, FALSE) / VLOOKUP("LULUCF|NOx|Premature mortality", US_national_yearly!$D:$AM, 10, FALSE), 1)</f>
        <v>1.0121666040861306E-3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2.0544105185206148E-6</v>
      </c>
      <c r="C3" s="7">
        <f>$B3 * IFERROR(VLOOKUP("LULUCF|NOx|Infant mortality", US_national_yearly!$D:$AM, 11, FALSE) / VLOOKUP("LULUCF|NOx|Infant mortality", US_national_yearly!$D:$AM, 10, FALSE), 1)</f>
        <v>2.034837023359857E-6</v>
      </c>
      <c r="D3" s="7">
        <f>$B3 * IFERROR(VLOOKUP("LULUCF|NOx|Infant mortality", US_national_yearly!$D:$AM, 12, FALSE) / VLOOKUP("LULUCF|NOx|Infant mortality", US_national_yearly!$D:$AM, 10, FALSE), 1)</f>
        <v>2.0152635281990987E-6</v>
      </c>
      <c r="E3" s="7">
        <f>$B3 * IFERROR(VLOOKUP("LULUCF|NOx|Infant mortality", US_national_yearly!$D:$AM, 13, FALSE) / VLOOKUP("LULUCF|NOx|Infant mortality", US_national_yearly!$D:$AM, 10, FALSE), 1)</f>
        <v>1.9956900330383409E-6</v>
      </c>
      <c r="F3" s="7">
        <f>$B3 * IFERROR(VLOOKUP("LULUCF|NOx|Infant mortality", US_national_yearly!$D:$AM, 14, FALSE) / VLOOKUP("LULUCF|NOx|Infant mortality", US_national_yearly!$D:$AM, 10, FALSE), 1)</f>
        <v>1.9761165378775831E-6</v>
      </c>
      <c r="G3" s="7">
        <f>$B3 * IFERROR(VLOOKUP("LULUCF|NOx|Infant mortality", US_national_yearly!$D:$AM, 15, FALSE) / VLOOKUP("LULUCF|NOx|Infant mortality", US_national_yearly!$D:$AM, 10, FALSE), 1)</f>
        <v>1.3118437404195991E-6</v>
      </c>
      <c r="H3" s="7">
        <f>$B3 * IFERROR(VLOOKUP("LULUCF|NOx|Infant mortality", US_national_yearly!$D:$AM, 16, FALSE) / VLOOKUP("LULUCF|NOx|Infant mortality", US_national_yearly!$D:$AM, 10, FALSE), 1)</f>
        <v>6.4757094296161533E-7</v>
      </c>
      <c r="I3" s="7">
        <f>$B3 * IFERROR(VLOOKUP("LULUCF|NOx|Infant mortality", US_national_yearly!$D:$AM, 17, FALSE) / VLOOKUP("LULUCF|NOx|Infant mortality", US_national_yearly!$D:$AM, 10, FALSE), 1)</f>
        <v>6.4299199809162081E-7</v>
      </c>
      <c r="J3" s="7">
        <f>$B3 * IFERROR(VLOOKUP("LULUCF|NOx|Infant mortality", US_national_yearly!$D:$AM, 18, FALSE) / VLOOKUP("LULUCF|NOx|Infant mortality", US_national_yearly!$D:$AM, 10, FALSE), 1)</f>
        <v>6.3841305322162619E-7</v>
      </c>
      <c r="K3" s="7">
        <f>$B3 * IFERROR(VLOOKUP("LULUCF|NOx|Infant mortality", US_national_yearly!$D:$AM, 19, FALSE) / VLOOKUP("LULUCF|NOx|Infant mortality", US_national_yearly!$D:$AM, 10, FALSE), 1)</f>
        <v>6.3383410835163168E-7</v>
      </c>
      <c r="L3" s="7">
        <f>$B3 * IFERROR(VLOOKUP("LULUCF|NOx|Infant mortality", US_national_yearly!$D:$AM, 20, FALSE) / VLOOKUP("LULUCF|NOx|Infant mortality", US_national_yearly!$D:$AM, 10, FALSE), 1)</f>
        <v>6.2925516348163716E-7</v>
      </c>
      <c r="M3" s="7">
        <f>$B3 * IFERROR(VLOOKUP("LULUCF|NOx|Infant mortality", US_national_yearly!$D:$AM, 21, FALSE) / VLOOKUP("LULUCF|NOx|Infant mortality", US_national_yearly!$D:$AM, 10, FALSE), 1)</f>
        <v>6.2467621861164254E-7</v>
      </c>
      <c r="N3" s="7">
        <f>$B3 * IFERROR(VLOOKUP("LULUCF|NOx|Infant mortality", US_national_yearly!$D:$AM, 22, FALSE) / VLOOKUP("LULUCF|NOx|Infant mortality", US_national_yearly!$D:$AM, 10, FALSE), 1)</f>
        <v>6.2163690646400205E-7</v>
      </c>
      <c r="O3" s="7">
        <f>$B3 * IFERROR(VLOOKUP("LULUCF|NOx|Infant mortality", US_national_yearly!$D:$AM, 23, FALSE) / VLOOKUP("LULUCF|NOx|Infant mortality", US_national_yearly!$D:$AM, 10, FALSE), 1)</f>
        <v>6.1859759431636167E-7</v>
      </c>
      <c r="P3" s="7">
        <f>$B3 * IFERROR(VLOOKUP("LULUCF|NOx|Infant mortality", US_national_yearly!$D:$AM, 24, FALSE) / VLOOKUP("LULUCF|NOx|Infant mortality", US_national_yearly!$D:$AM, 10, FALSE), 1)</f>
        <v>6.1555828216872129E-7</v>
      </c>
      <c r="Q3" s="7">
        <f>$B3 * IFERROR(VLOOKUP("LULUCF|NOx|Infant mortality", US_national_yearly!$D:$AM, 25, FALSE) / VLOOKUP("LULUCF|NOx|Infant mortality", US_national_yearly!$D:$AM, 10, FALSE), 1)</f>
        <v>6.1251897002108091E-7</v>
      </c>
      <c r="R3" s="7">
        <f>$B3 * IFERROR(VLOOKUP("LULUCF|NOx|Infant mortality", US_national_yearly!$D:$AM, 26, FALSE) / VLOOKUP("LULUCF|NOx|Infant mortality", US_national_yearly!$D:$AM, 10, FALSE), 1)</f>
        <v>6.0947965787344042E-7</v>
      </c>
      <c r="S3" s="7">
        <f>$B3 * IFERROR(VLOOKUP("LULUCF|NOx|Infant mortality", US_national_yearly!$D:$AM, 27, FALSE) / VLOOKUP("LULUCF|NOx|Infant mortality", US_national_yearly!$D:$AM, 10, FALSE), 1)</f>
        <v>6.058259213489313E-7</v>
      </c>
      <c r="T3" s="7">
        <f>$B3 * IFERROR(VLOOKUP("LULUCF|NOx|Infant mortality", US_national_yearly!$D:$AM, 28, FALSE) / VLOOKUP("LULUCF|NOx|Infant mortality", US_national_yearly!$D:$AM, 10, FALSE), 1)</f>
        <v>6.0217218482442218E-7</v>
      </c>
      <c r="U3" s="7">
        <f>$B3 * IFERROR(VLOOKUP("LULUCF|NOx|Infant mortality", US_national_yearly!$D:$AM, 29, FALSE) / VLOOKUP("LULUCF|NOx|Infant mortality", US_national_yearly!$D:$AM, 10, FALSE), 1)</f>
        <v>5.9851844829991306E-7</v>
      </c>
      <c r="V3" s="7">
        <f>$B3 * IFERROR(VLOOKUP("LULUCF|NOx|Infant mortality", US_national_yearly!$D:$AM, 30, FALSE) / VLOOKUP("LULUCF|NOx|Infant mortality", US_national_yearly!$D:$AM, 10, FALSE), 1)</f>
        <v>5.9486471177540393E-7</v>
      </c>
      <c r="W3" s="7">
        <f>$B3 * IFERROR(VLOOKUP("LULUCF|NOx|Infant mortality", US_national_yearly!$D:$AM, 31, FALSE) / VLOOKUP("LULUCF|NOx|Infant mortality", US_national_yearly!$D:$AM, 10, FALSE), 1)</f>
        <v>5.9121097525089481E-7</v>
      </c>
      <c r="X3" s="7">
        <f>$B3 * IFERROR(VLOOKUP("LULUCF|NOx|Infant mortality", US_national_yearly!$D:$AM, 32, FALSE) / VLOOKUP("LULUCF|NOx|Infant mortality", US_national_yearly!$D:$AM, 10, FALSE), 1)</f>
        <v>5.873414915839528E-7</v>
      </c>
      <c r="Y3" s="7">
        <f>$B3 * IFERROR(VLOOKUP("LULUCF|NOx|Infant mortality", US_national_yearly!$D:$AM, 33, FALSE) / VLOOKUP("LULUCF|NOx|Infant mortality", US_national_yearly!$D:$AM, 10, FALSE), 1)</f>
        <v>5.8347200791701057E-7</v>
      </c>
      <c r="Z3" s="7">
        <f>$B3 * IFERROR(VLOOKUP("LULUCF|NOx|Infant mortality", US_national_yearly!$D:$AM, 34, FALSE) / VLOOKUP("LULUCF|NOx|Infant mortality", US_national_yearly!$D:$AM, 10, FALSE), 1)</f>
        <v>5.7960252425006845E-7</v>
      </c>
      <c r="AA3" s="7">
        <f>$B3 * IFERROR(VLOOKUP("LULUCF|NOx|Infant mortality", US_national_yearly!$D:$AM, 35, FALSE) / VLOOKUP("LULUCF|NOx|Infant mortality", US_national_yearly!$D:$AM, 10, FALSE), 1)</f>
        <v>5.7573304058312633E-7</v>
      </c>
      <c r="AB3" s="7">
        <f>$B3 * IFERROR(VLOOKUP("LULUCF|NOx|Infant mortality", US_national_yearly!$D:$AM, 36, FALSE) / VLOOKUP("LULUCF|NOx|Infant mortality", US_national_yearly!$D:$AM, 10, FALSE), 1)</f>
        <v>5.7186355691618421E-7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1.8235440905998231E-3</v>
      </c>
      <c r="C6" s="7">
        <f>$B6 * IFERROR(VLOOKUP("LULUCF|NOx|Asthma symptoms cough", US_national_yearly!$D:$AM, 11, FALSE) / VLOOKUP("LULUCF|NOx|Asthma symptoms cough", US_national_yearly!$D:$AM, 10, FALSE), 1)</f>
        <v>1.8484749196948942E-3</v>
      </c>
      <c r="D6" s="7">
        <f>$B6 * IFERROR(VLOOKUP("LULUCF|NOx|Asthma symptoms cough", US_national_yearly!$D:$AM, 12, FALSE) / VLOOKUP("LULUCF|NOx|Asthma symptoms cough", US_national_yearly!$D:$AM, 10, FALSE), 1)</f>
        <v>1.873405748789965E-3</v>
      </c>
      <c r="E6" s="7">
        <f>$B6 * IFERROR(VLOOKUP("LULUCF|NOx|Asthma symptoms cough", US_national_yearly!$D:$AM, 13, FALSE) / VLOOKUP("LULUCF|NOx|Asthma symptoms cough", US_national_yearly!$D:$AM, 10, FALSE), 1)</f>
        <v>1.8983365778850361E-3</v>
      </c>
      <c r="F6" s="7">
        <f>$B6 * IFERROR(VLOOKUP("LULUCF|NOx|Asthma symptoms cough", US_national_yearly!$D:$AM, 14, FALSE) / VLOOKUP("LULUCF|NOx|Asthma symptoms cough", US_national_yearly!$D:$AM, 10, FALSE), 1)</f>
        <v>1.9232674069801069E-3</v>
      </c>
      <c r="G6" s="7">
        <f>$B6 * IFERROR(VLOOKUP("LULUCF|NOx|Asthma symptoms cough", US_national_yearly!$D:$AM, 15, FALSE) / VLOOKUP("LULUCF|NOx|Asthma symptoms cough", US_national_yearly!$D:$AM, 10, FALSE), 1)</f>
        <v>1.9431711901645224E-3</v>
      </c>
      <c r="H6" s="7">
        <f>$B6 * IFERROR(VLOOKUP("LULUCF|NOx|Asthma symptoms cough", US_national_yearly!$D:$AM, 16, FALSE) / VLOOKUP("LULUCF|NOx|Asthma symptoms cough", US_national_yearly!$D:$AM, 10, FALSE), 1)</f>
        <v>1.9630749733489383E-3</v>
      </c>
      <c r="I6" s="7">
        <f>$B6 * IFERROR(VLOOKUP("LULUCF|NOx|Asthma symptoms cough", US_national_yearly!$D:$AM, 17, FALSE) / VLOOKUP("LULUCF|NOx|Asthma symptoms cough", US_national_yearly!$D:$AM, 10, FALSE), 1)</f>
        <v>1.9699255709814795E-3</v>
      </c>
      <c r="J6" s="7">
        <f>$B6 * IFERROR(VLOOKUP("LULUCF|NOx|Asthma symptoms cough", US_national_yearly!$D:$AM, 18, FALSE) / VLOOKUP("LULUCF|NOx|Asthma symptoms cough", US_national_yearly!$D:$AM, 10, FALSE), 1)</f>
        <v>1.9767761686140212E-3</v>
      </c>
      <c r="K6" s="7">
        <f>$B6 * IFERROR(VLOOKUP("LULUCF|NOx|Asthma symptoms cough", US_national_yearly!$D:$AM, 19, FALSE) / VLOOKUP("LULUCF|NOx|Asthma symptoms cough", US_national_yearly!$D:$AM, 10, FALSE), 1)</f>
        <v>1.9836267662465623E-3</v>
      </c>
      <c r="L6" s="7">
        <f>$B6 * IFERROR(VLOOKUP("LULUCF|NOx|Asthma symptoms cough", US_national_yearly!$D:$AM, 20, FALSE) / VLOOKUP("LULUCF|NOx|Asthma symptoms cough", US_national_yearly!$D:$AM, 10, FALSE), 1)</f>
        <v>1.9904773638791035E-3</v>
      </c>
      <c r="M6" s="7">
        <f>$B6 * IFERROR(VLOOKUP("LULUCF|NOx|Asthma symptoms cough", US_national_yearly!$D:$AM, 21, FALSE) / VLOOKUP("LULUCF|NOx|Asthma symptoms cough", US_national_yearly!$D:$AM, 10, FALSE), 1)</f>
        <v>1.9973279615116452E-3</v>
      </c>
      <c r="N6" s="7">
        <f>$B6 * IFERROR(VLOOKUP("LULUCF|NOx|Asthma symptoms cough", US_national_yearly!$D:$AM, 22, FALSE) / VLOOKUP("LULUCF|NOx|Asthma symptoms cough", US_national_yearly!$D:$AM, 10, FALSE), 1)</f>
        <v>2.0052717396118781E-3</v>
      </c>
      <c r="O6" s="7">
        <f>$B6 * IFERROR(VLOOKUP("LULUCF|NOx|Asthma symptoms cough", US_national_yearly!$D:$AM, 23, FALSE) / VLOOKUP("LULUCF|NOx|Asthma symptoms cough", US_national_yearly!$D:$AM, 10, FALSE), 1)</f>
        <v>2.0132155177121107E-3</v>
      </c>
      <c r="P6" s="7">
        <f>$B6 * IFERROR(VLOOKUP("LULUCF|NOx|Asthma symptoms cough", US_national_yearly!$D:$AM, 24, FALSE) / VLOOKUP("LULUCF|NOx|Asthma symptoms cough", US_national_yearly!$D:$AM, 10, FALSE), 1)</f>
        <v>2.0211592958123432E-3</v>
      </c>
      <c r="Q6" s="7">
        <f>$B6 * IFERROR(VLOOKUP("LULUCF|NOx|Asthma symptoms cough", US_national_yearly!$D:$AM, 25, FALSE) / VLOOKUP("LULUCF|NOx|Asthma symptoms cough", US_national_yearly!$D:$AM, 10, FALSE), 1)</f>
        <v>2.0291030739125761E-3</v>
      </c>
      <c r="R6" s="7">
        <f>$B6 * IFERROR(VLOOKUP("LULUCF|NOx|Asthma symptoms cough", US_national_yearly!$D:$AM, 26, FALSE) / VLOOKUP("LULUCF|NOx|Asthma symptoms cough", US_national_yearly!$D:$AM, 10, FALSE), 1)</f>
        <v>2.0370468520128091E-3</v>
      </c>
      <c r="S6" s="7">
        <f>$B6 * IFERROR(VLOOKUP("LULUCF|NOx|Asthma symptoms cough", US_national_yearly!$D:$AM, 27, FALSE) / VLOOKUP("LULUCF|NOx|Asthma symptoms cough", US_national_yearly!$D:$AM, 10, FALSE), 1)</f>
        <v>2.0474239562862902E-3</v>
      </c>
      <c r="T6" s="7">
        <f>$B6 * IFERROR(VLOOKUP("LULUCF|NOx|Asthma symptoms cough", US_national_yearly!$D:$AM, 28, FALSE) / VLOOKUP("LULUCF|NOx|Asthma symptoms cough", US_national_yearly!$D:$AM, 10, FALSE), 1)</f>
        <v>2.0578010605597709E-3</v>
      </c>
      <c r="U6" s="7">
        <f>$B6 * IFERROR(VLOOKUP("LULUCF|NOx|Asthma symptoms cough", US_national_yearly!$D:$AM, 29, FALSE) / VLOOKUP("LULUCF|NOx|Asthma symptoms cough", US_national_yearly!$D:$AM, 10, FALSE), 1)</f>
        <v>2.0681781648332512E-3</v>
      </c>
      <c r="V6" s="7">
        <f>$B6 * IFERROR(VLOOKUP("LULUCF|NOx|Asthma symptoms cough", US_national_yearly!$D:$AM, 30, FALSE) / VLOOKUP("LULUCF|NOx|Asthma symptoms cough", US_national_yearly!$D:$AM, 10, FALSE), 1)</f>
        <v>2.0785552691067323E-3</v>
      </c>
      <c r="W6" s="7">
        <f>$B6 * IFERROR(VLOOKUP("LULUCF|NOx|Asthma symptoms cough", US_national_yearly!$D:$AM, 31, FALSE) / VLOOKUP("LULUCF|NOx|Asthma symptoms cough", US_national_yearly!$D:$AM, 10, FALSE), 1)</f>
        <v>2.088932373380213E-3</v>
      </c>
      <c r="X6" s="7">
        <f>$B6 * IFERROR(VLOOKUP("LULUCF|NOx|Asthma symptoms cough", US_national_yearly!$D:$AM, 32, FALSE) / VLOOKUP("LULUCF|NOx|Asthma symptoms cough", US_national_yearly!$D:$AM, 10, FALSE), 1)</f>
        <v>2.0985741942901874E-3</v>
      </c>
      <c r="Y6" s="7">
        <f>$B6 * IFERROR(VLOOKUP("LULUCF|NOx|Asthma symptoms cough", US_national_yearly!$D:$AM, 33, FALSE) / VLOOKUP("LULUCF|NOx|Asthma symptoms cough", US_national_yearly!$D:$AM, 10, FALSE), 1)</f>
        <v>2.1082160152001623E-3</v>
      </c>
      <c r="Z6" s="7">
        <f>$B6 * IFERROR(VLOOKUP("LULUCF|NOx|Asthma symptoms cough", US_national_yearly!$D:$AM, 34, FALSE) / VLOOKUP("LULUCF|NOx|Asthma symptoms cough", US_national_yearly!$D:$AM, 10, FALSE), 1)</f>
        <v>2.1178578361101368E-3</v>
      </c>
      <c r="AA6" s="7">
        <f>$B6 * IFERROR(VLOOKUP("LULUCF|NOx|Asthma symptoms cough", US_national_yearly!$D:$AM, 35, FALSE) / VLOOKUP("LULUCF|NOx|Asthma symptoms cough", US_national_yearly!$D:$AM, 10, FALSE), 1)</f>
        <v>2.1274996570201116E-3</v>
      </c>
      <c r="AB6" s="7">
        <f>$B6 * IFERROR(VLOOKUP("LULUCF|NOx|Asthma symptoms cough", US_national_yearly!$D:$AM, 36, FALSE) / VLOOKUP("LULUCF|NOx|Asthma symptoms cough", US_national_yearly!$D:$AM, 10, FALSE), 1)</f>
        <v>2.1371414779300865E-3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2.4556146479674116E-3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2.4891869149498884E-3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2.5227591819323644E-3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2.5563314489148413E-3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2.5899037158973182E-3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2.616706479652179E-3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2.6435092434070398E-3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2.6527343714798876E-3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2.6619594995527349E-3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2.6711846276255826E-3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2.6804097556984304E-3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2.6896348837712777E-3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2.7003321067780553E-3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2.7110293297848333E-3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2.7217265527916105E-3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2.7324237757983881E-3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2.7431209988051657E-3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2.7570949791314594E-3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2.7710689594577539E-3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2.7850429397840476E-3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2.7990169201103409E-3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2.8129909004366346E-3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2.8259747360102226E-3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2.838958571583811E-3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2.8519424071573999E-3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2.8649262427309884E-3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2.8779100783045768E-3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3.7519486779683496E-3</v>
      </c>
      <c r="C8" s="7">
        <f>$B8 * IFERROR(VLOOKUP("LULUCF|NOx|Asthma symptoms wheeze", US_national_yearly!$D:$AM, 11, FALSE) / VLOOKUP("LULUCF|NOx|Asthma symptoms wheeze", US_national_yearly!$D:$AM, 10, FALSE), 1)</f>
        <v>3.803243950660179E-3</v>
      </c>
      <c r="D8" s="7">
        <f>$B8 * IFERROR(VLOOKUP("LULUCF|NOx|Asthma symptoms wheeze", US_national_yearly!$D:$AM, 12, FALSE) / VLOOKUP("LULUCF|NOx|Asthma symptoms wheeze", US_national_yearly!$D:$AM, 10, FALSE), 1)</f>
        <v>3.8545392233520102E-3</v>
      </c>
      <c r="E8" s="7">
        <f>$B8 * IFERROR(VLOOKUP("LULUCF|NOx|Asthma symptoms wheeze", US_national_yearly!$D:$AM, 13, FALSE) / VLOOKUP("LULUCF|NOx|Asthma symptoms wheeze", US_national_yearly!$D:$AM, 10, FALSE), 1)</f>
        <v>3.9058344960438396E-3</v>
      </c>
      <c r="F8" s="7">
        <f>$B8 * IFERROR(VLOOKUP("LULUCF|NOx|Asthma symptoms wheeze", US_national_yearly!$D:$AM, 14, FALSE) / VLOOKUP("LULUCF|NOx|Asthma symptoms wheeze", US_national_yearly!$D:$AM, 10, FALSE), 1)</f>
        <v>3.9571297687356691E-3</v>
      </c>
      <c r="G8" s="7">
        <f>$B8 * IFERROR(VLOOKUP("LULUCF|NOx|Asthma symptoms wheeze", US_national_yearly!$D:$AM, 15, FALSE) / VLOOKUP("LULUCF|NOx|Asthma symptoms wheeze", US_national_yearly!$D:$AM, 10, FALSE), 1)</f>
        <v>3.9980818759805144E-3</v>
      </c>
      <c r="H8" s="7">
        <f>$B8 * IFERROR(VLOOKUP("LULUCF|NOx|Asthma symptoms wheeze", US_national_yearly!$D:$AM, 16, FALSE) / VLOOKUP("LULUCF|NOx|Asthma symptoms wheeze", US_national_yearly!$D:$AM, 10, FALSE), 1)</f>
        <v>4.0390339832253597E-3</v>
      </c>
      <c r="I8" s="7">
        <f>$B8 * IFERROR(VLOOKUP("LULUCF|NOx|Asthma symptoms wheeze", US_national_yearly!$D:$AM, 17, FALSE) / VLOOKUP("LULUCF|NOx|Asthma symptoms wheeze", US_national_yearly!$D:$AM, 10, FALSE), 1)</f>
        <v>4.053129113149952E-3</v>
      </c>
      <c r="J8" s="7">
        <f>$B8 * IFERROR(VLOOKUP("LULUCF|NOx|Asthma symptoms wheeze", US_national_yearly!$D:$AM, 18, FALSE) / VLOOKUP("LULUCF|NOx|Asthma symptoms wheeze", US_national_yearly!$D:$AM, 10, FALSE), 1)</f>
        <v>4.0672242430745452E-3</v>
      </c>
      <c r="K8" s="7">
        <f>$B8 * IFERROR(VLOOKUP("LULUCF|NOx|Asthma symptoms wheeze", US_national_yearly!$D:$AM, 19, FALSE) / VLOOKUP("LULUCF|NOx|Asthma symptoms wheeze", US_national_yearly!$D:$AM, 10, FALSE), 1)</f>
        <v>4.0813193729991367E-3</v>
      </c>
      <c r="L8" s="7">
        <f>$B8 * IFERROR(VLOOKUP("LULUCF|NOx|Asthma symptoms wheeze", US_national_yearly!$D:$AM, 20, FALSE) / VLOOKUP("LULUCF|NOx|Asthma symptoms wheeze", US_national_yearly!$D:$AM, 10, FALSE), 1)</f>
        <v>4.095414502923729E-3</v>
      </c>
      <c r="M8" s="7">
        <f>$B8 * IFERROR(VLOOKUP("LULUCF|NOx|Asthma symptoms wheeze", US_national_yearly!$D:$AM, 21, FALSE) / VLOOKUP("LULUCF|NOx|Asthma symptoms wheeze", US_national_yearly!$D:$AM, 10, FALSE), 1)</f>
        <v>4.1095096328483214E-3</v>
      </c>
      <c r="N8" s="7">
        <f>$B8 * IFERROR(VLOOKUP("LULUCF|NOx|Asthma symptoms wheeze", US_national_yearly!$D:$AM, 22, FALSE) / VLOOKUP("LULUCF|NOx|Asthma symptoms wheeze", US_national_yearly!$D:$AM, 10, FALSE), 1)</f>
        <v>4.1258539856282479E-3</v>
      </c>
      <c r="O8" s="7">
        <f>$B8 * IFERROR(VLOOKUP("LULUCF|NOx|Asthma symptoms wheeze", US_national_yearly!$D:$AM, 23, FALSE) / VLOOKUP("LULUCF|NOx|Asthma symptoms wheeze", US_national_yearly!$D:$AM, 10, FALSE), 1)</f>
        <v>4.1421983384081753E-3</v>
      </c>
      <c r="P8" s="7">
        <f>$B8 * IFERROR(VLOOKUP("LULUCF|NOx|Asthma symptoms wheeze", US_national_yearly!$D:$AM, 24, FALSE) / VLOOKUP("LULUCF|NOx|Asthma symptoms wheeze", US_national_yearly!$D:$AM, 10, FALSE), 1)</f>
        <v>4.1585426911881019E-3</v>
      </c>
      <c r="Q8" s="7">
        <f>$B8 * IFERROR(VLOOKUP("LULUCF|NOx|Asthma symptoms wheeze", US_national_yearly!$D:$AM, 25, FALSE) / VLOOKUP("LULUCF|NOx|Asthma symptoms wheeze", US_national_yearly!$D:$AM, 10, FALSE), 1)</f>
        <v>4.1748870439680293E-3</v>
      </c>
      <c r="R8" s="7">
        <f>$B8 * IFERROR(VLOOKUP("LULUCF|NOx|Asthma symptoms wheeze", US_national_yearly!$D:$AM, 26, FALSE) / VLOOKUP("LULUCF|NOx|Asthma symptoms wheeze", US_national_yearly!$D:$AM, 10, FALSE), 1)</f>
        <v>4.1912313967479549E-3</v>
      </c>
      <c r="S8" s="7">
        <f>$B8 * IFERROR(VLOOKUP("LULUCF|NOx|Asthma symptoms wheeze", US_national_yearly!$D:$AM, 27, FALSE) / VLOOKUP("LULUCF|NOx|Asthma symptoms wheeze", US_national_yearly!$D:$AM, 10, FALSE), 1)</f>
        <v>4.2125823271036787E-3</v>
      </c>
      <c r="T8" s="7">
        <f>$B8 * IFERROR(VLOOKUP("LULUCF|NOx|Asthma symptoms wheeze", US_national_yearly!$D:$AM, 28, FALSE) / VLOOKUP("LULUCF|NOx|Asthma symptoms wheeze", US_national_yearly!$D:$AM, 10, FALSE), 1)</f>
        <v>4.2339332574594015E-3</v>
      </c>
      <c r="U8" s="7">
        <f>$B8 * IFERROR(VLOOKUP("LULUCF|NOx|Asthma symptoms wheeze", US_national_yearly!$D:$AM, 29, FALSE) / VLOOKUP("LULUCF|NOx|Asthma symptoms wheeze", US_national_yearly!$D:$AM, 10, FALSE), 1)</f>
        <v>4.2552841878151244E-3</v>
      </c>
      <c r="V8" s="7">
        <f>$B8 * IFERROR(VLOOKUP("LULUCF|NOx|Asthma symptoms wheeze", US_national_yearly!$D:$AM, 30, FALSE) / VLOOKUP("LULUCF|NOx|Asthma symptoms wheeze", US_national_yearly!$D:$AM, 10, FALSE), 1)</f>
        <v>4.2766351181708481E-3</v>
      </c>
      <c r="W8" s="7">
        <f>$B8 * IFERROR(VLOOKUP("LULUCF|NOx|Asthma symptoms wheeze", US_national_yearly!$D:$AM, 31, FALSE) / VLOOKUP("LULUCF|NOx|Asthma symptoms wheeze", US_national_yearly!$D:$AM, 10, FALSE), 1)</f>
        <v>4.2979860485265709E-3</v>
      </c>
      <c r="X8" s="7">
        <f>$B8 * IFERROR(VLOOKUP("LULUCF|NOx|Asthma symptoms wheeze", US_national_yearly!$D:$AM, 32, FALSE) / VLOOKUP("LULUCF|NOx|Asthma symptoms wheeze", US_national_yearly!$D:$AM, 10, FALSE), 1)</f>
        <v>4.3178241306404191E-3</v>
      </c>
      <c r="Y8" s="7">
        <f>$B8 * IFERROR(VLOOKUP("LULUCF|NOx|Asthma symptoms wheeze", US_national_yearly!$D:$AM, 33, FALSE) / VLOOKUP("LULUCF|NOx|Asthma symptoms wheeze", US_national_yearly!$D:$AM, 10, FALSE), 1)</f>
        <v>4.3376622127542673E-3</v>
      </c>
      <c r="Z8" s="7">
        <f>$B8 * IFERROR(VLOOKUP("LULUCF|NOx|Asthma symptoms wheeze", US_national_yearly!$D:$AM, 34, FALSE) / VLOOKUP("LULUCF|NOx|Asthma symptoms wheeze", US_national_yearly!$D:$AM, 10, FALSE), 1)</f>
        <v>4.3575002948681154E-3</v>
      </c>
      <c r="AA8" s="7">
        <f>$B8 * IFERROR(VLOOKUP("LULUCF|NOx|Asthma symptoms wheeze", US_national_yearly!$D:$AM, 35, FALSE) / VLOOKUP("LULUCF|NOx|Asthma symptoms wheeze", US_national_yearly!$D:$AM, 10, FALSE), 1)</f>
        <v>4.3773383769819636E-3</v>
      </c>
      <c r="AB8" s="7">
        <f>$B8 * IFERROR(VLOOKUP("LULUCF|NOx|Asthma symptoms wheeze", US_national_yearly!$D:$AM, 36, FALSE) / VLOOKUP("LULUCF|NOx|Asthma symptoms wheeze", US_national_yearly!$D:$AM, 10, FALSE), 1)</f>
        <v>4.3971764590958117E-3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5.5394969462190293E-5</v>
      </c>
      <c r="C12" s="7">
        <f>$B12 * IFERROR(VLOOKUP("LULUCF|NOx|Respiratory hospital admissions", US_national_yearly!$D:$AM, 11, FALSE) / VLOOKUP("LULUCF|NOx|Respiratory hospital admissions", US_national_yearly!$D:$AM, 10, FALSE), 1)</f>
        <v>5.6776778401634971E-5</v>
      </c>
      <c r="D12" s="7">
        <f>$B12 * IFERROR(VLOOKUP("LULUCF|NOx|Respiratory hospital admissions", US_national_yearly!$D:$AM, 12, FALSE) / VLOOKUP("LULUCF|NOx|Respiratory hospital admissions", US_national_yearly!$D:$AM, 10, FALSE), 1)</f>
        <v>5.815858734107967E-5</v>
      </c>
      <c r="E12" s="7">
        <f>$B12 * IFERROR(VLOOKUP("LULUCF|NOx|Respiratory hospital admissions", US_national_yearly!$D:$AM, 13, FALSE) / VLOOKUP("LULUCF|NOx|Respiratory hospital admissions", US_national_yearly!$D:$AM, 10, FALSE), 1)</f>
        <v>5.9540396280524362E-5</v>
      </c>
      <c r="F12" s="7">
        <f>$B12 * IFERROR(VLOOKUP("LULUCF|NOx|Respiratory hospital admissions", US_national_yearly!$D:$AM, 14, FALSE) / VLOOKUP("LULUCF|NOx|Respiratory hospital admissions", US_national_yearly!$D:$AM, 10, FALSE), 1)</f>
        <v>6.0922205219969054E-5</v>
      </c>
      <c r="G12" s="7">
        <f>$B12 * IFERROR(VLOOKUP("LULUCF|NOx|Respiratory hospital admissions", US_national_yearly!$D:$AM, 15, FALSE) / VLOOKUP("LULUCF|NOx|Respiratory hospital admissions", US_national_yearly!$D:$AM, 10, FALSE), 1)</f>
        <v>6.2243261597256098E-5</v>
      </c>
      <c r="H12" s="7">
        <f>$B12 * IFERROR(VLOOKUP("LULUCF|NOx|Respiratory hospital admissions", US_national_yearly!$D:$AM, 16, FALSE) / VLOOKUP("LULUCF|NOx|Respiratory hospital admissions", US_national_yearly!$D:$AM, 10, FALSE), 1)</f>
        <v>6.3564317974543156E-5</v>
      </c>
      <c r="I12" s="7">
        <f>$B12 * IFERROR(VLOOKUP("LULUCF|NOx|Respiratory hospital admissions", US_national_yearly!$D:$AM, 17, FALSE) / VLOOKUP("LULUCF|NOx|Respiratory hospital admissions", US_national_yearly!$D:$AM, 10, FALSE), 1)</f>
        <v>6.4685921997030557E-5</v>
      </c>
      <c r="J12" s="7">
        <f>$B12 * IFERROR(VLOOKUP("LULUCF|NOx|Respiratory hospital admissions", US_national_yearly!$D:$AM, 18, FALSE) / VLOOKUP("LULUCF|NOx|Respiratory hospital admissions", US_national_yearly!$D:$AM, 10, FALSE), 1)</f>
        <v>6.580752601951793E-5</v>
      </c>
      <c r="K12" s="7">
        <f>$B12 * IFERROR(VLOOKUP("LULUCF|NOx|Respiratory hospital admissions", US_national_yearly!$D:$AM, 19, FALSE) / VLOOKUP("LULUCF|NOx|Respiratory hospital admissions", US_national_yearly!$D:$AM, 10, FALSE), 1)</f>
        <v>6.6929130042005331E-5</v>
      </c>
      <c r="L12" s="7">
        <f>$B12 * IFERROR(VLOOKUP("LULUCF|NOx|Respiratory hospital admissions", US_national_yearly!$D:$AM, 20, FALSE) / VLOOKUP("LULUCF|NOx|Respiratory hospital admissions", US_national_yearly!$D:$AM, 10, FALSE), 1)</f>
        <v>6.8050734064492718E-5</v>
      </c>
      <c r="M12" s="7">
        <f>$B12 * IFERROR(VLOOKUP("LULUCF|NOx|Respiratory hospital admissions", US_national_yearly!$D:$AM, 21, FALSE) / VLOOKUP("LULUCF|NOx|Respiratory hospital admissions", US_national_yearly!$D:$AM, 10, FALSE), 1)</f>
        <v>6.9172338086980118E-5</v>
      </c>
      <c r="N12" s="7">
        <f>$B12 * IFERROR(VLOOKUP("LULUCF|NOx|Respiratory hospital admissions", US_national_yearly!$D:$AM, 22, FALSE) / VLOOKUP("LULUCF|NOx|Respiratory hospital admissions", US_national_yearly!$D:$AM, 10, FALSE), 1)</f>
        <v>6.9922150569999136E-5</v>
      </c>
      <c r="O12" s="7">
        <f>$B12 * IFERROR(VLOOKUP("LULUCF|NOx|Respiratory hospital admissions", US_national_yearly!$D:$AM, 23, FALSE) / VLOOKUP("LULUCF|NOx|Respiratory hospital admissions", US_national_yearly!$D:$AM, 10, FALSE), 1)</f>
        <v>7.0671963053018166E-5</v>
      </c>
      <c r="P12" s="7">
        <f>$B12 * IFERROR(VLOOKUP("LULUCF|NOx|Respiratory hospital admissions", US_national_yearly!$D:$AM, 24, FALSE) / VLOOKUP("LULUCF|NOx|Respiratory hospital admissions", US_national_yearly!$D:$AM, 10, FALSE), 1)</f>
        <v>7.1421775536037184E-5</v>
      </c>
      <c r="Q12" s="7">
        <f>$B12 * IFERROR(VLOOKUP("LULUCF|NOx|Respiratory hospital admissions", US_national_yearly!$D:$AM, 25, FALSE) / VLOOKUP("LULUCF|NOx|Respiratory hospital admissions", US_national_yearly!$D:$AM, 10, FALSE), 1)</f>
        <v>7.2171588019056228E-5</v>
      </c>
      <c r="R12" s="7">
        <f>$B12 * IFERROR(VLOOKUP("LULUCF|NOx|Respiratory hospital admissions", US_national_yearly!$D:$AM, 26, FALSE) / VLOOKUP("LULUCF|NOx|Respiratory hospital admissions", US_national_yearly!$D:$AM, 10, FALSE), 1)</f>
        <v>7.2921400502075245E-5</v>
      </c>
      <c r="S12" s="7">
        <f>$B12 * IFERROR(VLOOKUP("LULUCF|NOx|Respiratory hospital admissions", US_national_yearly!$D:$AM, 27, FALSE) / VLOOKUP("LULUCF|NOx|Respiratory hospital admissions", US_national_yearly!$D:$AM, 10, FALSE), 1)</f>
        <v>7.3323129712912004E-5</v>
      </c>
      <c r="T12" s="7">
        <f>$B12 * IFERROR(VLOOKUP("LULUCF|NOx|Respiratory hospital admissions", US_national_yearly!$D:$AM, 28, FALSE) / VLOOKUP("LULUCF|NOx|Respiratory hospital admissions", US_national_yearly!$D:$AM, 10, FALSE), 1)</f>
        <v>7.372485892374875E-5</v>
      </c>
      <c r="U12" s="7">
        <f>$B12 * IFERROR(VLOOKUP("LULUCF|NOx|Respiratory hospital admissions", US_national_yearly!$D:$AM, 29, FALSE) / VLOOKUP("LULUCF|NOx|Respiratory hospital admissions", US_national_yearly!$D:$AM, 10, FALSE), 1)</f>
        <v>7.4126588134585509E-5</v>
      </c>
      <c r="V12" s="7">
        <f>$B12 * IFERROR(VLOOKUP("LULUCF|NOx|Respiratory hospital admissions", US_national_yearly!$D:$AM, 30, FALSE) / VLOOKUP("LULUCF|NOx|Respiratory hospital admissions", US_national_yearly!$D:$AM, 10, FALSE), 1)</f>
        <v>7.4528317345422254E-5</v>
      </c>
      <c r="W12" s="7">
        <f>$B12 * IFERROR(VLOOKUP("LULUCF|NOx|Respiratory hospital admissions", US_national_yearly!$D:$AM, 31, FALSE) / VLOOKUP("LULUCF|NOx|Respiratory hospital admissions", US_national_yearly!$D:$AM, 10, FALSE), 1)</f>
        <v>7.4930046556259013E-5</v>
      </c>
      <c r="X12" s="7">
        <f>$B12 * IFERROR(VLOOKUP("LULUCF|NOx|Respiratory hospital admissions", US_national_yearly!$D:$AM, 32, FALSE) / VLOOKUP("LULUCF|NOx|Respiratory hospital admissions", US_national_yearly!$D:$AM, 10, FALSE), 1)</f>
        <v>7.5204576280618948E-5</v>
      </c>
      <c r="Y12" s="7">
        <f>$B12 * IFERROR(VLOOKUP("LULUCF|NOx|Respiratory hospital admissions", US_national_yearly!$D:$AM, 33, FALSE) / VLOOKUP("LULUCF|NOx|Respiratory hospital admissions", US_national_yearly!$D:$AM, 10, FALSE), 1)</f>
        <v>7.5479106004978897E-5</v>
      </c>
      <c r="Z12" s="7">
        <f>$B12 * IFERROR(VLOOKUP("LULUCF|NOx|Respiratory hospital admissions", US_national_yearly!$D:$AM, 34, FALSE) / VLOOKUP("LULUCF|NOx|Respiratory hospital admissions", US_national_yearly!$D:$AM, 10, FALSE), 1)</f>
        <v>7.5753635729338846E-5</v>
      </c>
      <c r="AA12" s="7">
        <f>$B12 * IFERROR(VLOOKUP("LULUCF|NOx|Respiratory hospital admissions", US_national_yearly!$D:$AM, 35, FALSE) / VLOOKUP("LULUCF|NOx|Respiratory hospital admissions", US_national_yearly!$D:$AM, 10, FALSE), 1)</f>
        <v>7.6028165453698794E-5</v>
      </c>
      <c r="AB12" s="7">
        <f>$B12 * IFERROR(VLOOKUP("LULUCF|NOx|Respiratory hospital admissions", US_national_yearly!$D:$AM, 36, FALSE) / VLOOKUP("LULUCF|NOx|Respiratory hospital admissions", US_national_yearly!$D:$AM, 10, FALSE), 1)</f>
        <v>7.630269517805873E-5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3.2716029533257605E-4</v>
      </c>
      <c r="C13" s="7">
        <f>$B13 * IFERROR(VLOOKUP("LULUCF|NOx|Non-fatal heart attacks", US_national_yearly!$D:$AM, 11, FALSE) / VLOOKUP("LULUCF|NOx|Non-fatal heart attacks", US_national_yearly!$D:$AM, 10, FALSE), 1)</f>
        <v>3.3651351992952341E-4</v>
      </c>
      <c r="D13" s="7">
        <f>$B13 * IFERROR(VLOOKUP("LULUCF|NOx|Non-fatal heart attacks", US_national_yearly!$D:$AM, 12, FALSE) / VLOOKUP("LULUCF|NOx|Non-fatal heart attacks", US_national_yearly!$D:$AM, 10, FALSE), 1)</f>
        <v>3.4586674452647076E-4</v>
      </c>
      <c r="E13" s="7">
        <f>$B13 * IFERROR(VLOOKUP("LULUCF|NOx|Non-fatal heart attacks", US_national_yearly!$D:$AM, 13, FALSE) / VLOOKUP("LULUCF|NOx|Non-fatal heart attacks", US_national_yearly!$D:$AM, 10, FALSE), 1)</f>
        <v>3.5521996912341806E-4</v>
      </c>
      <c r="F13" s="7">
        <f>$B13 * IFERROR(VLOOKUP("LULUCF|NOx|Non-fatal heart attacks", US_national_yearly!$D:$AM, 14, FALSE) / VLOOKUP("LULUCF|NOx|Non-fatal heart attacks", US_national_yearly!$D:$AM, 10, FALSE), 1)</f>
        <v>3.6457319372036541E-4</v>
      </c>
      <c r="G13" s="7">
        <f>$B13 * IFERROR(VLOOKUP("LULUCF|NOx|Non-fatal heart attacks", US_national_yearly!$D:$AM, 15, FALSE) / VLOOKUP("LULUCF|NOx|Non-fatal heart attacks", US_national_yearly!$D:$AM, 10, FALSE), 1)</f>
        <v>3.7331376266696534E-4</v>
      </c>
      <c r="H13" s="7">
        <f>$B13 * IFERROR(VLOOKUP("LULUCF|NOx|Non-fatal heart attacks", US_national_yearly!$D:$AM, 16, FALSE) / VLOOKUP("LULUCF|NOx|Non-fatal heart attacks", US_national_yearly!$D:$AM, 10, FALSE), 1)</f>
        <v>3.8205433161356527E-4</v>
      </c>
      <c r="I13" s="7">
        <f>$B13 * IFERROR(VLOOKUP("LULUCF|NOx|Non-fatal heart attacks", US_national_yearly!$D:$AM, 17, FALSE) / VLOOKUP("LULUCF|NOx|Non-fatal heart attacks", US_national_yearly!$D:$AM, 10, FALSE), 1)</f>
        <v>3.8894527108552927E-4</v>
      </c>
      <c r="J13" s="7">
        <f>$B13 * IFERROR(VLOOKUP("LULUCF|NOx|Non-fatal heart attacks", US_national_yearly!$D:$AM, 18, FALSE) / VLOOKUP("LULUCF|NOx|Non-fatal heart attacks", US_national_yearly!$D:$AM, 10, FALSE), 1)</f>
        <v>3.9583621055749337E-4</v>
      </c>
      <c r="K13" s="7">
        <f>$B13 * IFERROR(VLOOKUP("LULUCF|NOx|Non-fatal heart attacks", US_national_yearly!$D:$AM, 19, FALSE) / VLOOKUP("LULUCF|NOx|Non-fatal heart attacks", US_national_yearly!$D:$AM, 10, FALSE), 1)</f>
        <v>4.0272715002945709E-4</v>
      </c>
      <c r="L13" s="7">
        <f>$B13 * IFERROR(VLOOKUP("LULUCF|NOx|Non-fatal heart attacks", US_national_yearly!$D:$AM, 20, FALSE) / VLOOKUP("LULUCF|NOx|Non-fatal heart attacks", US_national_yearly!$D:$AM, 10, FALSE), 1)</f>
        <v>4.096180895014214E-4</v>
      </c>
      <c r="M13" s="7">
        <f>$B13 * IFERROR(VLOOKUP("LULUCF|NOx|Non-fatal heart attacks", US_national_yearly!$D:$AM, 21, FALSE) / VLOOKUP("LULUCF|NOx|Non-fatal heart attacks", US_national_yearly!$D:$AM, 10, FALSE), 1)</f>
        <v>4.1650902897338529E-4</v>
      </c>
      <c r="N13" s="7">
        <f>$B13 * IFERROR(VLOOKUP("LULUCF|NOx|Non-fatal heart attacks", US_national_yearly!$D:$AM, 22, FALSE) / VLOOKUP("LULUCF|NOx|Non-fatal heart attacks", US_national_yearly!$D:$AM, 10, FALSE), 1)</f>
        <v>4.2065482713833045E-4</v>
      </c>
      <c r="O13" s="7">
        <f>$B13 * IFERROR(VLOOKUP("LULUCF|NOx|Non-fatal heart attacks", US_national_yearly!$D:$AM, 23, FALSE) / VLOOKUP("LULUCF|NOx|Non-fatal heart attacks", US_national_yearly!$D:$AM, 10, FALSE), 1)</f>
        <v>4.2480062530327555E-4</v>
      </c>
      <c r="P13" s="7">
        <f>$B13 * IFERROR(VLOOKUP("LULUCF|NOx|Non-fatal heart attacks", US_national_yearly!$D:$AM, 24, FALSE) / VLOOKUP("LULUCF|NOx|Non-fatal heart attacks", US_national_yearly!$D:$AM, 10, FALSE), 1)</f>
        <v>4.289464234682206E-4</v>
      </c>
      <c r="Q13" s="7">
        <f>$B13 * IFERROR(VLOOKUP("LULUCF|NOx|Non-fatal heart attacks", US_national_yearly!$D:$AM, 25, FALSE) / VLOOKUP("LULUCF|NOx|Non-fatal heart attacks", US_national_yearly!$D:$AM, 10, FALSE), 1)</f>
        <v>4.3309222163316581E-4</v>
      </c>
      <c r="R13" s="7">
        <f>$B13 * IFERROR(VLOOKUP("LULUCF|NOx|Non-fatal heart attacks", US_national_yearly!$D:$AM, 26, FALSE) / VLOOKUP("LULUCF|NOx|Non-fatal heart attacks", US_national_yearly!$D:$AM, 10, FALSE), 1)</f>
        <v>4.3723801979811096E-4</v>
      </c>
      <c r="S13" s="7">
        <f>$B13 * IFERROR(VLOOKUP("LULUCF|NOx|Non-fatal heart attacks", US_national_yearly!$D:$AM, 27, FALSE) / VLOOKUP("LULUCF|NOx|Non-fatal heart attacks", US_national_yearly!$D:$AM, 10, FALSE), 1)</f>
        <v>4.3911858251961241E-4</v>
      </c>
      <c r="T13" s="7">
        <f>$B13 * IFERROR(VLOOKUP("LULUCF|NOx|Non-fatal heart attacks", US_national_yearly!$D:$AM, 28, FALSE) / VLOOKUP("LULUCF|NOx|Non-fatal heart attacks", US_national_yearly!$D:$AM, 10, FALSE), 1)</f>
        <v>4.4099914524111392E-4</v>
      </c>
      <c r="U13" s="7">
        <f>$B13 * IFERROR(VLOOKUP("LULUCF|NOx|Non-fatal heart attacks", US_national_yearly!$D:$AM, 29, FALSE) / VLOOKUP("LULUCF|NOx|Non-fatal heart attacks", US_national_yearly!$D:$AM, 10, FALSE), 1)</f>
        <v>4.4287970796261542E-4</v>
      </c>
      <c r="V13" s="7">
        <f>$B13 * IFERROR(VLOOKUP("LULUCF|NOx|Non-fatal heart attacks", US_national_yearly!$D:$AM, 30, FALSE) / VLOOKUP("LULUCF|NOx|Non-fatal heart attacks", US_national_yearly!$D:$AM, 10, FALSE), 1)</f>
        <v>4.4476027068411693E-4</v>
      </c>
      <c r="W13" s="7">
        <f>$B13 * IFERROR(VLOOKUP("LULUCF|NOx|Non-fatal heart attacks", US_national_yearly!$D:$AM, 31, FALSE) / VLOOKUP("LULUCF|NOx|Non-fatal heart attacks", US_national_yearly!$D:$AM, 10, FALSE), 1)</f>
        <v>4.4664083340561844E-4</v>
      </c>
      <c r="X13" s="7">
        <f>$B13 * IFERROR(VLOOKUP("LULUCF|NOx|Non-fatal heart attacks", US_national_yearly!$D:$AM, 32, FALSE) / VLOOKUP("LULUCF|NOx|Non-fatal heart attacks", US_national_yearly!$D:$AM, 10, FALSE), 1)</f>
        <v>4.4789752436797092E-4</v>
      </c>
      <c r="Y13" s="7">
        <f>$B13 * IFERROR(VLOOKUP("LULUCF|NOx|Non-fatal heart attacks", US_national_yearly!$D:$AM, 33, FALSE) / VLOOKUP("LULUCF|NOx|Non-fatal heart attacks", US_national_yearly!$D:$AM, 10, FALSE), 1)</f>
        <v>4.491542153303234E-4</v>
      </c>
      <c r="Z13" s="7">
        <f>$B13 * IFERROR(VLOOKUP("LULUCF|NOx|Non-fatal heart attacks", US_national_yearly!$D:$AM, 34, FALSE) / VLOOKUP("LULUCF|NOx|Non-fatal heart attacks", US_national_yearly!$D:$AM, 10, FALSE), 1)</f>
        <v>4.5041090629267583E-4</v>
      </c>
      <c r="AA13" s="7">
        <f>$B13 * IFERROR(VLOOKUP("LULUCF|NOx|Non-fatal heart attacks", US_national_yearly!$D:$AM, 35, FALSE) / VLOOKUP("LULUCF|NOx|Non-fatal heart attacks", US_national_yearly!$D:$AM, 10, FALSE), 1)</f>
        <v>4.5166759725502825E-4</v>
      </c>
      <c r="AB13" s="7">
        <f>$B13 * IFERROR(VLOOKUP("LULUCF|NOx|Non-fatal heart attacks", US_national_yearly!$D:$AM, 36, FALSE) / VLOOKUP("LULUCF|NOx|Non-fatal heart attacks", US_national_yearly!$D:$AM, 10, FALSE), 1)</f>
        <v>4.5292428821738079E-4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0.21618008825689614</v>
      </c>
      <c r="C14" s="7">
        <f>$B14 * IFERROR(VLOOKUP("LULUCF|NOx|Minor restricted activity days", US_national_yearly!$D:$AM, 11, FALSE) / VLOOKUP("LULUCF|NOx|Minor restricted activity days", US_national_yearly!$D:$AM, 10, FALSE), 1)</f>
        <v>0.21651152861123854</v>
      </c>
      <c r="D14" s="7">
        <f>$B14 * IFERROR(VLOOKUP("LULUCF|NOx|Minor restricted activity days", US_national_yearly!$D:$AM, 12, FALSE) / VLOOKUP("LULUCF|NOx|Minor restricted activity days", US_national_yearly!$D:$AM, 10, FALSE), 1)</f>
        <v>0.216842968965581</v>
      </c>
      <c r="E14" s="7">
        <f>$B14 * IFERROR(VLOOKUP("LULUCF|NOx|Minor restricted activity days", US_national_yearly!$D:$AM, 13, FALSE) / VLOOKUP("LULUCF|NOx|Minor restricted activity days", US_national_yearly!$D:$AM, 10, FALSE), 1)</f>
        <v>0.21717440931992346</v>
      </c>
      <c r="F14" s="7">
        <f>$B14 * IFERROR(VLOOKUP("LULUCF|NOx|Minor restricted activity days", US_national_yearly!$D:$AM, 14, FALSE) / VLOOKUP("LULUCF|NOx|Minor restricted activity days", US_national_yearly!$D:$AM, 10, FALSE), 1)</f>
        <v>0.21750584967426587</v>
      </c>
      <c r="G14" s="7">
        <f>$B14 * IFERROR(VLOOKUP("LULUCF|NOx|Minor restricted activity days", US_national_yearly!$D:$AM, 15, FALSE) / VLOOKUP("LULUCF|NOx|Minor restricted activity days", US_national_yearly!$D:$AM, 10, FALSE), 1)</f>
        <v>0.21810435206462508</v>
      </c>
      <c r="H14" s="7">
        <f>$B14 * IFERROR(VLOOKUP("LULUCF|NOx|Minor restricted activity days", US_national_yearly!$D:$AM, 16, FALSE) / VLOOKUP("LULUCF|NOx|Minor restricted activity days", US_national_yearly!$D:$AM, 10, FALSE), 1)</f>
        <v>0.21870285445498425</v>
      </c>
      <c r="I14" s="7">
        <f>$B14 * IFERROR(VLOOKUP("LULUCF|NOx|Minor restricted activity days", US_national_yearly!$D:$AM, 17, FALSE) / VLOOKUP("LULUCF|NOx|Minor restricted activity days", US_national_yearly!$D:$AM, 10, FALSE), 1)</f>
        <v>0.21987350146329337</v>
      </c>
      <c r="J14" s="7">
        <f>$B14 * IFERROR(VLOOKUP("LULUCF|NOx|Minor restricted activity days", US_national_yearly!$D:$AM, 18, FALSE) / VLOOKUP("LULUCF|NOx|Minor restricted activity days", US_national_yearly!$D:$AM, 10, FALSE), 1)</f>
        <v>0.22104414847160248</v>
      </c>
      <c r="K14" s="7">
        <f>$B14 * IFERROR(VLOOKUP("LULUCF|NOx|Minor restricted activity days", US_national_yearly!$D:$AM, 19, FALSE) / VLOOKUP("LULUCF|NOx|Minor restricted activity days", US_national_yearly!$D:$AM, 10, FALSE), 1)</f>
        <v>0.2222147954799116</v>
      </c>
      <c r="L14" s="7">
        <f>$B14 * IFERROR(VLOOKUP("LULUCF|NOx|Minor restricted activity days", US_national_yearly!$D:$AM, 20, FALSE) / VLOOKUP("LULUCF|NOx|Minor restricted activity days", US_national_yearly!$D:$AM, 10, FALSE), 1)</f>
        <v>0.22338544248822068</v>
      </c>
      <c r="M14" s="7">
        <f>$B14 * IFERROR(VLOOKUP("LULUCF|NOx|Minor restricted activity days", US_national_yearly!$D:$AM, 21, FALSE) / VLOOKUP("LULUCF|NOx|Minor restricted activity days", US_national_yearly!$D:$AM, 10, FALSE), 1)</f>
        <v>0.2245560894965298</v>
      </c>
      <c r="N14" s="7">
        <f>$B14 * IFERROR(VLOOKUP("LULUCF|NOx|Minor restricted activity days", US_national_yearly!$D:$AM, 22, FALSE) / VLOOKUP("LULUCF|NOx|Minor restricted activity days", US_national_yearly!$D:$AM, 10, FALSE), 1)</f>
        <v>0.22623219057396857</v>
      </c>
      <c r="O14" s="7">
        <f>$B14 * IFERROR(VLOOKUP("LULUCF|NOx|Minor restricted activity days", US_national_yearly!$D:$AM, 23, FALSE) / VLOOKUP("LULUCF|NOx|Minor restricted activity days", US_national_yearly!$D:$AM, 10, FALSE), 1)</f>
        <v>0.22790829165140733</v>
      </c>
      <c r="P14" s="7">
        <f>$B14 * IFERROR(VLOOKUP("LULUCF|NOx|Minor restricted activity days", US_national_yearly!$D:$AM, 24, FALSE) / VLOOKUP("LULUCF|NOx|Minor restricted activity days", US_national_yearly!$D:$AM, 10, FALSE), 1)</f>
        <v>0.22958439272884609</v>
      </c>
      <c r="Q14" s="7">
        <f>$B14 * IFERROR(VLOOKUP("LULUCF|NOx|Minor restricted activity days", US_national_yearly!$D:$AM, 25, FALSE) / VLOOKUP("LULUCF|NOx|Minor restricted activity days", US_national_yearly!$D:$AM, 10, FALSE), 1)</f>
        <v>0.23126049380628486</v>
      </c>
      <c r="R14" s="7">
        <f>$B14 * IFERROR(VLOOKUP("LULUCF|NOx|Minor restricted activity days", US_national_yearly!$D:$AM, 26, FALSE) / VLOOKUP("LULUCF|NOx|Minor restricted activity days", US_national_yearly!$D:$AM, 10, FALSE), 1)</f>
        <v>0.23293659488372365</v>
      </c>
      <c r="S14" s="7">
        <f>$B14 * IFERROR(VLOOKUP("LULUCF|NOx|Minor restricted activity days", US_national_yearly!$D:$AM, 27, FALSE) / VLOOKUP("LULUCF|NOx|Minor restricted activity days", US_national_yearly!$D:$AM, 10, FALSE), 1)</f>
        <v>0.23461234356449831</v>
      </c>
      <c r="T14" s="7">
        <f>$B14 * IFERROR(VLOOKUP("LULUCF|NOx|Minor restricted activity days", US_national_yearly!$D:$AM, 28, FALSE) / VLOOKUP("LULUCF|NOx|Minor restricted activity days", US_national_yearly!$D:$AM, 10, FALSE), 1)</f>
        <v>0.23628809224527292</v>
      </c>
      <c r="U14" s="7">
        <f>$B14 * IFERROR(VLOOKUP("LULUCF|NOx|Minor restricted activity days", US_national_yearly!$D:$AM, 29, FALSE) / VLOOKUP("LULUCF|NOx|Minor restricted activity days", US_national_yearly!$D:$AM, 10, FALSE), 1)</f>
        <v>0.23796384092604761</v>
      </c>
      <c r="V14" s="7">
        <f>$B14 * IFERROR(VLOOKUP("LULUCF|NOx|Minor restricted activity days", US_national_yearly!$D:$AM, 30, FALSE) / VLOOKUP("LULUCF|NOx|Minor restricted activity days", US_national_yearly!$D:$AM, 10, FALSE), 1)</f>
        <v>0.23963958960682227</v>
      </c>
      <c r="W14" s="7">
        <f>$B14 * IFERROR(VLOOKUP("LULUCF|NOx|Minor restricted activity days", US_national_yearly!$D:$AM, 31, FALSE) / VLOOKUP("LULUCF|NOx|Minor restricted activity days", US_national_yearly!$D:$AM, 10, FALSE), 1)</f>
        <v>0.24131533828759688</v>
      </c>
      <c r="X14" s="7">
        <f>$B14 * IFERROR(VLOOKUP("LULUCF|NOx|Minor restricted activity days", US_national_yearly!$D:$AM, 32, FALSE) / VLOOKUP("LULUCF|NOx|Minor restricted activity days", US_national_yearly!$D:$AM, 10, FALSE), 1)</f>
        <v>0.24273211995815522</v>
      </c>
      <c r="Y14" s="7">
        <f>$B14 * IFERROR(VLOOKUP("LULUCF|NOx|Minor restricted activity days", US_national_yearly!$D:$AM, 33, FALSE) / VLOOKUP("LULUCF|NOx|Minor restricted activity days", US_national_yearly!$D:$AM, 10, FALSE), 1)</f>
        <v>0.24414890162871355</v>
      </c>
      <c r="Z14" s="7">
        <f>$B14 * IFERROR(VLOOKUP("LULUCF|NOx|Minor restricted activity days", US_national_yearly!$D:$AM, 34, FALSE) / VLOOKUP("LULUCF|NOx|Minor restricted activity days", US_national_yearly!$D:$AM, 10, FALSE), 1)</f>
        <v>0.24556568329927186</v>
      </c>
      <c r="AA14" s="7">
        <f>$B14 * IFERROR(VLOOKUP("LULUCF|NOx|Minor restricted activity days", US_national_yearly!$D:$AM, 35, FALSE) / VLOOKUP("LULUCF|NOx|Minor restricted activity days", US_national_yearly!$D:$AM, 10, FALSE), 1)</f>
        <v>0.2469824649698302</v>
      </c>
      <c r="AB14" s="7">
        <f>$B14 * IFERROR(VLOOKUP("LULUCF|NOx|Minor restricted activity days", US_national_yearly!$D:$AM, 36, FALSE) / VLOOKUP("LULUCF|NOx|Minor restricted activity days", US_national_yearly!$D:$AM, 10, FALSE), 1)</f>
        <v>0.24839924664038854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3.6424449373377986E-2</v>
      </c>
      <c r="C15" s="7">
        <f>$B15 * IFERROR(VLOOKUP("LULUCF|NOx|Work loss days", US_national_yearly!$D:$AM, 11, FALSE) / VLOOKUP("LULUCF|NOx|Work loss days", US_national_yearly!$D:$AM, 10, FALSE), 1)</f>
        <v>3.6505473601497467E-2</v>
      </c>
      <c r="D15" s="7">
        <f>$B15 * IFERROR(VLOOKUP("LULUCF|NOx|Work loss days", US_national_yearly!$D:$AM, 12, FALSE) / VLOOKUP("LULUCF|NOx|Work loss days", US_national_yearly!$D:$AM, 10, FALSE), 1)</f>
        <v>3.6586497829616961E-2</v>
      </c>
      <c r="E15" s="7">
        <f>$B15 * IFERROR(VLOOKUP("LULUCF|NOx|Work loss days", US_national_yearly!$D:$AM, 13, FALSE) / VLOOKUP("LULUCF|NOx|Work loss days", US_national_yearly!$D:$AM, 10, FALSE), 1)</f>
        <v>3.6667522057736442E-2</v>
      </c>
      <c r="F15" s="7">
        <f>$B15 * IFERROR(VLOOKUP("LULUCF|NOx|Work loss days", US_national_yearly!$D:$AM, 14, FALSE) / VLOOKUP("LULUCF|NOx|Work loss days", US_national_yearly!$D:$AM, 10, FALSE), 1)</f>
        <v>3.6748546285855929E-2</v>
      </c>
      <c r="G15" s="7">
        <f>$B15 * IFERROR(VLOOKUP("LULUCF|NOx|Work loss days", US_national_yearly!$D:$AM, 15, FALSE) / VLOOKUP("LULUCF|NOx|Work loss days", US_national_yearly!$D:$AM, 10, FALSE), 1)</f>
        <v>3.6866842350083015E-2</v>
      </c>
      <c r="H15" s="7">
        <f>$B15 * IFERROR(VLOOKUP("LULUCF|NOx|Work loss days", US_national_yearly!$D:$AM, 16, FALSE) / VLOOKUP("LULUCF|NOx|Work loss days", US_national_yearly!$D:$AM, 10, FALSE), 1)</f>
        <v>3.6985138414310115E-2</v>
      </c>
      <c r="I15" s="7">
        <f>$B15 * IFERROR(VLOOKUP("LULUCF|NOx|Work loss days", US_national_yearly!$D:$AM, 17, FALSE) / VLOOKUP("LULUCF|NOx|Work loss days", US_national_yearly!$D:$AM, 10, FALSE), 1)</f>
        <v>3.7176771627158864E-2</v>
      </c>
      <c r="J15" s="7">
        <f>$B15 * IFERROR(VLOOKUP("LULUCF|NOx|Work loss days", US_national_yearly!$D:$AM, 18, FALSE) / VLOOKUP("LULUCF|NOx|Work loss days", US_national_yearly!$D:$AM, 10, FALSE), 1)</f>
        <v>3.7368404840007627E-2</v>
      </c>
      <c r="K15" s="7">
        <f>$B15 * IFERROR(VLOOKUP("LULUCF|NOx|Work loss days", US_national_yearly!$D:$AM, 19, FALSE) / VLOOKUP("LULUCF|NOx|Work loss days", US_national_yearly!$D:$AM, 10, FALSE), 1)</f>
        <v>3.7560038052856383E-2</v>
      </c>
      <c r="L15" s="7">
        <f>$B15 * IFERROR(VLOOKUP("LULUCF|NOx|Work loss days", US_national_yearly!$D:$AM, 20, FALSE) / VLOOKUP("LULUCF|NOx|Work loss days", US_national_yearly!$D:$AM, 10, FALSE), 1)</f>
        <v>3.7751671265705132E-2</v>
      </c>
      <c r="M15" s="7">
        <f>$B15 * IFERROR(VLOOKUP("LULUCF|NOx|Work loss days", US_national_yearly!$D:$AM, 21, FALSE) / VLOOKUP("LULUCF|NOx|Work loss days", US_national_yearly!$D:$AM, 10, FALSE), 1)</f>
        <v>3.7943304478553895E-2</v>
      </c>
      <c r="N15" s="7">
        <f>$B15 * IFERROR(VLOOKUP("LULUCF|NOx|Work loss days", US_national_yearly!$D:$AM, 22, FALSE) / VLOOKUP("LULUCF|NOx|Work loss days", US_national_yearly!$D:$AM, 10, FALSE), 1)</f>
        <v>3.8192703345938821E-2</v>
      </c>
      <c r="O15" s="7">
        <f>$B15 * IFERROR(VLOOKUP("LULUCF|NOx|Work loss days", US_national_yearly!$D:$AM, 23, FALSE) / VLOOKUP("LULUCF|NOx|Work loss days", US_national_yearly!$D:$AM, 10, FALSE), 1)</f>
        <v>3.8442102213323746E-2</v>
      </c>
      <c r="P15" s="7">
        <f>$B15 * IFERROR(VLOOKUP("LULUCF|NOx|Work loss days", US_national_yearly!$D:$AM, 24, FALSE) / VLOOKUP("LULUCF|NOx|Work loss days", US_national_yearly!$D:$AM, 10, FALSE), 1)</f>
        <v>3.8691501080708672E-2</v>
      </c>
      <c r="Q15" s="7">
        <f>$B15 * IFERROR(VLOOKUP("LULUCF|NOx|Work loss days", US_national_yearly!$D:$AM, 25, FALSE) / VLOOKUP("LULUCF|NOx|Work loss days", US_national_yearly!$D:$AM, 10, FALSE), 1)</f>
        <v>3.8940899948093584E-2</v>
      </c>
      <c r="R15" s="7">
        <f>$B15 * IFERROR(VLOOKUP("LULUCF|NOx|Work loss days", US_national_yearly!$D:$AM, 26, FALSE) / VLOOKUP("LULUCF|NOx|Work loss days", US_national_yearly!$D:$AM, 10, FALSE), 1)</f>
        <v>3.9190298815478523E-2</v>
      </c>
      <c r="S15" s="7">
        <f>$B15 * IFERROR(VLOOKUP("LULUCF|NOx|Work loss days", US_national_yearly!$D:$AM, 27, FALSE) / VLOOKUP("LULUCF|NOx|Work loss days", US_national_yearly!$D:$AM, 10, FALSE), 1)</f>
        <v>3.9468346663973565E-2</v>
      </c>
      <c r="T15" s="7">
        <f>$B15 * IFERROR(VLOOKUP("LULUCF|NOx|Work loss days", US_national_yearly!$D:$AM, 28, FALSE) / VLOOKUP("LULUCF|NOx|Work loss days", US_national_yearly!$D:$AM, 10, FALSE), 1)</f>
        <v>3.9746394512468607E-2</v>
      </c>
      <c r="U15" s="7">
        <f>$B15 * IFERROR(VLOOKUP("LULUCF|NOx|Work loss days", US_national_yearly!$D:$AM, 29, FALSE) / VLOOKUP("LULUCF|NOx|Work loss days", US_national_yearly!$D:$AM, 10, FALSE), 1)</f>
        <v>4.0024442360963634E-2</v>
      </c>
      <c r="V15" s="7">
        <f>$B15 * IFERROR(VLOOKUP("LULUCF|NOx|Work loss days", US_national_yearly!$D:$AM, 30, FALSE) / VLOOKUP("LULUCF|NOx|Work loss days", US_national_yearly!$D:$AM, 10, FALSE), 1)</f>
        <v>4.0302490209458676E-2</v>
      </c>
      <c r="W15" s="7">
        <f>$B15 * IFERROR(VLOOKUP("LULUCF|NOx|Work loss days", US_national_yearly!$D:$AM, 31, FALSE) / VLOOKUP("LULUCF|NOx|Work loss days", US_national_yearly!$D:$AM, 10, FALSE), 1)</f>
        <v>4.0580538057953718E-2</v>
      </c>
      <c r="X15" s="7">
        <f>$B15 * IFERROR(VLOOKUP("LULUCF|NOx|Work loss days", US_national_yearly!$D:$AM, 32, FALSE) / VLOOKUP("LULUCF|NOx|Work loss days", US_national_yearly!$D:$AM, 10, FALSE), 1)</f>
        <v>4.0821868765842408E-2</v>
      </c>
      <c r="Y15" s="7">
        <f>$B15 * IFERROR(VLOOKUP("LULUCF|NOx|Work loss days", US_national_yearly!$D:$AM, 33, FALSE) / VLOOKUP("LULUCF|NOx|Work loss days", US_national_yearly!$D:$AM, 10, FALSE), 1)</f>
        <v>4.1063199473731098E-2</v>
      </c>
      <c r="Z15" s="7">
        <f>$B15 * IFERROR(VLOOKUP("LULUCF|NOx|Work loss days", US_national_yearly!$D:$AM, 34, FALSE) / VLOOKUP("LULUCF|NOx|Work loss days", US_national_yearly!$D:$AM, 10, FALSE), 1)</f>
        <v>4.1304530181619788E-2</v>
      </c>
      <c r="AA15" s="7">
        <f>$B15 * IFERROR(VLOOKUP("LULUCF|NOx|Work loss days", US_national_yearly!$D:$AM, 35, FALSE) / VLOOKUP("LULUCF|NOx|Work loss days", US_national_yearly!$D:$AM, 10, FALSE), 1)</f>
        <v>4.1545860889508478E-2</v>
      </c>
      <c r="AB15" s="7">
        <f>$B15 * IFERROR(VLOOKUP("LULUCF|NOx|Work loss days", US_national_yearly!$D:$AM, 36, FALSE) / VLOOKUP("LULUCF|NOx|Work loss days", US_national_yearly!$D:$AM, 10, FALSE), 1)</f>
        <v>4.1787191597397168E-2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8.2358393371252645E-5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8.477846442923031E-5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8.7198535487207962E-5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8.9618606545185614E-5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9.2038677603163279E-5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9.4337344889962484E-5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9.6636012176761716E-5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9.8569014032787855E-5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1.0050201588881401E-4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1.0243501774484015E-4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1.043680196008663E-4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1.0630102145689247E-4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1.0750979156706811E-4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1.0871856167724376E-4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1.099273317874194E-4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1.1113610189759507E-4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1.1234487200777071E-4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1.1289640061563558E-4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1.1344792922350045E-4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1.139994578313653E-4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1.1455098643923016E-4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1.1510251504709504E-4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1.1540945983865625E-4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1.1571640463021746E-4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1.1602334942177867E-4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1.1633029421333988E-4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1.1663723900490109E-4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7.8497541275448124E-4</v>
      </c>
      <c r="C2" s="7">
        <f>$B2 * IFERROR(VLOOKUP("LULUCF|SO2|Premature mortality", US_national_yearly!$D:$AM, 11, FALSE) / VLOOKUP("LULUCF|SO2|Premature mortality", US_national_yearly!$D:$AM, 10, FALSE), 1)</f>
        <v>7.9491670163474174E-4</v>
      </c>
      <c r="D2" s="7">
        <f>$B2 * IFERROR(VLOOKUP("LULUCF|SO2|Premature mortality", US_national_yearly!$D:$AM, 12, FALSE) / VLOOKUP("LULUCF|SO2|Premature mortality", US_national_yearly!$D:$AM, 10, FALSE), 1)</f>
        <v>8.0485799051500245E-4</v>
      </c>
      <c r="E2" s="7">
        <f>$B2 * IFERROR(VLOOKUP("LULUCF|SO2|Premature mortality", US_national_yearly!$D:$AM, 13, FALSE) / VLOOKUP("LULUCF|SO2|Premature mortality", US_national_yearly!$D:$AM, 10, FALSE), 1)</f>
        <v>8.1479927939526306E-4</v>
      </c>
      <c r="F2" s="7">
        <f>$B2 * IFERROR(VLOOKUP("LULUCF|SO2|Premature mortality", US_national_yearly!$D:$AM, 14, FALSE) / VLOOKUP("LULUCF|SO2|Premature mortality", US_national_yearly!$D:$AM, 10, FALSE), 1)</f>
        <v>8.2474056827552356E-4</v>
      </c>
      <c r="G2" s="7">
        <f>$B2 * IFERROR(VLOOKUP("LULUCF|SO2|Premature mortality", US_national_yearly!$D:$AM, 15, FALSE) / VLOOKUP("LULUCF|SO2|Premature mortality", US_national_yearly!$D:$AM, 10, FALSE), 1)</f>
        <v>8.4389686853665353E-4</v>
      </c>
      <c r="H2" s="7">
        <f>$B2 * IFERROR(VLOOKUP("LULUCF|SO2|Premature mortality", US_national_yearly!$D:$AM, 16, FALSE) / VLOOKUP("LULUCF|SO2|Premature mortality", US_national_yearly!$D:$AM, 10, FALSE), 1)</f>
        <v>8.6305316879778328E-4</v>
      </c>
      <c r="I2" s="7">
        <f>$B2 * IFERROR(VLOOKUP("LULUCF|SO2|Premature mortality", US_national_yearly!$D:$AM, 17, FALSE) / VLOOKUP("LULUCF|SO2|Premature mortality", US_national_yearly!$D:$AM, 10, FALSE), 1)</f>
        <v>8.757128257938522E-4</v>
      </c>
      <c r="J2" s="7">
        <f>$B2 * IFERROR(VLOOKUP("LULUCF|SO2|Premature mortality", US_national_yearly!$D:$AM, 18, FALSE) / VLOOKUP("LULUCF|SO2|Premature mortality", US_national_yearly!$D:$AM, 10, FALSE), 1)</f>
        <v>8.8837248278992123E-4</v>
      </c>
      <c r="K2" s="7">
        <f>$B2 * IFERROR(VLOOKUP("LULUCF|SO2|Premature mortality", US_national_yearly!$D:$AM, 19, FALSE) / VLOOKUP("LULUCF|SO2|Premature mortality", US_national_yearly!$D:$AM, 10, FALSE), 1)</f>
        <v>9.0103213978599004E-4</v>
      </c>
      <c r="L2" s="7">
        <f>$B2 * IFERROR(VLOOKUP("LULUCF|SO2|Premature mortality", US_national_yearly!$D:$AM, 20, FALSE) / VLOOKUP("LULUCF|SO2|Premature mortality", US_national_yearly!$D:$AM, 10, FALSE), 1)</f>
        <v>9.1369179678205896E-4</v>
      </c>
      <c r="M2" s="7">
        <f>$B2 * IFERROR(VLOOKUP("LULUCF|SO2|Premature mortality", US_national_yearly!$D:$AM, 21, FALSE) / VLOOKUP("LULUCF|SO2|Premature mortality", US_national_yearly!$D:$AM, 10, FALSE), 1)</f>
        <v>9.2635145377812798E-4</v>
      </c>
      <c r="N2" s="7">
        <f>$B2 * IFERROR(VLOOKUP("LULUCF|SO2|Premature mortality", US_national_yearly!$D:$AM, 22, FALSE) / VLOOKUP("LULUCF|SO2|Premature mortality", US_national_yearly!$D:$AM, 10, FALSE), 1)</f>
        <v>9.3624302306054145E-4</v>
      </c>
      <c r="O2" s="7">
        <f>$B2 * IFERROR(VLOOKUP("LULUCF|SO2|Premature mortality", US_national_yearly!$D:$AM, 23, FALSE) / VLOOKUP("LULUCF|SO2|Premature mortality", US_national_yearly!$D:$AM, 10, FALSE), 1)</f>
        <v>9.461345923429548E-4</v>
      </c>
      <c r="P2" s="7">
        <f>$B2 * IFERROR(VLOOKUP("LULUCF|SO2|Premature mortality", US_national_yearly!$D:$AM, 24, FALSE) / VLOOKUP("LULUCF|SO2|Premature mortality", US_national_yearly!$D:$AM, 10, FALSE), 1)</f>
        <v>9.5602616162536827E-4</v>
      </c>
      <c r="Q2" s="7">
        <f>$B2 * IFERROR(VLOOKUP("LULUCF|SO2|Premature mortality", US_national_yearly!$D:$AM, 25, FALSE) / VLOOKUP("LULUCF|SO2|Premature mortality", US_national_yearly!$D:$AM, 10, FALSE), 1)</f>
        <v>9.6591773090778173E-4</v>
      </c>
      <c r="R2" s="7">
        <f>$B2 * IFERROR(VLOOKUP("LULUCF|SO2|Premature mortality", US_national_yearly!$D:$AM, 26, FALSE) / VLOOKUP("LULUCF|SO2|Premature mortality", US_national_yearly!$D:$AM, 10, FALSE), 1)</f>
        <v>9.7580930019019498E-4</v>
      </c>
      <c r="S2" s="7">
        <f>$B2 * IFERROR(VLOOKUP("LULUCF|SO2|Premature mortality", US_national_yearly!$D:$AM, 27, FALSE) / VLOOKUP("LULUCF|SO2|Premature mortality", US_national_yearly!$D:$AM, 10, FALSE), 1)</f>
        <v>9.8110636724914324E-4</v>
      </c>
      <c r="T2" s="7">
        <f>$B2 * IFERROR(VLOOKUP("LULUCF|SO2|Premature mortality", US_national_yearly!$D:$AM, 28, FALSE) / VLOOKUP("LULUCF|SO2|Premature mortality", US_national_yearly!$D:$AM, 10, FALSE), 1)</f>
        <v>9.8640343430809129E-4</v>
      </c>
      <c r="U2" s="7">
        <f>$B2 * IFERROR(VLOOKUP("LULUCF|SO2|Premature mortality", US_national_yearly!$D:$AM, 29, FALSE) / VLOOKUP("LULUCF|SO2|Premature mortality", US_national_yearly!$D:$AM, 10, FALSE), 1)</f>
        <v>9.9170050136703955E-4</v>
      </c>
      <c r="V2" s="7">
        <f>$B2 * IFERROR(VLOOKUP("LULUCF|SO2|Premature mortality", US_national_yearly!$D:$AM, 30, FALSE) / VLOOKUP("LULUCF|SO2|Premature mortality", US_national_yearly!$D:$AM, 10, FALSE), 1)</f>
        <v>9.969975684259876E-4</v>
      </c>
      <c r="W2" s="7">
        <f>$B2 * IFERROR(VLOOKUP("LULUCF|SO2|Premature mortality", US_national_yearly!$D:$AM, 31, FALSE) / VLOOKUP("LULUCF|SO2|Premature mortality", US_national_yearly!$D:$AM, 10, FALSE), 1)</f>
        <v>1.0022946354849359E-3</v>
      </c>
      <c r="X2" s="7">
        <f>$B2 * IFERROR(VLOOKUP("LULUCF|SO2|Premature mortality", US_national_yearly!$D:$AM, 32, FALSE) / VLOOKUP("LULUCF|SO2|Premature mortality", US_national_yearly!$D:$AM, 10, FALSE), 1)</f>
        <v>1.0033707508604708E-3</v>
      </c>
      <c r="Y2" s="7">
        <f>$B2 * IFERROR(VLOOKUP("LULUCF|SO2|Premature mortality", US_national_yearly!$D:$AM, 33, FALSE) / VLOOKUP("LULUCF|SO2|Premature mortality", US_national_yearly!$D:$AM, 10, FALSE), 1)</f>
        <v>1.0044468662360059E-3</v>
      </c>
      <c r="Z2" s="7">
        <f>$B2 * IFERROR(VLOOKUP("LULUCF|SO2|Premature mortality", US_national_yearly!$D:$AM, 34, FALSE) / VLOOKUP("LULUCF|SO2|Premature mortality", US_national_yearly!$D:$AM, 10, FALSE), 1)</f>
        <v>1.005522981611541E-3</v>
      </c>
      <c r="AA2" s="7">
        <f>$B2 * IFERROR(VLOOKUP("LULUCF|SO2|Premature mortality", US_national_yearly!$D:$AM, 35, FALSE) / VLOOKUP("LULUCF|SO2|Premature mortality", US_national_yearly!$D:$AM, 10, FALSE), 1)</f>
        <v>1.0065990969870761E-3</v>
      </c>
      <c r="AB2" s="7">
        <f>$B2 * IFERROR(VLOOKUP("LULUCF|SO2|Premature mortality", US_national_yearly!$D:$AM, 36, FALSE) / VLOOKUP("LULUCF|SO2|Premature mortality", US_national_yearly!$D:$AM, 10, FALSE), 1)</f>
        <v>1.007675212362611E-3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2.0544105185206148E-6</v>
      </c>
      <c r="C3" s="7">
        <f>$B3 * IFERROR(VLOOKUP("LULUCF|SO2|Infant mortality", US_national_yearly!$D:$AM, 11, FALSE) / VLOOKUP("LULUCF|SO2|Infant mortality", US_national_yearly!$D:$AM, 10, FALSE), 1)</f>
        <v>2.036762757430599E-6</v>
      </c>
      <c r="D3" s="7">
        <f>$B3 * IFERROR(VLOOKUP("LULUCF|SO2|Infant mortality", US_national_yearly!$D:$AM, 12, FALSE) / VLOOKUP("LULUCF|SO2|Infant mortality", US_national_yearly!$D:$AM, 10, FALSE), 1)</f>
        <v>2.0191149963405835E-6</v>
      </c>
      <c r="E3" s="7">
        <f>$B3 * IFERROR(VLOOKUP("LULUCF|SO2|Infant mortality", US_national_yearly!$D:$AM, 13, FALSE) / VLOOKUP("LULUCF|SO2|Infant mortality", US_national_yearly!$D:$AM, 10, FALSE), 1)</f>
        <v>2.0014672352505677E-6</v>
      </c>
      <c r="F3" s="7">
        <f>$B3 * IFERROR(VLOOKUP("LULUCF|SO2|Infant mortality", US_national_yearly!$D:$AM, 14, FALSE) / VLOOKUP("LULUCF|SO2|Infant mortality", US_national_yearly!$D:$AM, 10, FALSE), 1)</f>
        <v>1.9838194741605522E-6</v>
      </c>
      <c r="G3" s="7">
        <f>$B3 * IFERROR(VLOOKUP("LULUCF|SO2|Infant mortality", US_national_yearly!$D:$AM, 15, FALSE) / VLOOKUP("LULUCF|SO2|Infant mortality", US_national_yearly!$D:$AM, 10, FALSE), 1)</f>
        <v>1.3213835497471821E-6</v>
      </c>
      <c r="H3" s="7">
        <f>$B3 * IFERROR(VLOOKUP("LULUCF|SO2|Infant mortality", US_national_yearly!$D:$AM, 16, FALSE) / VLOOKUP("LULUCF|SO2|Infant mortality", US_national_yearly!$D:$AM, 10, FALSE), 1)</f>
        <v>6.5894762533381306E-7</v>
      </c>
      <c r="I3" s="7">
        <f>$B3 * IFERROR(VLOOKUP("LULUCF|SO2|Infant mortality", US_national_yearly!$D:$AM, 17, FALSE) / VLOOKUP("LULUCF|SO2|Infant mortality", US_national_yearly!$D:$AM, 10, FALSE), 1)</f>
        <v>6.5481384789499556E-7</v>
      </c>
      <c r="J3" s="7">
        <f>$B3 * IFERROR(VLOOKUP("LULUCF|SO2|Infant mortality", US_national_yearly!$D:$AM, 18, FALSE) / VLOOKUP("LULUCF|SO2|Infant mortality", US_national_yearly!$D:$AM, 10, FALSE), 1)</f>
        <v>6.5068007045617805E-7</v>
      </c>
      <c r="K3" s="7">
        <f>$B3 * IFERROR(VLOOKUP("LULUCF|SO2|Infant mortality", US_national_yearly!$D:$AM, 19, FALSE) / VLOOKUP("LULUCF|SO2|Infant mortality", US_national_yearly!$D:$AM, 10, FALSE), 1)</f>
        <v>6.4654629301736055E-7</v>
      </c>
      <c r="L3" s="7">
        <f>$B3 * IFERROR(VLOOKUP("LULUCF|SO2|Infant mortality", US_national_yearly!$D:$AM, 20, FALSE) / VLOOKUP("LULUCF|SO2|Infant mortality", US_national_yearly!$D:$AM, 10, FALSE), 1)</f>
        <v>6.4241251557854315E-7</v>
      </c>
      <c r="M3" s="7">
        <f>$B3 * IFERROR(VLOOKUP("LULUCF|SO2|Infant mortality", US_national_yearly!$D:$AM, 21, FALSE) / VLOOKUP("LULUCF|SO2|Infant mortality", US_national_yearly!$D:$AM, 10, FALSE), 1)</f>
        <v>6.3827873813972565E-7</v>
      </c>
      <c r="N3" s="7">
        <f>$B3 * IFERROR(VLOOKUP("LULUCF|SO2|Infant mortality", US_national_yearly!$D:$AM, 22, FALSE) / VLOOKUP("LULUCF|SO2|Infant mortality", US_national_yearly!$D:$AM, 10, FALSE), 1)</f>
        <v>6.3568399698957533E-7</v>
      </c>
      <c r="O3" s="7">
        <f>$B3 * IFERROR(VLOOKUP("LULUCF|SO2|Infant mortality", US_national_yearly!$D:$AM, 23, FALSE) / VLOOKUP("LULUCF|SO2|Infant mortality", US_national_yearly!$D:$AM, 10, FALSE), 1)</f>
        <v>6.3308925583942501E-7</v>
      </c>
      <c r="P3" s="7">
        <f>$B3 * IFERROR(VLOOKUP("LULUCF|SO2|Infant mortality", US_national_yearly!$D:$AM, 24, FALSE) / VLOOKUP("LULUCF|SO2|Infant mortality", US_national_yearly!$D:$AM, 10, FALSE), 1)</f>
        <v>6.3049451468927448E-7</v>
      </c>
      <c r="Q3" s="7">
        <f>$B3 * IFERROR(VLOOKUP("LULUCF|SO2|Infant mortality", US_national_yearly!$D:$AM, 25, FALSE) / VLOOKUP("LULUCF|SO2|Infant mortality", US_national_yearly!$D:$AM, 10, FALSE), 1)</f>
        <v>6.2789977353912416E-7</v>
      </c>
      <c r="R3" s="7">
        <f>$B3 * IFERROR(VLOOKUP("LULUCF|SO2|Infant mortality", US_national_yearly!$D:$AM, 26, FALSE) / VLOOKUP("LULUCF|SO2|Infant mortality", US_national_yearly!$D:$AM, 10, FALSE), 1)</f>
        <v>6.2530503238897374E-7</v>
      </c>
      <c r="S3" s="7">
        <f>$B3 * IFERROR(VLOOKUP("LULUCF|SO2|Infant mortality", US_national_yearly!$D:$AM, 27, FALSE) / VLOOKUP("LULUCF|SO2|Infant mortality", US_national_yearly!$D:$AM, 10, FALSE), 1)</f>
        <v>6.2204717679994539E-7</v>
      </c>
      <c r="T3" s="7">
        <f>$B3 * IFERROR(VLOOKUP("LULUCF|SO2|Infant mortality", US_national_yearly!$D:$AM, 28, FALSE) / VLOOKUP("LULUCF|SO2|Infant mortality", US_national_yearly!$D:$AM, 10, FALSE), 1)</f>
        <v>6.1878932121091705E-7</v>
      </c>
      <c r="U3" s="7">
        <f>$B3 * IFERROR(VLOOKUP("LULUCF|SO2|Infant mortality", US_national_yearly!$D:$AM, 29, FALSE) / VLOOKUP("LULUCF|SO2|Infant mortality", US_national_yearly!$D:$AM, 10, FALSE), 1)</f>
        <v>6.1553146562188839E-7</v>
      </c>
      <c r="V3" s="7">
        <f>$B3 * IFERROR(VLOOKUP("LULUCF|SO2|Infant mortality", US_national_yearly!$D:$AM, 30, FALSE) / VLOOKUP("LULUCF|SO2|Infant mortality", US_national_yearly!$D:$AM, 10, FALSE), 1)</f>
        <v>6.1227361003286015E-7</v>
      </c>
      <c r="W3" s="7">
        <f>$B3 * IFERROR(VLOOKUP("LULUCF|SO2|Infant mortality", US_national_yearly!$D:$AM, 31, FALSE) / VLOOKUP("LULUCF|SO2|Infant mortality", US_national_yearly!$D:$AM, 10, FALSE), 1)</f>
        <v>6.090157544438317E-7</v>
      </c>
      <c r="X3" s="7">
        <f>$B3 * IFERROR(VLOOKUP("LULUCF|SO2|Infant mortality", US_national_yearly!$D:$AM, 32, FALSE) / VLOOKUP("LULUCF|SO2|Infant mortality", US_national_yearly!$D:$AM, 10, FALSE), 1)</f>
        <v>6.0545391267598943E-7</v>
      </c>
      <c r="Y3" s="7">
        <f>$B3 * IFERROR(VLOOKUP("LULUCF|SO2|Infant mortality", US_national_yearly!$D:$AM, 33, FALSE) / VLOOKUP("LULUCF|SO2|Infant mortality", US_national_yearly!$D:$AM, 10, FALSE), 1)</f>
        <v>6.0189207090814695E-7</v>
      </c>
      <c r="Z3" s="7">
        <f>$B3 * IFERROR(VLOOKUP("LULUCF|SO2|Infant mortality", US_national_yearly!$D:$AM, 34, FALSE) / VLOOKUP("LULUCF|SO2|Infant mortality", US_national_yearly!$D:$AM, 10, FALSE), 1)</f>
        <v>5.9833022914030457E-7</v>
      </c>
      <c r="AA3" s="7">
        <f>$B3 * IFERROR(VLOOKUP("LULUCF|SO2|Infant mortality", US_national_yearly!$D:$AM, 35, FALSE) / VLOOKUP("LULUCF|SO2|Infant mortality", US_national_yearly!$D:$AM, 10, FALSE), 1)</f>
        <v>5.9476838737246209E-7</v>
      </c>
      <c r="AB3" s="7">
        <f>$B3 * IFERROR(VLOOKUP("LULUCF|SO2|Infant mortality", US_national_yearly!$D:$AM, 36, FALSE) / VLOOKUP("LULUCF|SO2|Infant mortality", US_national_yearly!$D:$AM, 10, FALSE), 1)</f>
        <v>5.9120654560461982E-7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1.8235440905998231E-3</v>
      </c>
      <c r="C6" s="7">
        <f>$B6 * IFERROR(VLOOKUP("LULUCF|SO2|Asthma symptoms cough", US_national_yearly!$D:$AM, 11, FALSE) / VLOOKUP("LULUCF|SO2|Asthma symptoms cough", US_national_yearly!$D:$AM, 10, FALSE), 1)</f>
        <v>1.8235440905998231E-3</v>
      </c>
      <c r="D6" s="7">
        <f>$B6 * IFERROR(VLOOKUP("LULUCF|SO2|Asthma symptoms cough", US_national_yearly!$D:$AM, 12, FALSE) / VLOOKUP("LULUCF|SO2|Asthma symptoms cough", US_national_yearly!$D:$AM, 10, FALSE), 1)</f>
        <v>1.8235440905998231E-3</v>
      </c>
      <c r="E6" s="7">
        <f>$B6 * IFERROR(VLOOKUP("LULUCF|SO2|Asthma symptoms cough", US_national_yearly!$D:$AM, 13, FALSE) / VLOOKUP("LULUCF|SO2|Asthma symptoms cough", US_national_yearly!$D:$AM, 10, FALSE), 1)</f>
        <v>1.8235440905998231E-3</v>
      </c>
      <c r="F6" s="7">
        <f>$B6 * IFERROR(VLOOKUP("LULUCF|SO2|Asthma symptoms cough", US_national_yearly!$D:$AM, 14, FALSE) / VLOOKUP("LULUCF|SO2|Asthma symptoms cough", US_national_yearly!$D:$AM, 10, FALSE), 1)</f>
        <v>1.8235440905998231E-3</v>
      </c>
      <c r="G6" s="7">
        <f>$B6 * IFERROR(VLOOKUP("LULUCF|SO2|Asthma symptoms cough", US_national_yearly!$D:$AM, 15, FALSE) / VLOOKUP("LULUCF|SO2|Asthma symptoms cough", US_national_yearly!$D:$AM, 10, FALSE), 1)</f>
        <v>1.8235440905998231E-3</v>
      </c>
      <c r="H6" s="7">
        <f>$B6 * IFERROR(VLOOKUP("LULUCF|SO2|Asthma symptoms cough", US_national_yearly!$D:$AM, 16, FALSE) / VLOOKUP("LULUCF|SO2|Asthma symptoms cough", US_national_yearly!$D:$AM, 10, FALSE), 1)</f>
        <v>1.8235440905998231E-3</v>
      </c>
      <c r="I6" s="7">
        <f>$B6 * IFERROR(VLOOKUP("LULUCF|SO2|Asthma symptoms cough", US_national_yearly!$D:$AM, 17, FALSE) / VLOOKUP("LULUCF|SO2|Asthma symptoms cough", US_national_yearly!$D:$AM, 10, FALSE), 1)</f>
        <v>1.8235440905998231E-3</v>
      </c>
      <c r="J6" s="7">
        <f>$B6 * IFERROR(VLOOKUP("LULUCF|SO2|Asthma symptoms cough", US_national_yearly!$D:$AM, 18, FALSE) / VLOOKUP("LULUCF|SO2|Asthma symptoms cough", US_national_yearly!$D:$AM, 10, FALSE), 1)</f>
        <v>1.8235440905998231E-3</v>
      </c>
      <c r="K6" s="7">
        <f>$B6 * IFERROR(VLOOKUP("LULUCF|SO2|Asthma symptoms cough", US_national_yearly!$D:$AM, 19, FALSE) / VLOOKUP("LULUCF|SO2|Asthma symptoms cough", US_national_yearly!$D:$AM, 10, FALSE), 1)</f>
        <v>1.8235440905998231E-3</v>
      </c>
      <c r="L6" s="7">
        <f>$B6 * IFERROR(VLOOKUP("LULUCF|SO2|Asthma symptoms cough", US_national_yearly!$D:$AM, 20, FALSE) / VLOOKUP("LULUCF|SO2|Asthma symptoms cough", US_national_yearly!$D:$AM, 10, FALSE), 1)</f>
        <v>1.8235440905998231E-3</v>
      </c>
      <c r="M6" s="7">
        <f>$B6 * IFERROR(VLOOKUP("LULUCF|SO2|Asthma symptoms cough", US_national_yearly!$D:$AM, 21, FALSE) / VLOOKUP("LULUCF|SO2|Asthma symptoms cough", US_national_yearly!$D:$AM, 10, FALSE), 1)</f>
        <v>1.8235440905998231E-3</v>
      </c>
      <c r="N6" s="7">
        <f>$B6 * IFERROR(VLOOKUP("LULUCF|SO2|Asthma symptoms cough", US_national_yearly!$D:$AM, 22, FALSE) / VLOOKUP("LULUCF|SO2|Asthma symptoms cough", US_national_yearly!$D:$AM, 10, FALSE), 1)</f>
        <v>1.8235440905998231E-3</v>
      </c>
      <c r="O6" s="7">
        <f>$B6 * IFERROR(VLOOKUP("LULUCF|SO2|Asthma symptoms cough", US_national_yearly!$D:$AM, 23, FALSE) / VLOOKUP("LULUCF|SO2|Asthma symptoms cough", US_national_yearly!$D:$AM, 10, FALSE), 1)</f>
        <v>1.8235440905998231E-3</v>
      </c>
      <c r="P6" s="7">
        <f>$B6 * IFERROR(VLOOKUP("LULUCF|SO2|Asthma symptoms cough", US_national_yearly!$D:$AM, 24, FALSE) / VLOOKUP("LULUCF|SO2|Asthma symptoms cough", US_national_yearly!$D:$AM, 10, FALSE), 1)</f>
        <v>1.8235440905998231E-3</v>
      </c>
      <c r="Q6" s="7">
        <f>$B6 * IFERROR(VLOOKUP("LULUCF|SO2|Asthma symptoms cough", US_national_yearly!$D:$AM, 25, FALSE) / VLOOKUP("LULUCF|SO2|Asthma symptoms cough", US_national_yearly!$D:$AM, 10, FALSE), 1)</f>
        <v>1.8235440905998231E-3</v>
      </c>
      <c r="R6" s="7">
        <f>$B6 * IFERROR(VLOOKUP("LULUCF|SO2|Asthma symptoms cough", US_national_yearly!$D:$AM, 26, FALSE) / VLOOKUP("LULUCF|SO2|Asthma symptoms cough", US_national_yearly!$D:$AM, 10, FALSE), 1)</f>
        <v>1.8235440905998231E-3</v>
      </c>
      <c r="S6" s="7">
        <f>$B6 * IFERROR(VLOOKUP("LULUCF|SO2|Asthma symptoms cough", US_national_yearly!$D:$AM, 27, FALSE) / VLOOKUP("LULUCF|SO2|Asthma symptoms cough", US_national_yearly!$D:$AM, 10, FALSE), 1)</f>
        <v>1.8235440905998231E-3</v>
      </c>
      <c r="T6" s="7">
        <f>$B6 * IFERROR(VLOOKUP("LULUCF|SO2|Asthma symptoms cough", US_national_yearly!$D:$AM, 28, FALSE) / VLOOKUP("LULUCF|SO2|Asthma symptoms cough", US_national_yearly!$D:$AM, 10, FALSE), 1)</f>
        <v>1.8235440905998231E-3</v>
      </c>
      <c r="U6" s="7">
        <f>$B6 * IFERROR(VLOOKUP("LULUCF|SO2|Asthma symptoms cough", US_national_yearly!$D:$AM, 29, FALSE) / VLOOKUP("LULUCF|SO2|Asthma symptoms cough", US_national_yearly!$D:$AM, 10, FALSE), 1)</f>
        <v>1.8235440905998231E-3</v>
      </c>
      <c r="V6" s="7">
        <f>$B6 * IFERROR(VLOOKUP("LULUCF|SO2|Asthma symptoms cough", US_national_yearly!$D:$AM, 30, FALSE) / VLOOKUP("LULUCF|SO2|Asthma symptoms cough", US_national_yearly!$D:$AM, 10, FALSE), 1)</f>
        <v>1.8235440905998231E-3</v>
      </c>
      <c r="W6" s="7">
        <f>$B6 * IFERROR(VLOOKUP("LULUCF|SO2|Asthma symptoms cough", US_national_yearly!$D:$AM, 31, FALSE) / VLOOKUP("LULUCF|SO2|Asthma symptoms cough", US_national_yearly!$D:$AM, 10, FALSE), 1)</f>
        <v>1.8235440905998231E-3</v>
      </c>
      <c r="X6" s="7">
        <f>$B6 * IFERROR(VLOOKUP("LULUCF|SO2|Asthma symptoms cough", US_national_yearly!$D:$AM, 32, FALSE) / VLOOKUP("LULUCF|SO2|Asthma symptoms cough", US_national_yearly!$D:$AM, 10, FALSE), 1)</f>
        <v>1.8235440905998231E-3</v>
      </c>
      <c r="Y6" s="7">
        <f>$B6 * IFERROR(VLOOKUP("LULUCF|SO2|Asthma symptoms cough", US_national_yearly!$D:$AM, 33, FALSE) / VLOOKUP("LULUCF|SO2|Asthma symptoms cough", US_national_yearly!$D:$AM, 10, FALSE), 1)</f>
        <v>1.8235440905998231E-3</v>
      </c>
      <c r="Z6" s="7">
        <f>$B6 * IFERROR(VLOOKUP("LULUCF|SO2|Asthma symptoms cough", US_national_yearly!$D:$AM, 34, FALSE) / VLOOKUP("LULUCF|SO2|Asthma symptoms cough", US_national_yearly!$D:$AM, 10, FALSE), 1)</f>
        <v>1.8235440905998231E-3</v>
      </c>
      <c r="AA6" s="7">
        <f>$B6 * IFERROR(VLOOKUP("LULUCF|SO2|Asthma symptoms cough", US_national_yearly!$D:$AM, 35, FALSE) / VLOOKUP("LULUCF|SO2|Asthma symptoms cough", US_national_yearly!$D:$AM, 10, FALSE), 1)</f>
        <v>1.8235440905998231E-3</v>
      </c>
      <c r="AB6" s="7">
        <f>$B6 * IFERROR(VLOOKUP("LULUCF|SO2|Asthma symptoms cough", US_national_yearly!$D:$AM, 36, FALSE) / VLOOKUP("LULUCF|SO2|Asthma symptoms cough", US_national_yearly!$D:$AM, 10, FALSE), 1)</f>
        <v>1.8235440905998231E-3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2.4556146479674116E-3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2.4556146479674116E-3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2.4556146479674116E-3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2.4556146479674116E-3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2.4556146479674116E-3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2.4556146479674116E-3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2.4556146479674116E-3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2.4556146479674116E-3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2.4556146479674116E-3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2.4556146479674116E-3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2.4556146479674116E-3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2.4556146479674116E-3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2.4556146479674116E-3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2.4556146479674116E-3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2.4556146479674116E-3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2.4556146479674116E-3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2.4556146479674116E-3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2.4556146479674116E-3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2.4556146479674116E-3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2.4556146479674116E-3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2.4556146479674116E-3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2.4556146479674116E-3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2.4556146479674116E-3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2.4556146479674116E-3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2.4556146479674116E-3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2.4556146479674116E-3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2.4556146479674116E-3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3.7519486779683496E-3</v>
      </c>
      <c r="C8" s="7">
        <f>$B8 * IFERROR(VLOOKUP("LULUCF|SO2|Asthma symptoms wheeze", US_national_yearly!$D:$AM, 11, FALSE) / VLOOKUP("LULUCF|SO2|Asthma symptoms wheeze", US_national_yearly!$D:$AM, 10, FALSE), 1)</f>
        <v>3.7519486779683496E-3</v>
      </c>
      <c r="D8" s="7">
        <f>$B8 * IFERROR(VLOOKUP("LULUCF|SO2|Asthma symptoms wheeze", US_national_yearly!$D:$AM, 12, FALSE) / VLOOKUP("LULUCF|SO2|Asthma symptoms wheeze", US_national_yearly!$D:$AM, 10, FALSE), 1)</f>
        <v>3.7519486779683496E-3</v>
      </c>
      <c r="E8" s="7">
        <f>$B8 * IFERROR(VLOOKUP("LULUCF|SO2|Asthma symptoms wheeze", US_national_yearly!$D:$AM, 13, FALSE) / VLOOKUP("LULUCF|SO2|Asthma symptoms wheeze", US_national_yearly!$D:$AM, 10, FALSE), 1)</f>
        <v>3.7519486779683496E-3</v>
      </c>
      <c r="F8" s="7">
        <f>$B8 * IFERROR(VLOOKUP("LULUCF|SO2|Asthma symptoms wheeze", US_national_yearly!$D:$AM, 14, FALSE) / VLOOKUP("LULUCF|SO2|Asthma symptoms wheeze", US_national_yearly!$D:$AM, 10, FALSE), 1)</f>
        <v>3.7519486779683496E-3</v>
      </c>
      <c r="G8" s="7">
        <f>$B8 * IFERROR(VLOOKUP("LULUCF|SO2|Asthma symptoms wheeze", US_national_yearly!$D:$AM, 15, FALSE) / VLOOKUP("LULUCF|SO2|Asthma symptoms wheeze", US_national_yearly!$D:$AM, 10, FALSE), 1)</f>
        <v>3.7519486779683496E-3</v>
      </c>
      <c r="H8" s="7">
        <f>$B8 * IFERROR(VLOOKUP("LULUCF|SO2|Asthma symptoms wheeze", US_national_yearly!$D:$AM, 16, FALSE) / VLOOKUP("LULUCF|SO2|Asthma symptoms wheeze", US_national_yearly!$D:$AM, 10, FALSE), 1)</f>
        <v>3.7519486779683496E-3</v>
      </c>
      <c r="I8" s="7">
        <f>$B8 * IFERROR(VLOOKUP("LULUCF|SO2|Asthma symptoms wheeze", US_national_yearly!$D:$AM, 17, FALSE) / VLOOKUP("LULUCF|SO2|Asthma symptoms wheeze", US_national_yearly!$D:$AM, 10, FALSE), 1)</f>
        <v>3.7519486779683496E-3</v>
      </c>
      <c r="J8" s="7">
        <f>$B8 * IFERROR(VLOOKUP("LULUCF|SO2|Asthma symptoms wheeze", US_national_yearly!$D:$AM, 18, FALSE) / VLOOKUP("LULUCF|SO2|Asthma symptoms wheeze", US_national_yearly!$D:$AM, 10, FALSE), 1)</f>
        <v>3.7519486779683496E-3</v>
      </c>
      <c r="K8" s="7">
        <f>$B8 * IFERROR(VLOOKUP("LULUCF|SO2|Asthma symptoms wheeze", US_national_yearly!$D:$AM, 19, FALSE) / VLOOKUP("LULUCF|SO2|Asthma symptoms wheeze", US_national_yearly!$D:$AM, 10, FALSE), 1)</f>
        <v>3.7519486779683496E-3</v>
      </c>
      <c r="L8" s="7">
        <f>$B8 * IFERROR(VLOOKUP("LULUCF|SO2|Asthma symptoms wheeze", US_national_yearly!$D:$AM, 20, FALSE) / VLOOKUP("LULUCF|SO2|Asthma symptoms wheeze", US_national_yearly!$D:$AM, 10, FALSE), 1)</f>
        <v>3.7519486779683496E-3</v>
      </c>
      <c r="M8" s="7">
        <f>$B8 * IFERROR(VLOOKUP("LULUCF|SO2|Asthma symptoms wheeze", US_national_yearly!$D:$AM, 21, FALSE) / VLOOKUP("LULUCF|SO2|Asthma symptoms wheeze", US_national_yearly!$D:$AM, 10, FALSE), 1)</f>
        <v>3.7519486779683496E-3</v>
      </c>
      <c r="N8" s="7">
        <f>$B8 * IFERROR(VLOOKUP("LULUCF|SO2|Asthma symptoms wheeze", US_national_yearly!$D:$AM, 22, FALSE) / VLOOKUP("LULUCF|SO2|Asthma symptoms wheeze", US_national_yearly!$D:$AM, 10, FALSE), 1)</f>
        <v>3.7519486779683496E-3</v>
      </c>
      <c r="O8" s="7">
        <f>$B8 * IFERROR(VLOOKUP("LULUCF|SO2|Asthma symptoms wheeze", US_national_yearly!$D:$AM, 23, FALSE) / VLOOKUP("LULUCF|SO2|Asthma symptoms wheeze", US_national_yearly!$D:$AM, 10, FALSE), 1)</f>
        <v>3.7519486779683496E-3</v>
      </c>
      <c r="P8" s="7">
        <f>$B8 * IFERROR(VLOOKUP("LULUCF|SO2|Asthma symptoms wheeze", US_national_yearly!$D:$AM, 24, FALSE) / VLOOKUP("LULUCF|SO2|Asthma symptoms wheeze", US_national_yearly!$D:$AM, 10, FALSE), 1)</f>
        <v>3.7519486779683496E-3</v>
      </c>
      <c r="Q8" s="7">
        <f>$B8 * IFERROR(VLOOKUP("LULUCF|SO2|Asthma symptoms wheeze", US_national_yearly!$D:$AM, 25, FALSE) / VLOOKUP("LULUCF|SO2|Asthma symptoms wheeze", US_national_yearly!$D:$AM, 10, FALSE), 1)</f>
        <v>3.7519486779683496E-3</v>
      </c>
      <c r="R8" s="7">
        <f>$B8 * IFERROR(VLOOKUP("LULUCF|SO2|Asthma symptoms wheeze", US_national_yearly!$D:$AM, 26, FALSE) / VLOOKUP("LULUCF|SO2|Asthma symptoms wheeze", US_national_yearly!$D:$AM, 10, FALSE), 1)</f>
        <v>3.7519486779683496E-3</v>
      </c>
      <c r="S8" s="7">
        <f>$B8 * IFERROR(VLOOKUP("LULUCF|SO2|Asthma symptoms wheeze", US_national_yearly!$D:$AM, 27, FALSE) / VLOOKUP("LULUCF|SO2|Asthma symptoms wheeze", US_national_yearly!$D:$AM, 10, FALSE), 1)</f>
        <v>3.7519486779683496E-3</v>
      </c>
      <c r="T8" s="7">
        <f>$B8 * IFERROR(VLOOKUP("LULUCF|SO2|Asthma symptoms wheeze", US_national_yearly!$D:$AM, 28, FALSE) / VLOOKUP("LULUCF|SO2|Asthma symptoms wheeze", US_national_yearly!$D:$AM, 10, FALSE), 1)</f>
        <v>3.7519486779683496E-3</v>
      </c>
      <c r="U8" s="7">
        <f>$B8 * IFERROR(VLOOKUP("LULUCF|SO2|Asthma symptoms wheeze", US_national_yearly!$D:$AM, 29, FALSE) / VLOOKUP("LULUCF|SO2|Asthma symptoms wheeze", US_national_yearly!$D:$AM, 10, FALSE), 1)</f>
        <v>3.7519486779683496E-3</v>
      </c>
      <c r="V8" s="7">
        <f>$B8 * IFERROR(VLOOKUP("LULUCF|SO2|Asthma symptoms wheeze", US_national_yearly!$D:$AM, 30, FALSE) / VLOOKUP("LULUCF|SO2|Asthma symptoms wheeze", US_national_yearly!$D:$AM, 10, FALSE), 1)</f>
        <v>3.7519486779683496E-3</v>
      </c>
      <c r="W8" s="7">
        <f>$B8 * IFERROR(VLOOKUP("LULUCF|SO2|Asthma symptoms wheeze", US_national_yearly!$D:$AM, 31, FALSE) / VLOOKUP("LULUCF|SO2|Asthma symptoms wheeze", US_national_yearly!$D:$AM, 10, FALSE), 1)</f>
        <v>3.7519486779683496E-3</v>
      </c>
      <c r="X8" s="7">
        <f>$B8 * IFERROR(VLOOKUP("LULUCF|SO2|Asthma symptoms wheeze", US_national_yearly!$D:$AM, 32, FALSE) / VLOOKUP("LULUCF|SO2|Asthma symptoms wheeze", US_national_yearly!$D:$AM, 10, FALSE), 1)</f>
        <v>3.7519486779683496E-3</v>
      </c>
      <c r="Y8" s="7">
        <f>$B8 * IFERROR(VLOOKUP("LULUCF|SO2|Asthma symptoms wheeze", US_national_yearly!$D:$AM, 33, FALSE) / VLOOKUP("LULUCF|SO2|Asthma symptoms wheeze", US_national_yearly!$D:$AM, 10, FALSE), 1)</f>
        <v>3.7519486779683496E-3</v>
      </c>
      <c r="Z8" s="7">
        <f>$B8 * IFERROR(VLOOKUP("LULUCF|SO2|Asthma symptoms wheeze", US_national_yearly!$D:$AM, 34, FALSE) / VLOOKUP("LULUCF|SO2|Asthma symptoms wheeze", US_national_yearly!$D:$AM, 10, FALSE), 1)</f>
        <v>3.7519486779683496E-3</v>
      </c>
      <c r="AA8" s="7">
        <f>$B8 * IFERROR(VLOOKUP("LULUCF|SO2|Asthma symptoms wheeze", US_national_yearly!$D:$AM, 35, FALSE) / VLOOKUP("LULUCF|SO2|Asthma symptoms wheeze", US_national_yearly!$D:$AM, 10, FALSE), 1)</f>
        <v>3.7519486779683496E-3</v>
      </c>
      <c r="AB8" s="7">
        <f>$B8 * IFERROR(VLOOKUP("LULUCF|SO2|Asthma symptoms wheeze", US_national_yearly!$D:$AM, 36, FALSE) / VLOOKUP("LULUCF|SO2|Asthma symptoms wheeze", US_national_yearly!$D:$AM, 10, FALSE), 1)</f>
        <v>3.7519486779683496E-3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5.5394969462190293E-5</v>
      </c>
      <c r="C12" s="7">
        <f>$B12 * IFERROR(VLOOKUP("LULUCF|SO2|Respiratory hospital admissions", US_national_yearly!$D:$AM, 11, FALSE) / VLOOKUP("LULUCF|SO2|Respiratory hospital admissions", US_national_yearly!$D:$AM, 10, FALSE), 1)</f>
        <v>5.5721691744925728E-5</v>
      </c>
      <c r="D12" s="7">
        <f>$B12 * IFERROR(VLOOKUP("LULUCF|SO2|Respiratory hospital admissions", US_national_yearly!$D:$AM, 12, FALSE) / VLOOKUP("LULUCF|SO2|Respiratory hospital admissions", US_national_yearly!$D:$AM, 10, FALSE), 1)</f>
        <v>5.6048414027661171E-5</v>
      </c>
      <c r="E12" s="7">
        <f>$B12 * IFERROR(VLOOKUP("LULUCF|SO2|Respiratory hospital admissions", US_national_yearly!$D:$AM, 13, FALSE) / VLOOKUP("LULUCF|SO2|Respiratory hospital admissions", US_national_yearly!$D:$AM, 10, FALSE), 1)</f>
        <v>5.6375136310396606E-5</v>
      </c>
      <c r="F12" s="7">
        <f>$B12 * IFERROR(VLOOKUP("LULUCF|SO2|Respiratory hospital admissions", US_national_yearly!$D:$AM, 14, FALSE) / VLOOKUP("LULUCF|SO2|Respiratory hospital admissions", US_national_yearly!$D:$AM, 10, FALSE), 1)</f>
        <v>5.6701858593132041E-5</v>
      </c>
      <c r="G12" s="7">
        <f>$B12 * IFERROR(VLOOKUP("LULUCF|SO2|Respiratory hospital admissions", US_national_yearly!$D:$AM, 15, FALSE) / VLOOKUP("LULUCF|SO2|Respiratory hospital admissions", US_national_yearly!$D:$AM, 10, FALSE), 1)</f>
        <v>5.7058040989886102E-5</v>
      </c>
      <c r="H12" s="7">
        <f>$B12 * IFERROR(VLOOKUP("LULUCF|SO2|Respiratory hospital admissions", US_national_yearly!$D:$AM, 16, FALSE) / VLOOKUP("LULUCF|SO2|Respiratory hospital admissions", US_national_yearly!$D:$AM, 10, FALSE), 1)</f>
        <v>5.7414223386640155E-5</v>
      </c>
      <c r="I12" s="7">
        <f>$B12 * IFERROR(VLOOKUP("LULUCF|SO2|Respiratory hospital admissions", US_national_yearly!$D:$AM, 17, FALSE) / VLOOKUP("LULUCF|SO2|Respiratory hospital admissions", US_national_yearly!$D:$AM, 10, FALSE), 1)</f>
        <v>5.7765461638387022E-5</v>
      </c>
      <c r="J12" s="7">
        <f>$B12 * IFERROR(VLOOKUP("LULUCF|SO2|Respiratory hospital admissions", US_national_yearly!$D:$AM, 18, FALSE) / VLOOKUP("LULUCF|SO2|Respiratory hospital admissions", US_national_yearly!$D:$AM, 10, FALSE), 1)</f>
        <v>5.8116699890133896E-5</v>
      </c>
      <c r="K12" s="7">
        <f>$B12 * IFERROR(VLOOKUP("LULUCF|SO2|Respiratory hospital admissions", US_national_yearly!$D:$AM, 19, FALSE) / VLOOKUP("LULUCF|SO2|Respiratory hospital admissions", US_national_yearly!$D:$AM, 10, FALSE), 1)</f>
        <v>5.846793814188075E-5</v>
      </c>
      <c r="L12" s="7">
        <f>$B12 * IFERROR(VLOOKUP("LULUCF|SO2|Respiratory hospital admissions", US_national_yearly!$D:$AM, 20, FALSE) / VLOOKUP("LULUCF|SO2|Respiratory hospital admissions", US_national_yearly!$D:$AM, 10, FALSE), 1)</f>
        <v>5.8819176393627624E-5</v>
      </c>
      <c r="M12" s="7">
        <f>$B12 * IFERROR(VLOOKUP("LULUCF|SO2|Respiratory hospital admissions", US_national_yearly!$D:$AM, 21, FALSE) / VLOOKUP("LULUCF|SO2|Respiratory hospital admissions", US_national_yearly!$D:$AM, 10, FALSE), 1)</f>
        <v>5.9170414645374477E-5</v>
      </c>
      <c r="N12" s="7">
        <f>$B12 * IFERROR(VLOOKUP("LULUCF|SO2|Respiratory hospital admissions", US_national_yearly!$D:$AM, 22, FALSE) / VLOOKUP("LULUCF|SO2|Respiratory hospital admissions", US_national_yearly!$D:$AM, 10, FALSE), 1)</f>
        <v>5.9426807726917411E-5</v>
      </c>
      <c r="O12" s="7">
        <f>$B12 * IFERROR(VLOOKUP("LULUCF|SO2|Respiratory hospital admissions", US_national_yearly!$D:$AM, 23, FALSE) / VLOOKUP("LULUCF|SO2|Respiratory hospital admissions", US_national_yearly!$D:$AM, 10, FALSE), 1)</f>
        <v>5.9683200808460339E-5</v>
      </c>
      <c r="P12" s="7">
        <f>$B12 * IFERROR(VLOOKUP("LULUCF|SO2|Respiratory hospital admissions", US_national_yearly!$D:$AM, 24, FALSE) / VLOOKUP("LULUCF|SO2|Respiratory hospital admissions", US_national_yearly!$D:$AM, 10, FALSE), 1)</f>
        <v>5.9939593890003266E-5</v>
      </c>
      <c r="Q12" s="7">
        <f>$B12 * IFERROR(VLOOKUP("LULUCF|SO2|Respiratory hospital admissions", US_national_yearly!$D:$AM, 25, FALSE) / VLOOKUP("LULUCF|SO2|Respiratory hospital admissions", US_national_yearly!$D:$AM, 10, FALSE), 1)</f>
        <v>6.01959869715462E-5</v>
      </c>
      <c r="R12" s="7">
        <f>$B12 * IFERROR(VLOOKUP("LULUCF|SO2|Respiratory hospital admissions", US_national_yearly!$D:$AM, 26, FALSE) / VLOOKUP("LULUCF|SO2|Respiratory hospital admissions", US_national_yearly!$D:$AM, 10, FALSE), 1)</f>
        <v>6.0452380053089128E-5</v>
      </c>
      <c r="S12" s="7">
        <f>$B12 * IFERROR(VLOOKUP("LULUCF|SO2|Respiratory hospital admissions", US_national_yearly!$D:$AM, 27, FALSE) / VLOOKUP("LULUCF|SO2|Respiratory hospital admissions", US_national_yearly!$D:$AM, 10, FALSE), 1)</f>
        <v>6.0696959489536925E-5</v>
      </c>
      <c r="T12" s="7">
        <f>$B12 * IFERROR(VLOOKUP("LULUCF|SO2|Respiratory hospital admissions", US_national_yearly!$D:$AM, 28, FALSE) / VLOOKUP("LULUCF|SO2|Respiratory hospital admissions", US_national_yearly!$D:$AM, 10, FALSE), 1)</f>
        <v>6.0941538925984715E-5</v>
      </c>
      <c r="U12" s="7">
        <f>$B12 * IFERROR(VLOOKUP("LULUCF|SO2|Respiratory hospital admissions", US_national_yearly!$D:$AM, 29, FALSE) / VLOOKUP("LULUCF|SO2|Respiratory hospital admissions", US_national_yearly!$D:$AM, 10, FALSE), 1)</f>
        <v>6.1186118362432519E-5</v>
      </c>
      <c r="V12" s="7">
        <f>$B12 * IFERROR(VLOOKUP("LULUCF|SO2|Respiratory hospital admissions", US_national_yearly!$D:$AM, 30, FALSE) / VLOOKUP("LULUCF|SO2|Respiratory hospital admissions", US_national_yearly!$D:$AM, 10, FALSE), 1)</f>
        <v>6.143069779888031E-5</v>
      </c>
      <c r="W12" s="7">
        <f>$B12 * IFERROR(VLOOKUP("LULUCF|SO2|Respiratory hospital admissions", US_national_yearly!$D:$AM, 31, FALSE) / VLOOKUP("LULUCF|SO2|Respiratory hospital admissions", US_national_yearly!$D:$AM, 10, FALSE), 1)</f>
        <v>6.1675277235328114E-5</v>
      </c>
      <c r="X12" s="7">
        <f>$B12 * IFERROR(VLOOKUP("LULUCF|SO2|Respiratory hospital admissions", US_national_yearly!$D:$AM, 32, FALSE) / VLOOKUP("LULUCF|SO2|Respiratory hospital admissions", US_national_yearly!$D:$AM, 10, FALSE), 1)</f>
        <v>6.1907342965345633E-5</v>
      </c>
      <c r="Y12" s="7">
        <f>$B12 * IFERROR(VLOOKUP("LULUCF|SO2|Respiratory hospital admissions", US_national_yearly!$D:$AM, 33, FALSE) / VLOOKUP("LULUCF|SO2|Respiratory hospital admissions", US_national_yearly!$D:$AM, 10, FALSE), 1)</f>
        <v>6.2139408695363138E-5</v>
      </c>
      <c r="Z12" s="7">
        <f>$B12 * IFERROR(VLOOKUP("LULUCF|SO2|Respiratory hospital admissions", US_national_yearly!$D:$AM, 34, FALSE) / VLOOKUP("LULUCF|SO2|Respiratory hospital admissions", US_national_yearly!$D:$AM, 10, FALSE), 1)</f>
        <v>6.2371474425380657E-5</v>
      </c>
      <c r="AA12" s="7">
        <f>$B12 * IFERROR(VLOOKUP("LULUCF|SO2|Respiratory hospital admissions", US_national_yearly!$D:$AM, 35, FALSE) / VLOOKUP("LULUCF|SO2|Respiratory hospital admissions", US_national_yearly!$D:$AM, 10, FALSE), 1)</f>
        <v>6.2603540155398176E-5</v>
      </c>
      <c r="AB12" s="7">
        <f>$B12 * IFERROR(VLOOKUP("LULUCF|SO2|Respiratory hospital admissions", US_national_yearly!$D:$AM, 36, FALSE) / VLOOKUP("LULUCF|SO2|Respiratory hospital admissions", US_national_yearly!$D:$AM, 10, FALSE), 1)</f>
        <v>6.2835605885415695E-5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3.2716029533257605E-4</v>
      </c>
      <c r="C13" s="7">
        <f>$B13 * IFERROR(VLOOKUP("LULUCF|SO2|Non-fatal heart attacks", US_national_yearly!$D:$AM, 11, FALSE) / VLOOKUP("LULUCF|SO2|Non-fatal heart attacks", US_national_yearly!$D:$AM, 10, FALSE), 1)</f>
        <v>3.367645332921918E-4</v>
      </c>
      <c r="D13" s="7">
        <f>$B13 * IFERROR(VLOOKUP("LULUCF|SO2|Non-fatal heart attacks", US_national_yearly!$D:$AM, 12, FALSE) / VLOOKUP("LULUCF|SO2|Non-fatal heart attacks", US_national_yearly!$D:$AM, 10, FALSE), 1)</f>
        <v>3.4636877125180759E-4</v>
      </c>
      <c r="E13" s="7">
        <f>$B13 * IFERROR(VLOOKUP("LULUCF|SO2|Non-fatal heart attacks", US_national_yearly!$D:$AM, 13, FALSE) / VLOOKUP("LULUCF|SO2|Non-fatal heart attacks", US_national_yearly!$D:$AM, 10, FALSE), 1)</f>
        <v>3.5597300921142333E-4</v>
      </c>
      <c r="F13" s="7">
        <f>$B13 * IFERROR(VLOOKUP("LULUCF|SO2|Non-fatal heart attacks", US_national_yearly!$D:$AM, 14, FALSE) / VLOOKUP("LULUCF|SO2|Non-fatal heart attacks", US_national_yearly!$D:$AM, 10, FALSE), 1)</f>
        <v>3.6557724717103902E-4</v>
      </c>
      <c r="G13" s="7">
        <f>$B13 * IFERROR(VLOOKUP("LULUCF|SO2|Non-fatal heart attacks", US_national_yearly!$D:$AM, 15, FALSE) / VLOOKUP("LULUCF|SO2|Non-fatal heart attacks", US_national_yearly!$D:$AM, 10, FALSE), 1)</f>
        <v>3.7463493441444918E-4</v>
      </c>
      <c r="H13" s="7">
        <f>$B13 * IFERROR(VLOOKUP("LULUCF|SO2|Non-fatal heart attacks", US_national_yearly!$D:$AM, 16, FALSE) / VLOOKUP("LULUCF|SO2|Non-fatal heart attacks", US_national_yearly!$D:$AM, 10, FALSE), 1)</f>
        <v>3.8369262165785934E-4</v>
      </c>
      <c r="I13" s="7">
        <f>$B13 * IFERROR(VLOOKUP("LULUCF|SO2|Non-fatal heart attacks", US_national_yearly!$D:$AM, 17, FALSE) / VLOOKUP("LULUCF|SO2|Non-fatal heart attacks", US_national_yearly!$D:$AM, 10, FALSE), 1)</f>
        <v>3.9098122043517569E-4</v>
      </c>
      <c r="J13" s="7">
        <f>$B13 * IFERROR(VLOOKUP("LULUCF|SO2|Non-fatal heart attacks", US_national_yearly!$D:$AM, 18, FALSE) / VLOOKUP("LULUCF|SO2|Non-fatal heart attacks", US_national_yearly!$D:$AM, 10, FALSE), 1)</f>
        <v>3.9826981921249209E-4</v>
      </c>
      <c r="K13" s="7">
        <f>$B13 * IFERROR(VLOOKUP("LULUCF|SO2|Non-fatal heart attacks", US_national_yearly!$D:$AM, 19, FALSE) / VLOOKUP("LULUCF|SO2|Non-fatal heart attacks", US_national_yearly!$D:$AM, 10, FALSE), 1)</f>
        <v>4.0555841798980849E-4</v>
      </c>
      <c r="L13" s="7">
        <f>$B13 * IFERROR(VLOOKUP("LULUCF|SO2|Non-fatal heart attacks", US_national_yearly!$D:$AM, 20, FALSE) / VLOOKUP("LULUCF|SO2|Non-fatal heart attacks", US_national_yearly!$D:$AM, 10, FALSE), 1)</f>
        <v>4.12847016767125E-4</v>
      </c>
      <c r="M13" s="7">
        <f>$B13 * IFERROR(VLOOKUP("LULUCF|SO2|Non-fatal heart attacks", US_national_yearly!$D:$AM, 21, FALSE) / VLOOKUP("LULUCF|SO2|Non-fatal heart attacks", US_national_yearly!$D:$AM, 10, FALSE), 1)</f>
        <v>4.201356155444414E-4</v>
      </c>
      <c r="N13" s="7">
        <f>$B13 * IFERROR(VLOOKUP("LULUCF|SO2|Non-fatal heart attacks", US_national_yearly!$D:$AM, 22, FALSE) / VLOOKUP("LULUCF|SO2|Non-fatal heart attacks", US_national_yearly!$D:$AM, 10, FALSE), 1)</f>
        <v>4.2486819078850919E-4</v>
      </c>
      <c r="O13" s="7">
        <f>$B13 * IFERROR(VLOOKUP("LULUCF|SO2|Non-fatal heart attacks", US_national_yearly!$D:$AM, 23, FALSE) / VLOOKUP("LULUCF|SO2|Non-fatal heart attacks", US_national_yearly!$D:$AM, 10, FALSE), 1)</f>
        <v>4.2960076603257714E-4</v>
      </c>
      <c r="P13" s="7">
        <f>$B13 * IFERROR(VLOOKUP("LULUCF|SO2|Non-fatal heart attacks", US_national_yearly!$D:$AM, 24, FALSE) / VLOOKUP("LULUCF|SO2|Non-fatal heart attacks", US_national_yearly!$D:$AM, 10, FALSE), 1)</f>
        <v>4.3433334127664509E-4</v>
      </c>
      <c r="Q13" s="7">
        <f>$B13 * IFERROR(VLOOKUP("LULUCF|SO2|Non-fatal heart attacks", US_national_yearly!$D:$AM, 25, FALSE) / VLOOKUP("LULUCF|SO2|Non-fatal heart attacks", US_national_yearly!$D:$AM, 10, FALSE), 1)</f>
        <v>4.3906591652071293E-4</v>
      </c>
      <c r="R13" s="7">
        <f>$B13 * IFERROR(VLOOKUP("LULUCF|SO2|Non-fatal heart attacks", US_national_yearly!$D:$AM, 26, FALSE) / VLOOKUP("LULUCF|SO2|Non-fatal heart attacks", US_national_yearly!$D:$AM, 10, FALSE), 1)</f>
        <v>4.4379849176478083E-4</v>
      </c>
      <c r="S13" s="7">
        <f>$B13 * IFERROR(VLOOKUP("LULUCF|SO2|Non-fatal heart attacks", US_national_yearly!$D:$AM, 27, FALSE) / VLOOKUP("LULUCF|SO2|Non-fatal heart attacks", US_national_yearly!$D:$AM, 10, FALSE), 1)</f>
        <v>4.4626934267997126E-4</v>
      </c>
      <c r="T13" s="7">
        <f>$B13 * IFERROR(VLOOKUP("LULUCF|SO2|Non-fatal heart attacks", US_national_yearly!$D:$AM, 28, FALSE) / VLOOKUP("LULUCF|SO2|Non-fatal heart attacks", US_national_yearly!$D:$AM, 10, FALSE), 1)</f>
        <v>4.4874019359516176E-4</v>
      </c>
      <c r="U13" s="7">
        <f>$B13 * IFERROR(VLOOKUP("LULUCF|SO2|Non-fatal heart attacks", US_national_yearly!$D:$AM, 29, FALSE) / VLOOKUP("LULUCF|SO2|Non-fatal heart attacks", US_national_yearly!$D:$AM, 10, FALSE), 1)</f>
        <v>4.5121104451035214E-4</v>
      </c>
      <c r="V13" s="7">
        <f>$B13 * IFERROR(VLOOKUP("LULUCF|SO2|Non-fatal heart attacks", US_national_yearly!$D:$AM, 30, FALSE) / VLOOKUP("LULUCF|SO2|Non-fatal heart attacks", US_national_yearly!$D:$AM, 10, FALSE), 1)</f>
        <v>4.5368189542554252E-4</v>
      </c>
      <c r="W13" s="7">
        <f>$B13 * IFERROR(VLOOKUP("LULUCF|SO2|Non-fatal heart attacks", US_national_yearly!$D:$AM, 31, FALSE) / VLOOKUP("LULUCF|SO2|Non-fatal heart attacks", US_national_yearly!$D:$AM, 10, FALSE), 1)</f>
        <v>4.5615274634073306E-4</v>
      </c>
      <c r="X13" s="7">
        <f>$B13 * IFERROR(VLOOKUP("LULUCF|SO2|Non-fatal heart attacks", US_national_yearly!$D:$AM, 32, FALSE) / VLOOKUP("LULUCF|SO2|Non-fatal heart attacks", US_national_yearly!$D:$AM, 10, FALSE), 1)</f>
        <v>4.5801802264685659E-4</v>
      </c>
      <c r="Y13" s="7">
        <f>$B13 * IFERROR(VLOOKUP("LULUCF|SO2|Non-fatal heart attacks", US_national_yearly!$D:$AM, 33, FALSE) / VLOOKUP("LULUCF|SO2|Non-fatal heart attacks", US_national_yearly!$D:$AM, 10, FALSE), 1)</f>
        <v>4.5988329895298012E-4</v>
      </c>
      <c r="Z13" s="7">
        <f>$B13 * IFERROR(VLOOKUP("LULUCF|SO2|Non-fatal heart attacks", US_national_yearly!$D:$AM, 34, FALSE) / VLOOKUP("LULUCF|SO2|Non-fatal heart attacks", US_national_yearly!$D:$AM, 10, FALSE), 1)</f>
        <v>4.6174857525910364E-4</v>
      </c>
      <c r="AA13" s="7">
        <f>$B13 * IFERROR(VLOOKUP("LULUCF|SO2|Non-fatal heart attacks", US_national_yearly!$D:$AM, 35, FALSE) / VLOOKUP("LULUCF|SO2|Non-fatal heart attacks", US_national_yearly!$D:$AM, 10, FALSE), 1)</f>
        <v>4.6361385156522717E-4</v>
      </c>
      <c r="AB13" s="7">
        <f>$B13 * IFERROR(VLOOKUP("LULUCF|SO2|Non-fatal heart attacks", US_national_yearly!$D:$AM, 36, FALSE) / VLOOKUP("LULUCF|SO2|Non-fatal heart attacks", US_national_yearly!$D:$AM, 10, FALSE), 1)</f>
        <v>4.6547912787135069E-4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0.21618008825689614</v>
      </c>
      <c r="C14" s="7">
        <f>$B14 * IFERROR(VLOOKUP("LULUCF|SO2|Minor restricted activity days", US_national_yearly!$D:$AM, 11, FALSE) / VLOOKUP("LULUCF|SO2|Minor restricted activity days", US_national_yearly!$D:$AM, 10, FALSE), 1)</f>
        <v>0.21672500622984611</v>
      </c>
      <c r="D14" s="7">
        <f>$B14 * IFERROR(VLOOKUP("LULUCF|SO2|Minor restricted activity days", US_national_yearly!$D:$AM, 12, FALSE) / VLOOKUP("LULUCF|SO2|Minor restricted activity days", US_national_yearly!$D:$AM, 10, FALSE), 1)</f>
        <v>0.21726992420279603</v>
      </c>
      <c r="E14" s="7">
        <f>$B14 * IFERROR(VLOOKUP("LULUCF|SO2|Minor restricted activity days", US_national_yearly!$D:$AM, 13, FALSE) / VLOOKUP("LULUCF|SO2|Minor restricted activity days", US_national_yearly!$D:$AM, 10, FALSE), 1)</f>
        <v>0.21781484217574601</v>
      </c>
      <c r="F14" s="7">
        <f>$B14 * IFERROR(VLOOKUP("LULUCF|SO2|Minor restricted activity days", US_national_yearly!$D:$AM, 14, FALSE) / VLOOKUP("LULUCF|SO2|Minor restricted activity days", US_national_yearly!$D:$AM, 10, FALSE), 1)</f>
        <v>0.21835976014869593</v>
      </c>
      <c r="G14" s="7">
        <f>$B14 * IFERROR(VLOOKUP("LULUCF|SO2|Minor restricted activity days", US_national_yearly!$D:$AM, 15, FALSE) / VLOOKUP("LULUCF|SO2|Minor restricted activity days", US_national_yearly!$D:$AM, 10, FALSE), 1)</f>
        <v>0.21916182587183766</v>
      </c>
      <c r="H14" s="7">
        <f>$B14 * IFERROR(VLOOKUP("LULUCF|SO2|Minor restricted activity days", US_national_yearly!$D:$AM, 16, FALSE) / VLOOKUP("LULUCF|SO2|Minor restricted activity days", US_national_yearly!$D:$AM, 10, FALSE), 1)</f>
        <v>0.21996389159497942</v>
      </c>
      <c r="I14" s="7">
        <f>$B14 * IFERROR(VLOOKUP("LULUCF|SO2|Minor restricted activity days", US_national_yearly!$D:$AM, 17, FALSE) / VLOOKUP("LULUCF|SO2|Minor restricted activity days", US_national_yearly!$D:$AM, 10, FALSE), 1)</f>
        <v>0.22133173992451297</v>
      </c>
      <c r="J14" s="7">
        <f>$B14 * IFERROR(VLOOKUP("LULUCF|SO2|Minor restricted activity days", US_national_yearly!$D:$AM, 18, FALSE) / VLOOKUP("LULUCF|SO2|Minor restricted activity days", US_national_yearly!$D:$AM, 10, FALSE), 1)</f>
        <v>0.22269958825404654</v>
      </c>
      <c r="K14" s="7">
        <f>$B14 * IFERROR(VLOOKUP("LULUCF|SO2|Minor restricted activity days", US_national_yearly!$D:$AM, 19, FALSE) / VLOOKUP("LULUCF|SO2|Minor restricted activity days", US_national_yearly!$D:$AM, 10, FALSE), 1)</f>
        <v>0.22406743658358014</v>
      </c>
      <c r="L14" s="7">
        <f>$B14 * IFERROR(VLOOKUP("LULUCF|SO2|Minor restricted activity days", US_national_yearly!$D:$AM, 20, FALSE) / VLOOKUP("LULUCF|SO2|Minor restricted activity days", US_national_yearly!$D:$AM, 10, FALSE), 1)</f>
        <v>0.22543528491311368</v>
      </c>
      <c r="M14" s="7">
        <f>$B14 * IFERROR(VLOOKUP("LULUCF|SO2|Minor restricted activity days", US_national_yearly!$D:$AM, 21, FALSE) / VLOOKUP("LULUCF|SO2|Minor restricted activity days", US_national_yearly!$D:$AM, 10, FALSE), 1)</f>
        <v>0.22680313324264723</v>
      </c>
      <c r="N14" s="7">
        <f>$B14 * IFERROR(VLOOKUP("LULUCF|SO2|Minor restricted activity days", US_national_yearly!$D:$AM, 22, FALSE) / VLOOKUP("LULUCF|SO2|Minor restricted activity days", US_national_yearly!$D:$AM, 10, FALSE), 1)</f>
        <v>0.2286741302739036</v>
      </c>
      <c r="O14" s="7">
        <f>$B14 * IFERROR(VLOOKUP("LULUCF|SO2|Minor restricted activity days", US_national_yearly!$D:$AM, 23, FALSE) / VLOOKUP("LULUCF|SO2|Minor restricted activity days", US_national_yearly!$D:$AM, 10, FALSE), 1)</f>
        <v>0.23054512730515994</v>
      </c>
      <c r="P14" s="7">
        <f>$B14 * IFERROR(VLOOKUP("LULUCF|SO2|Minor restricted activity days", US_national_yearly!$D:$AM, 24, FALSE) / VLOOKUP("LULUCF|SO2|Minor restricted activity days", US_national_yearly!$D:$AM, 10, FALSE), 1)</f>
        <v>0.23241612433641629</v>
      </c>
      <c r="Q14" s="7">
        <f>$B14 * IFERROR(VLOOKUP("LULUCF|SO2|Minor restricted activity days", US_national_yearly!$D:$AM, 25, FALSE) / VLOOKUP("LULUCF|SO2|Minor restricted activity days", US_national_yearly!$D:$AM, 10, FALSE), 1)</f>
        <v>0.23428712136767263</v>
      </c>
      <c r="R14" s="7">
        <f>$B14 * IFERROR(VLOOKUP("LULUCF|SO2|Minor restricted activity days", US_national_yearly!$D:$AM, 26, FALSE) / VLOOKUP("LULUCF|SO2|Minor restricted activity days", US_national_yearly!$D:$AM, 10, FALSE), 1)</f>
        <v>0.236158118398929</v>
      </c>
      <c r="S14" s="7">
        <f>$B14 * IFERROR(VLOOKUP("LULUCF|SO2|Minor restricted activity days", US_national_yearly!$D:$AM, 27, FALSE) / VLOOKUP("LULUCF|SO2|Minor restricted activity days", US_national_yearly!$D:$AM, 10, FALSE), 1)</f>
        <v>0.23806578299411774</v>
      </c>
      <c r="T14" s="7">
        <f>$B14 * IFERROR(VLOOKUP("LULUCF|SO2|Minor restricted activity days", US_national_yearly!$D:$AM, 28, FALSE) / VLOOKUP("LULUCF|SO2|Minor restricted activity days", US_national_yearly!$D:$AM, 10, FALSE), 1)</f>
        <v>0.23997344758930647</v>
      </c>
      <c r="U14" s="7">
        <f>$B14 * IFERROR(VLOOKUP("LULUCF|SO2|Minor restricted activity days", US_national_yearly!$D:$AM, 29, FALSE) / VLOOKUP("LULUCF|SO2|Minor restricted activity days", US_national_yearly!$D:$AM, 10, FALSE), 1)</f>
        <v>0.24188111218449521</v>
      </c>
      <c r="V14" s="7">
        <f>$B14 * IFERROR(VLOOKUP("LULUCF|SO2|Minor restricted activity days", US_national_yearly!$D:$AM, 30, FALSE) / VLOOKUP("LULUCF|SO2|Minor restricted activity days", US_national_yearly!$D:$AM, 10, FALSE), 1)</f>
        <v>0.24378877677968394</v>
      </c>
      <c r="W14" s="7">
        <f>$B14 * IFERROR(VLOOKUP("LULUCF|SO2|Minor restricted activity days", US_national_yearly!$D:$AM, 31, FALSE) / VLOOKUP("LULUCF|SO2|Minor restricted activity days", US_national_yearly!$D:$AM, 10, FALSE), 1)</f>
        <v>0.2456964413748727</v>
      </c>
      <c r="X14" s="7">
        <f>$B14 * IFERROR(VLOOKUP("LULUCF|SO2|Minor restricted activity days", US_national_yearly!$D:$AM, 32, FALSE) / VLOOKUP("LULUCF|SO2|Minor restricted activity days", US_national_yearly!$D:$AM, 10, FALSE), 1)</f>
        <v>0.2473740803668075</v>
      </c>
      <c r="Y14" s="7">
        <f>$B14 * IFERROR(VLOOKUP("LULUCF|SO2|Minor restricted activity days", US_national_yearly!$D:$AM, 33, FALSE) / VLOOKUP("LULUCF|SO2|Minor restricted activity days", US_national_yearly!$D:$AM, 10, FALSE), 1)</f>
        <v>0.24905171935874229</v>
      </c>
      <c r="Z14" s="7">
        <f>$B14 * IFERROR(VLOOKUP("LULUCF|SO2|Minor restricted activity days", US_national_yearly!$D:$AM, 34, FALSE) / VLOOKUP("LULUCF|SO2|Minor restricted activity days", US_national_yearly!$D:$AM, 10, FALSE), 1)</f>
        <v>0.25072935835067717</v>
      </c>
      <c r="AA14" s="7">
        <f>$B14 * IFERROR(VLOOKUP("LULUCF|SO2|Minor restricted activity days", US_national_yearly!$D:$AM, 35, FALSE) / VLOOKUP("LULUCF|SO2|Minor restricted activity days", US_national_yearly!$D:$AM, 10, FALSE), 1)</f>
        <v>0.25240699734261196</v>
      </c>
      <c r="AB14" s="7">
        <f>$B14 * IFERROR(VLOOKUP("LULUCF|SO2|Minor restricted activity days", US_national_yearly!$D:$AM, 36, FALSE) / VLOOKUP("LULUCF|SO2|Minor restricted activity days", US_national_yearly!$D:$AM, 10, FALSE), 1)</f>
        <v>0.25408463633454675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3.6424449373377986E-2</v>
      </c>
      <c r="C15" s="7">
        <f>$B15 * IFERROR(VLOOKUP("LULUCF|SO2|Work loss days", US_national_yearly!$D:$AM, 11, FALSE) / VLOOKUP("LULUCF|SO2|Work loss days", US_national_yearly!$D:$AM, 10, FALSE), 1)</f>
        <v>3.6542458800193578E-2</v>
      </c>
      <c r="D15" s="7">
        <f>$B15 * IFERROR(VLOOKUP("LULUCF|SO2|Work loss days", US_national_yearly!$D:$AM, 12, FALSE) / VLOOKUP("LULUCF|SO2|Work loss days", US_national_yearly!$D:$AM, 10, FALSE), 1)</f>
        <v>3.6660468227009177E-2</v>
      </c>
      <c r="E15" s="7">
        <f>$B15 * IFERROR(VLOOKUP("LULUCF|SO2|Work loss days", US_national_yearly!$D:$AM, 13, FALSE) / VLOOKUP("LULUCF|SO2|Work loss days", US_national_yearly!$D:$AM, 10, FALSE), 1)</f>
        <v>3.6778477653824769E-2</v>
      </c>
      <c r="F15" s="7">
        <f>$B15 * IFERROR(VLOOKUP("LULUCF|SO2|Work loss days", US_national_yearly!$D:$AM, 14, FALSE) / VLOOKUP("LULUCF|SO2|Work loss days", US_national_yearly!$D:$AM, 10, FALSE), 1)</f>
        <v>3.6896487080640361E-2</v>
      </c>
      <c r="G15" s="7">
        <f>$B15 * IFERROR(VLOOKUP("LULUCF|SO2|Work loss days", US_national_yearly!$D:$AM, 15, FALSE) / VLOOKUP("LULUCF|SO2|Work loss days", US_national_yearly!$D:$AM, 10, FALSE), 1)</f>
        <v>3.7050680836151213E-2</v>
      </c>
      <c r="H15" s="7">
        <f>$B15 * IFERROR(VLOOKUP("LULUCF|SO2|Work loss days", US_national_yearly!$D:$AM, 16, FALSE) / VLOOKUP("LULUCF|SO2|Work loss days", US_national_yearly!$D:$AM, 10, FALSE), 1)</f>
        <v>3.7204874591662052E-2</v>
      </c>
      <c r="I15" s="7">
        <f>$B15 * IFERROR(VLOOKUP("LULUCF|SO2|Work loss days", US_national_yearly!$D:$AM, 17, FALSE) / VLOOKUP("LULUCF|SO2|Work loss days", US_national_yearly!$D:$AM, 10, FALSE), 1)</f>
        <v>3.7430439356956058E-2</v>
      </c>
      <c r="J15" s="7">
        <f>$B15 * IFERROR(VLOOKUP("LULUCF|SO2|Work loss days", US_national_yearly!$D:$AM, 18, FALSE) / VLOOKUP("LULUCF|SO2|Work loss days", US_national_yearly!$D:$AM, 10, FALSE), 1)</f>
        <v>3.7656004122250057E-2</v>
      </c>
      <c r="K15" s="7">
        <f>$B15 * IFERROR(VLOOKUP("LULUCF|SO2|Work loss days", US_national_yearly!$D:$AM, 19, FALSE) / VLOOKUP("LULUCF|SO2|Work loss days", US_national_yearly!$D:$AM, 10, FALSE), 1)</f>
        <v>3.7881568887544063E-2</v>
      </c>
      <c r="L15" s="7">
        <f>$B15 * IFERROR(VLOOKUP("LULUCF|SO2|Work loss days", US_national_yearly!$D:$AM, 20, FALSE) / VLOOKUP("LULUCF|SO2|Work loss days", US_national_yearly!$D:$AM, 10, FALSE), 1)</f>
        <v>3.8107133652838077E-2</v>
      </c>
      <c r="M15" s="7">
        <f>$B15 * IFERROR(VLOOKUP("LULUCF|SO2|Work loss days", US_national_yearly!$D:$AM, 21, FALSE) / VLOOKUP("LULUCF|SO2|Work loss days", US_national_yearly!$D:$AM, 10, FALSE), 1)</f>
        <v>3.8332698418132083E-2</v>
      </c>
      <c r="N15" s="7">
        <f>$B15 * IFERROR(VLOOKUP("LULUCF|SO2|Work loss days", US_national_yearly!$D:$AM, 22, FALSE) / VLOOKUP("LULUCF|SO2|Work loss days", US_national_yearly!$D:$AM, 10, FALSE), 1)</f>
        <v>3.861552008091014E-2</v>
      </c>
      <c r="O15" s="7">
        <f>$B15 * IFERROR(VLOOKUP("LULUCF|SO2|Work loss days", US_national_yearly!$D:$AM, 23, FALSE) / VLOOKUP("LULUCF|SO2|Work loss days", US_national_yearly!$D:$AM, 10, FALSE), 1)</f>
        <v>3.8898341743688204E-2</v>
      </c>
      <c r="P15" s="7">
        <f>$B15 * IFERROR(VLOOKUP("LULUCF|SO2|Work loss days", US_national_yearly!$D:$AM, 24, FALSE) / VLOOKUP("LULUCF|SO2|Work loss days", US_national_yearly!$D:$AM, 10, FALSE), 1)</f>
        <v>3.9181163406466255E-2</v>
      </c>
      <c r="Q15" s="7">
        <f>$B15 * IFERROR(VLOOKUP("LULUCF|SO2|Work loss days", US_national_yearly!$D:$AM, 25, FALSE) / VLOOKUP("LULUCF|SO2|Work loss days", US_national_yearly!$D:$AM, 10, FALSE), 1)</f>
        <v>3.9463985069244312E-2</v>
      </c>
      <c r="R15" s="7">
        <f>$B15 * IFERROR(VLOOKUP("LULUCF|SO2|Work loss days", US_national_yearly!$D:$AM, 26, FALSE) / VLOOKUP("LULUCF|SO2|Work loss days", US_national_yearly!$D:$AM, 10, FALSE), 1)</f>
        <v>3.9746806732022369E-2</v>
      </c>
      <c r="S15" s="7">
        <f>$B15 * IFERROR(VLOOKUP("LULUCF|SO2|Work loss days", US_national_yearly!$D:$AM, 27, FALSE) / VLOOKUP("LULUCF|SO2|Work loss days", US_national_yearly!$D:$AM, 10, FALSE), 1)</f>
        <v>4.0062859007725736E-2</v>
      </c>
      <c r="T15" s="7">
        <f>$B15 * IFERROR(VLOOKUP("LULUCF|SO2|Work loss days", US_national_yearly!$D:$AM, 28, FALSE) / VLOOKUP("LULUCF|SO2|Work loss days", US_national_yearly!$D:$AM, 10, FALSE), 1)</f>
        <v>4.037891128342911E-2</v>
      </c>
      <c r="U15" s="7">
        <f>$B15 * IFERROR(VLOOKUP("LULUCF|SO2|Work loss days", US_national_yearly!$D:$AM, 29, FALSE) / VLOOKUP("LULUCF|SO2|Work loss days", US_national_yearly!$D:$AM, 10, FALSE), 1)</f>
        <v>4.0694963559132477E-2</v>
      </c>
      <c r="V15" s="7">
        <f>$B15 * IFERROR(VLOOKUP("LULUCF|SO2|Work loss days", US_national_yearly!$D:$AM, 30, FALSE) / VLOOKUP("LULUCF|SO2|Work loss days", US_national_yearly!$D:$AM, 10, FALSE), 1)</f>
        <v>4.1011015834835844E-2</v>
      </c>
      <c r="W15" s="7">
        <f>$B15 * IFERROR(VLOOKUP("LULUCF|SO2|Work loss days", US_national_yearly!$D:$AM, 31, FALSE) / VLOOKUP("LULUCF|SO2|Work loss days", US_national_yearly!$D:$AM, 10, FALSE), 1)</f>
        <v>4.1327068110539218E-2</v>
      </c>
      <c r="X15" s="7">
        <f>$B15 * IFERROR(VLOOKUP("LULUCF|SO2|Work loss days", US_national_yearly!$D:$AM, 32, FALSE) / VLOOKUP("LULUCF|SO2|Work loss days", US_national_yearly!$D:$AM, 10, FALSE), 1)</f>
        <v>4.1610839490544879E-2</v>
      </c>
      <c r="Y15" s="7">
        <f>$B15 * IFERROR(VLOOKUP("LULUCF|SO2|Work loss days", US_national_yearly!$D:$AM, 33, FALSE) / VLOOKUP("LULUCF|SO2|Work loss days", US_national_yearly!$D:$AM, 10, FALSE), 1)</f>
        <v>4.1894610870550547E-2</v>
      </c>
      <c r="Z15" s="7">
        <f>$B15 * IFERROR(VLOOKUP("LULUCF|SO2|Work loss days", US_national_yearly!$D:$AM, 34, FALSE) / VLOOKUP("LULUCF|SO2|Work loss days", US_national_yearly!$D:$AM, 10, FALSE), 1)</f>
        <v>4.2178382250556208E-2</v>
      </c>
      <c r="AA15" s="7">
        <f>$B15 * IFERROR(VLOOKUP("LULUCF|SO2|Work loss days", US_national_yearly!$D:$AM, 35, FALSE) / VLOOKUP("LULUCF|SO2|Work loss days", US_national_yearly!$D:$AM, 10, FALSE), 1)</f>
        <v>4.2462153630561876E-2</v>
      </c>
      <c r="AB15" s="7">
        <f>$B15 * IFERROR(VLOOKUP("LULUCF|SO2|Work loss days", US_national_yearly!$D:$AM, 36, FALSE) / VLOOKUP("LULUCF|SO2|Work loss days", US_national_yearly!$D:$AM, 10, FALSE), 1)</f>
        <v>4.2745925010567544E-2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8.2358393371252645E-5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8.4849226571823952E-5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8.7340059772395259E-5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8.9830892972966552E-5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9.2321726173537873E-5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9.4707707538467322E-5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9.7093688903396785E-5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9.9138009312942627E-5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1.0118232972248847E-4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1.032266501320343E-4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1.0527097054158014E-4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1.0731529095112597E-4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1.0868860859106174E-4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1.1006192623099749E-4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1.1143524387093325E-4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1.1280856151086901E-4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1.1418187915080478E-4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1.1490414644910369E-4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1.1562641374740261E-4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1.1634868104570153E-4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1.1707094834400044E-4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1.1779321564229937E-4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1.1827809755598013E-4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1.1876297946966091E-4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1.1924786138334167E-4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1.1973274329702245E-4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1.2021762521070321E-4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2026-06-15T17:15:08Z</dcterms:modified>
</cp:coreProperties>
</file>