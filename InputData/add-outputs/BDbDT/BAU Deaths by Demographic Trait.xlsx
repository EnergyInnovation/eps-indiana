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892F5ABB-B133-4CE9-A1C0-F8072805078C}"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E45" i="9" s="1"/>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C45" i="9" l="1"/>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<sst xmlns="http://schemas.openxmlformats.org/spreadsheetml/2006/main" count="5677" uniqueCount="335">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</sst>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79</v>
      </c>
    </row>
    <row r="2" spans="1:2" x14ac:dyDescent="0.25">
      <c r="A2" s="3" t="s">
        <v>2</v>
      </c>
      <c r="B2" s="4" t="str">
        <f>IFERROR(INDEX(Geography!B:B, MATCH($B$1, Geography!C:C, 0)), "")</f>
        <v>IN</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3435504</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1.0007980129699914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3488771</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0.99921541385399404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5759679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1.1069068428472157</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735661</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0.77770746304753258</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214430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0.47959667731458017</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214505</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0.65430813346174455</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631014</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0.46700238220812879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6293261</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6924275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1.1292261312933201</v>
      </c>
    </row>
    <row r="12" spans="1:28" x14ac:dyDescent="0.25">
      <c r="A12" s="4" t="s">
        <v>319</v>
      </c>
    </row>
    <row r="13" spans="1:28" x14ac:dyDescent="0.25">
      <c r="A13" s="4" t="s">
        <v>320</v>
      </c>
      <c r="B13" s="37">
        <f>INDEX(Census_pop_2020_2025!G:G, MATCH("."&amp;About!$B$1, Census_pop_2020_2025!A:A, 0))</f>
        <v>6934754</v>
      </c>
      <c r="C13" s="37">
        <f>INDEX(Census_pop_2020_2025!H:H, MATCH("."&amp;About!$B$1, Census_pop_2020_2025!A:A, 0))</f>
        <v>6973333</v>
      </c>
      <c r="D13" s="37">
        <f>INDEX(Census_pop_2020_2025!H:H, MATCH("."&amp;About!$B$1, Census_pop_2020_2025!A:A, 0))+0.2*(INDEX(Cooper_pop_2030_2050!D:D, MATCH(About!$B$1, Cooper_pop_2030_2050!B:B, 0))-INDEX(Census_pop_2020_2025!H:H, MATCH("."&amp;About!$B$1, Census_pop_2020_2025!A:A, 0)))</f>
        <v>6982434.9925228134</v>
      </c>
      <c r="E13" s="37">
        <f>INDEX(Census_pop_2020_2025!H:H, MATCH("."&amp;About!$B$1, Census_pop_2020_2025!A:A, 0))+0.4*(INDEX(Cooper_pop_2030_2050!D:D, MATCH(About!$B$1, Cooper_pop_2030_2050!B:B, 0))-INDEX(Census_pop_2020_2025!H:H, MATCH("."&amp;About!$B$1, Census_pop_2020_2025!A:A, 0)))</f>
        <v>6991536.9850456258</v>
      </c>
      <c r="F13" s="37">
        <f>INDEX(Census_pop_2020_2025!H:H, MATCH("."&amp;About!$B$1, Census_pop_2020_2025!A:A, 0))+0.6*(INDEX(Cooper_pop_2030_2050!D:D, MATCH(About!$B$1, Cooper_pop_2030_2050!B:B, 0))-INDEX(Census_pop_2020_2025!H:H, MATCH("."&amp;About!$B$1, Census_pop_2020_2025!A:A, 0)))</f>
        <v>7000638.9775684392</v>
      </c>
      <c r="G13" s="37">
        <f>INDEX(Census_pop_2020_2025!H:H, MATCH("."&amp;About!$B$1, Census_pop_2020_2025!A:A, 0))+0.8*(INDEX(Cooper_pop_2030_2050!D:D, MATCH(About!$B$1, Cooper_pop_2030_2050!B:B, 0))-INDEX(Census_pop_2020_2025!H:H, MATCH("."&amp;About!$B$1, Census_pop_2020_2025!A:A, 0)))</f>
        <v>7009740.9700912517</v>
      </c>
      <c r="H13" s="37">
        <f>INDEX(Cooper_pop_2030_2050!D:D, MATCH(About!$B$1, Cooper_pop_2030_2050!B:B, 0))</f>
        <v>7018842.962614065</v>
      </c>
      <c r="I13" s="37">
        <f>INDEX(Cooper_pop_2030_2050!D:D, MATCH(About!$B$1, Cooper_pop_2030_2050!B:B, 0))+0.1*(INDEX(Cooper_pop_2030_2050!E:E, MATCH(About!$B$1, Cooper_pop_2030_2050!B:B, 0))-INDEX(Cooper_pop_2030_2050!D:D, MATCH(About!$B$1, Cooper_pop_2030_2050!B:B, 0)))</f>
        <v>7023187.6771870349</v>
      </c>
      <c r="J13" s="37">
        <f>INDEX(Cooper_pop_2030_2050!D:D, MATCH(About!$B$1, Cooper_pop_2030_2050!B:B, 0))+0.2*(INDEX(Cooper_pop_2030_2050!E:E, MATCH(About!$B$1, Cooper_pop_2030_2050!B:B, 0))-INDEX(Cooper_pop_2030_2050!D:D, MATCH(About!$B$1, Cooper_pop_2030_2050!B:B, 0)))</f>
        <v>7027532.3917600038</v>
      </c>
      <c r="K13" s="37">
        <f>INDEX(Cooper_pop_2030_2050!D:D, MATCH(About!$B$1, Cooper_pop_2030_2050!B:B, 0))+0.3*(INDEX(Cooper_pop_2030_2050!E:E, MATCH(About!$B$1, Cooper_pop_2030_2050!B:B, 0))-INDEX(Cooper_pop_2030_2050!D:D, MATCH(About!$B$1, Cooper_pop_2030_2050!B:B, 0)))</f>
        <v>7031877.1063329726</v>
      </c>
      <c r="L13" s="37">
        <f>INDEX(Cooper_pop_2030_2050!D:D, MATCH(About!$B$1, Cooper_pop_2030_2050!B:B, 0))+0.4*(INDEX(Cooper_pop_2030_2050!E:E, MATCH(About!$B$1, Cooper_pop_2030_2050!B:B, 0))-INDEX(Cooper_pop_2030_2050!D:D, MATCH(About!$B$1, Cooper_pop_2030_2050!B:B, 0)))</f>
        <v>7036221.8209059425</v>
      </c>
      <c r="M13" s="37">
        <f>INDEX(Cooper_pop_2030_2050!D:D, MATCH(About!$B$1, Cooper_pop_2030_2050!B:B, 0))+0.5*(INDEX(Cooper_pop_2030_2050!E:E, MATCH(About!$B$1, Cooper_pop_2030_2050!B:B, 0))-INDEX(Cooper_pop_2030_2050!D:D, MATCH(About!$B$1, Cooper_pop_2030_2050!B:B, 0)))</f>
        <v>7040566.5354789123</v>
      </c>
      <c r="N13" s="37">
        <f>INDEX(Cooper_pop_2030_2050!D:D, MATCH(About!$B$1, Cooper_pop_2030_2050!B:B, 0))+0.6*(INDEX(Cooper_pop_2030_2050!E:E, MATCH(About!$B$1, Cooper_pop_2030_2050!B:B, 0))-INDEX(Cooper_pop_2030_2050!D:D, MATCH(About!$B$1, Cooper_pop_2030_2050!B:B, 0)))</f>
        <v>7044911.2500518812</v>
      </c>
      <c r="O13" s="37">
        <f>INDEX(Cooper_pop_2030_2050!D:D, MATCH(About!$B$1, Cooper_pop_2030_2050!B:B, 0))+0.7*(INDEX(Cooper_pop_2030_2050!E:E, MATCH(About!$B$1, Cooper_pop_2030_2050!B:B, 0))-INDEX(Cooper_pop_2030_2050!D:D, MATCH(About!$B$1, Cooper_pop_2030_2050!B:B, 0)))</f>
        <v>7049255.9646248501</v>
      </c>
      <c r="P13" s="37">
        <f>INDEX(Cooper_pop_2030_2050!D:D, MATCH(About!$B$1, Cooper_pop_2030_2050!B:B, 0))+0.8*(INDEX(Cooper_pop_2030_2050!E:E, MATCH(About!$B$1, Cooper_pop_2030_2050!B:B, 0))-INDEX(Cooper_pop_2030_2050!D:D, MATCH(About!$B$1, Cooper_pop_2030_2050!B:B, 0)))</f>
        <v>7053600.6791978199</v>
      </c>
      <c r="Q13" s="37">
        <f>INDEX(Cooper_pop_2030_2050!D:D, MATCH(About!$B$1, Cooper_pop_2030_2050!B:B, 0))+0.9*(INDEX(Cooper_pop_2030_2050!E:E, MATCH(About!$B$1, Cooper_pop_2030_2050!B:B, 0))-INDEX(Cooper_pop_2030_2050!D:D, MATCH(About!$B$1, Cooper_pop_2030_2050!B:B, 0)))</f>
        <v>7057945.3937707897</v>
      </c>
      <c r="R13" s="37">
        <f>INDEX(Cooper_pop_2030_2050!E:E, MATCH(About!$B$1, Cooper_pop_2030_2050!B:B, 0))</f>
        <v>7062290.1083437586</v>
      </c>
      <c r="S13" s="37">
        <f>INDEX(Cooper_pop_2030_2050!E:E, MATCH(About!$B$1, Cooper_pop_2030_2050!B:B, 0))+0.1*(INDEX(Cooper_pop_2030_2050!F:F, MATCH(About!$B$1, Cooper_pop_2030_2050!B:B, 0))-INDEX(Cooper_pop_2030_2050!E:E, MATCH(About!$B$1, Cooper_pop_2030_2050!B:B, 0)))</f>
        <v>7058334.9720348502</v>
      </c>
      <c r="T13" s="37">
        <f>INDEX(Cooper_pop_2030_2050!E:E, MATCH(About!$B$1, Cooper_pop_2030_2050!B:B, 0))+0.2*(INDEX(Cooper_pop_2030_2050!F:F, MATCH(About!$B$1, Cooper_pop_2030_2050!B:B, 0))-INDEX(Cooper_pop_2030_2050!E:E, MATCH(About!$B$1, Cooper_pop_2030_2050!B:B, 0)))</f>
        <v>7054379.8357259408</v>
      </c>
      <c r="U13" s="37">
        <f>INDEX(Cooper_pop_2030_2050!E:E, MATCH(About!$B$1, Cooper_pop_2030_2050!B:B, 0))+0.3*(INDEX(Cooper_pop_2030_2050!F:F, MATCH(About!$B$1, Cooper_pop_2030_2050!B:B, 0))-INDEX(Cooper_pop_2030_2050!E:E, MATCH(About!$B$1, Cooper_pop_2030_2050!B:B, 0)))</f>
        <v>7050424.6994170323</v>
      </c>
      <c r="V13" s="37">
        <f>INDEX(Cooper_pop_2030_2050!E:E, MATCH(About!$B$1, Cooper_pop_2030_2050!B:B, 0))+0.4*(INDEX(Cooper_pop_2030_2050!F:F, MATCH(About!$B$1, Cooper_pop_2030_2050!B:B, 0))-INDEX(Cooper_pop_2030_2050!E:E, MATCH(About!$B$1, Cooper_pop_2030_2050!B:B, 0)))</f>
        <v>7046469.5631081229</v>
      </c>
      <c r="W13" s="37">
        <f>INDEX(Cooper_pop_2030_2050!E:E, MATCH(About!$B$1, Cooper_pop_2030_2050!B:B, 0))+0.5*(INDEX(Cooper_pop_2030_2050!F:F, MATCH(About!$B$1, Cooper_pop_2030_2050!B:B, 0))-INDEX(Cooper_pop_2030_2050!E:E, MATCH(About!$B$1, Cooper_pop_2030_2050!B:B, 0)))</f>
        <v>7042514.4267992144</v>
      </c>
      <c r="X13" s="37">
        <f>INDEX(Cooper_pop_2030_2050!E:E, MATCH(About!$B$1, Cooper_pop_2030_2050!B:B, 0))+0.6*(INDEX(Cooper_pop_2030_2050!F:F, MATCH(About!$B$1, Cooper_pop_2030_2050!B:B, 0))-INDEX(Cooper_pop_2030_2050!E:E, MATCH(About!$B$1, Cooper_pop_2030_2050!B:B, 0)))</f>
        <v>7038559.290490306</v>
      </c>
      <c r="Y13" s="37">
        <f>INDEX(Cooper_pop_2030_2050!E:E, MATCH(About!$B$1, Cooper_pop_2030_2050!B:B, 0))+0.7*(INDEX(Cooper_pop_2030_2050!F:F, MATCH(About!$B$1, Cooper_pop_2030_2050!B:B, 0))-INDEX(Cooper_pop_2030_2050!E:E, MATCH(About!$B$1, Cooper_pop_2030_2050!B:B, 0)))</f>
        <v>7034604.1541813966</v>
      </c>
      <c r="Z13" s="37">
        <f>INDEX(Cooper_pop_2030_2050!E:E, MATCH(About!$B$1, Cooper_pop_2030_2050!B:B, 0))+0.8*(INDEX(Cooper_pop_2030_2050!F:F, MATCH(About!$B$1, Cooper_pop_2030_2050!B:B, 0))-INDEX(Cooper_pop_2030_2050!E:E, MATCH(About!$B$1, Cooper_pop_2030_2050!B:B, 0)))</f>
        <v>7030649.0178724881</v>
      </c>
      <c r="AA13" s="37">
        <f>INDEX(Cooper_pop_2030_2050!E:E, MATCH(About!$B$1, Cooper_pop_2030_2050!B:B, 0))+0.9*(INDEX(Cooper_pop_2030_2050!F:F, MATCH(About!$B$1, Cooper_pop_2030_2050!B:B, 0))-INDEX(Cooper_pop_2030_2050!E:E, MATCH(About!$B$1, Cooper_pop_2030_2050!B:B, 0)))</f>
        <v>7026693.8815635787</v>
      </c>
      <c r="AB13" s="37">
        <f>INDEX(Cooper_pop_2030_2050!F:F, MATCH(About!$B$1, Cooper_pop_2030_2050!B:B, 0))</f>
        <v>7022738.7452546703</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2.0609573580731327E-2</v>
      </c>
      <c r="C15" s="39">
        <f t="shared" si="1"/>
        <v>2.0630170337457052E-2</v>
      </c>
      <c r="D15" s="39">
        <f t="shared" si="1"/>
        <v>2.0566028596994891E-2</v>
      </c>
      <c r="E15" s="39">
        <f t="shared" si="1"/>
        <v>2.0504815129358363E-2</v>
      </c>
      <c r="F15" s="39">
        <f t="shared" si="1"/>
        <v>2.0446700460541912E-2</v>
      </c>
      <c r="G15" s="39">
        <f t="shared" si="1"/>
        <v>2.0391748843553121E-2</v>
      </c>
      <c r="H15" s="39">
        <f t="shared" si="1"/>
        <v>2.034013519005452E-2</v>
      </c>
      <c r="I15" s="39">
        <f t="shared" si="1"/>
        <v>2.0278346717243802E-2</v>
      </c>
      <c r="J15" s="39">
        <f t="shared" si="1"/>
        <v>2.0220490613163545E-2</v>
      </c>
      <c r="K15" s="39">
        <f t="shared" si="1"/>
        <v>2.0165874865981405E-2</v>
      </c>
      <c r="L15" s="39">
        <f t="shared" si="1"/>
        <v>2.0114545468772848E-2</v>
      </c>
      <c r="M15" s="39">
        <f t="shared" si="1"/>
        <v>2.006653589281766E-2</v>
      </c>
      <c r="N15" s="39">
        <f t="shared" si="1"/>
        <v>2.0021861960479139E-2</v>
      </c>
      <c r="O15" s="39">
        <f t="shared" si="1"/>
        <v>1.9980541786532503E-2</v>
      </c>
      <c r="P15" s="39">
        <f t="shared" si="1"/>
        <v>1.9942569835326343E-2</v>
      </c>
      <c r="Q15" s="39">
        <f t="shared" si="1"/>
        <v>1.990790150405413E-2</v>
      </c>
      <c r="R15" s="39">
        <f t="shared" si="1"/>
        <v>1.9876470553806924E-2</v>
      </c>
      <c r="S15" s="39">
        <f t="shared" si="1"/>
        <v>1.9824915687887447E-2</v>
      </c>
      <c r="T15" s="39">
        <f t="shared" si="1"/>
        <v>1.977648542340248E-2</v>
      </c>
      <c r="U15" s="39">
        <f t="shared" si="1"/>
        <v>1.973099326230816E-2</v>
      </c>
      <c r="V15" s="39">
        <f t="shared" si="1"/>
        <v>1.9688188715830179E-2</v>
      </c>
      <c r="W15" s="39">
        <f t="shared" si="1"/>
        <v>1.9647791130654603E-2</v>
      </c>
      <c r="X15" s="39">
        <f t="shared" si="1"/>
        <v>1.9609513969844686E-2</v>
      </c>
      <c r="Y15" s="39">
        <f t="shared" si="1"/>
        <v>1.9573171377019197E-2</v>
      </c>
      <c r="Z15" s="39">
        <f t="shared" si="1"/>
        <v>1.9538494337686185E-2</v>
      </c>
      <c r="AA15" s="39">
        <f t="shared" si="1"/>
        <v>1.9505211481494644E-2</v>
      </c>
      <c r="AB15" s="39">
        <f t="shared" si="1"/>
        <v>1.9473057337359306E-2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194.11147692805989</v>
      </c>
      <c r="C48" s="37">
        <f t="shared" si="10"/>
        <v>192.83955671216148</v>
      </c>
      <c r="D48" s="37">
        <f t="shared" si="10"/>
        <v>190.75805905962969</v>
      </c>
      <c r="E48" s="37">
        <f t="shared" si="10"/>
        <v>188.71275507461448</v>
      </c>
      <c r="F48" s="37">
        <f t="shared" si="10"/>
        <v>186.66364283183634</v>
      </c>
      <c r="G48" s="37">
        <f t="shared" si="10"/>
        <v>184.61096451178588</v>
      </c>
      <c r="H48" s="37">
        <f t="shared" si="10"/>
        <v>182.55589819551213</v>
      </c>
      <c r="I48" s="37">
        <f t="shared" si="10"/>
        <v>180.47924729460735</v>
      </c>
      <c r="J48" s="37">
        <f t="shared" si="10"/>
        <v>178.30491897210172</v>
      </c>
      <c r="K48" s="37">
        <f t="shared" si="10"/>
        <v>176.1885762372487</v>
      </c>
      <c r="L48" s="37">
        <f t="shared" si="10"/>
        <v>173.98875105459325</v>
      </c>
      <c r="M48" s="37">
        <f t="shared" si="10"/>
        <v>171.84637392132208</v>
      </c>
      <c r="N48" s="37">
        <f t="shared" si="10"/>
        <v>169.78061549007714</v>
      </c>
      <c r="O48" s="37">
        <f t="shared" si="10"/>
        <v>167.51056756150055</v>
      </c>
      <c r="P48" s="37">
        <f t="shared" si="10"/>
        <v>165.33608364885674</v>
      </c>
      <c r="Q48" s="37">
        <f t="shared" si="10"/>
        <v>163.07620697079446</v>
      </c>
      <c r="R48" s="37">
        <f t="shared" si="10"/>
        <v>160.82950612083616</v>
      </c>
      <c r="S48" s="37">
        <f t="shared" si="10"/>
        <v>158.3687565697837</v>
      </c>
      <c r="T48" s="37">
        <f t="shared" si="10"/>
        <v>155.94327417702178</v>
      </c>
      <c r="U48" s="37">
        <f t="shared" si="10"/>
        <v>153.55064130414968</v>
      </c>
      <c r="V48" s="37">
        <f t="shared" si="10"/>
        <v>151.18802581857798</v>
      </c>
      <c r="W48" s="37">
        <f t="shared" si="10"/>
        <v>148.87213381398351</v>
      </c>
      <c r="X48" s="37">
        <f t="shared" si="10"/>
        <v>146.73734088228332</v>
      </c>
      <c r="Y48" s="37">
        <f t="shared" si="10"/>
        <v>144.62404411278231</v>
      </c>
      <c r="Z48" s="37">
        <f t="shared" si="10"/>
        <v>142.62750554208935</v>
      </c>
      <c r="AA48" s="37">
        <f t="shared" si="10"/>
        <v>140.66671829268242</v>
      </c>
      <c r="AB48" s="37">
        <f t="shared" si="10"/>
        <v>138.71983408434156</v>
      </c>
    </row>
    <row r="49" spans="1:28" x14ac:dyDescent="0.25">
      <c r="A49" s="4" t="s">
        <v>216</v>
      </c>
      <c r="B49" s="37">
        <f t="shared" ref="B49:AB49" si="11">B29*B15*$F$5</f>
        <v>154.53290057556524</v>
      </c>
      <c r="C49" s="37">
        <f t="shared" si="11"/>
        <v>153.84216402206408</v>
      </c>
      <c r="D49" s="37">
        <f t="shared" si="11"/>
        <v>152.52130418257639</v>
      </c>
      <c r="E49" s="37">
        <f t="shared" si="11"/>
        <v>151.20680773585315</v>
      </c>
      <c r="F49" s="37">
        <f t="shared" si="11"/>
        <v>149.87930901464662</v>
      </c>
      <c r="G49" s="37">
        <f t="shared" si="11"/>
        <v>148.57996724931942</v>
      </c>
      <c r="H49" s="37">
        <f t="shared" si="11"/>
        <v>147.28930783307442</v>
      </c>
      <c r="I49" s="37">
        <f t="shared" si="11"/>
        <v>145.82875626306588</v>
      </c>
      <c r="J49" s="37">
        <f t="shared" si="11"/>
        <v>144.46307515899554</v>
      </c>
      <c r="K49" s="37">
        <f t="shared" si="11"/>
        <v>143.00492614057038</v>
      </c>
      <c r="L49" s="37">
        <f t="shared" si="11"/>
        <v>141.61589026370689</v>
      </c>
      <c r="M49" s="37">
        <f t="shared" si="11"/>
        <v>140.13498505567046</v>
      </c>
      <c r="N49" s="37">
        <f t="shared" si="11"/>
        <v>138.58262241957127</v>
      </c>
      <c r="O49" s="37">
        <f t="shared" si="11"/>
        <v>137.15862481886626</v>
      </c>
      <c r="P49" s="37">
        <f t="shared" si="11"/>
        <v>135.56285833447492</v>
      </c>
      <c r="Q49" s="37">
        <f t="shared" si="11"/>
        <v>134.03419638779744</v>
      </c>
      <c r="R49" s="37">
        <f t="shared" si="11"/>
        <v>132.43231950352657</v>
      </c>
      <c r="S49" s="37">
        <f t="shared" si="11"/>
        <v>130.70216607970639</v>
      </c>
      <c r="T49" s="37">
        <f t="shared" si="11"/>
        <v>128.96008413073682</v>
      </c>
      <c r="U49" s="37">
        <f t="shared" si="11"/>
        <v>127.24391830973552</v>
      </c>
      <c r="V49" s="37">
        <f t="shared" si="11"/>
        <v>125.59078260246065</v>
      </c>
      <c r="W49" s="37">
        <f t="shared" si="11"/>
        <v>123.97845283557241</v>
      </c>
      <c r="X49" s="37">
        <f t="shared" si="11"/>
        <v>122.36533321225345</v>
      </c>
      <c r="Y49" s="37">
        <f t="shared" si="11"/>
        <v>120.84773602982861</v>
      </c>
      <c r="Z49" s="37">
        <f t="shared" si="11"/>
        <v>119.32558268133019</v>
      </c>
      <c r="AA49" s="37">
        <f t="shared" si="11"/>
        <v>117.87496335896206</v>
      </c>
      <c r="AB49" s="37">
        <f t="shared" si="11"/>
        <v>116.55209648764868</v>
      </c>
    </row>
    <row r="50" spans="1:28" x14ac:dyDescent="0.25">
      <c r="A50" s="4" t="s">
        <v>217</v>
      </c>
      <c r="B50" s="37">
        <f t="shared" ref="B50:AB50" si="12">B30*B15*$F$6</f>
        <v>224.88935156724321</v>
      </c>
      <c r="C50" s="37">
        <f t="shared" si="12"/>
        <v>223.62978207621222</v>
      </c>
      <c r="D50" s="37">
        <f t="shared" si="12"/>
        <v>221.47755016253208</v>
      </c>
      <c r="E50" s="37">
        <f t="shared" si="12"/>
        <v>219.32033968005157</v>
      </c>
      <c r="F50" s="37">
        <f t="shared" si="12"/>
        <v>217.18235910222944</v>
      </c>
      <c r="G50" s="37">
        <f t="shared" si="12"/>
        <v>215.08636138287608</v>
      </c>
      <c r="H50" s="37">
        <f t="shared" si="12"/>
        <v>212.94341618722862</v>
      </c>
      <c r="I50" s="37">
        <f t="shared" si="12"/>
        <v>210.72530809477271</v>
      </c>
      <c r="J50" s="37">
        <f t="shared" si="12"/>
        <v>208.44542324910989</v>
      </c>
      <c r="K50" s="37">
        <f t="shared" si="12"/>
        <v>206.11899223258987</v>
      </c>
      <c r="L50" s="37">
        <f t="shared" si="12"/>
        <v>203.72409138433702</v>
      </c>
      <c r="M50" s="37">
        <f t="shared" si="12"/>
        <v>201.26099196740415</v>
      </c>
      <c r="N50" s="37">
        <f t="shared" si="12"/>
        <v>198.72966700702085</v>
      </c>
      <c r="O50" s="37">
        <f t="shared" si="12"/>
        <v>196.06364505808153</v>
      </c>
      <c r="P50" s="37">
        <f t="shared" si="12"/>
        <v>193.35113248159263</v>
      </c>
      <c r="Q50" s="37">
        <f t="shared" si="12"/>
        <v>190.56899188874186</v>
      </c>
      <c r="R50" s="37">
        <f t="shared" si="12"/>
        <v>187.71595561567574</v>
      </c>
      <c r="S50" s="37">
        <f t="shared" si="12"/>
        <v>184.61768895668982</v>
      </c>
      <c r="T50" s="37">
        <f t="shared" si="12"/>
        <v>181.56169009159331</v>
      </c>
      <c r="U50" s="37">
        <f t="shared" si="12"/>
        <v>178.54503667095841</v>
      </c>
      <c r="V50" s="37">
        <f t="shared" si="12"/>
        <v>175.58612697888881</v>
      </c>
      <c r="W50" s="37">
        <f t="shared" si="12"/>
        <v>172.72479567677277</v>
      </c>
      <c r="X50" s="37">
        <f t="shared" si="12"/>
        <v>169.97894360654942</v>
      </c>
      <c r="Y50" s="37">
        <f t="shared" si="12"/>
        <v>167.3023603688531</v>
      </c>
      <c r="Z50" s="37">
        <f t="shared" si="12"/>
        <v>164.71346410730584</v>
      </c>
      <c r="AA50" s="37">
        <f t="shared" si="12"/>
        <v>162.25224723126448</v>
      </c>
      <c r="AB50" s="37">
        <f t="shared" si="12"/>
        <v>159.87239971941</v>
      </c>
    </row>
    <row r="51" spans="1:28" x14ac:dyDescent="0.25">
      <c r="A51" s="4" t="s">
        <v>218</v>
      </c>
      <c r="B51" s="37">
        <f t="shared" ref="B51:AB51" si="13">B31*B15*$F$7</f>
        <v>74.980009342574292</v>
      </c>
      <c r="C51" s="37">
        <f t="shared" si="13"/>
        <v>74.044155764288774</v>
      </c>
      <c r="D51" s="37">
        <f t="shared" si="13"/>
        <v>72.822293421125551</v>
      </c>
      <c r="E51" s="37">
        <f t="shared" si="13"/>
        <v>71.584950670004162</v>
      </c>
      <c r="F51" s="37">
        <f t="shared" si="13"/>
        <v>70.332562474073612</v>
      </c>
      <c r="G51" s="37">
        <f t="shared" si="13"/>
        <v>69.096858088787926</v>
      </c>
      <c r="H51" s="37">
        <f t="shared" si="13"/>
        <v>67.830478128574498</v>
      </c>
      <c r="I51" s="37">
        <f t="shared" si="13"/>
        <v>66.552023068722249</v>
      </c>
      <c r="J51" s="37">
        <f t="shared" si="13"/>
        <v>65.292801046723127</v>
      </c>
      <c r="K51" s="37">
        <f t="shared" si="13"/>
        <v>64.049990244726743</v>
      </c>
      <c r="L51" s="37">
        <f t="shared" si="13"/>
        <v>62.85450668577802</v>
      </c>
      <c r="M51" s="37">
        <f t="shared" si="13"/>
        <v>61.721313622960913</v>
      </c>
      <c r="N51" s="37">
        <f t="shared" si="13"/>
        <v>60.602921524245119</v>
      </c>
      <c r="O51" s="37">
        <f t="shared" si="13"/>
        <v>59.545511086673564</v>
      </c>
      <c r="P51" s="37">
        <f t="shared" si="13"/>
        <v>58.501778903451786</v>
      </c>
      <c r="Q51" s="37">
        <f t="shared" si="13"/>
        <v>57.502092551303413</v>
      </c>
      <c r="R51" s="37">
        <f t="shared" si="13"/>
        <v>56.530196690322796</v>
      </c>
      <c r="S51" s="37">
        <f t="shared" si="13"/>
        <v>55.504745585129427</v>
      </c>
      <c r="T51" s="37">
        <f t="shared" si="13"/>
        <v>54.507855166699734</v>
      </c>
      <c r="U51" s="37">
        <f t="shared" si="13"/>
        <v>53.523153208470475</v>
      </c>
      <c r="V51" s="37">
        <f t="shared" si="13"/>
        <v>52.58021055798222</v>
      </c>
      <c r="W51" s="37">
        <f t="shared" si="13"/>
        <v>51.631909992322399</v>
      </c>
      <c r="X51" s="37">
        <f t="shared" si="13"/>
        <v>50.723047790962262</v>
      </c>
      <c r="Y51" s="37">
        <f t="shared" si="13"/>
        <v>49.867931967943406</v>
      </c>
      <c r="Z51" s="37">
        <f t="shared" si="13"/>
        <v>49.019821216459</v>
      </c>
      <c r="AA51" s="37">
        <f t="shared" si="13"/>
        <v>48.208189652107642</v>
      </c>
      <c r="AB51" s="37">
        <f t="shared" si="13"/>
        <v>47.40179052140072</v>
      </c>
    </row>
    <row r="52" spans="1:28" x14ac:dyDescent="0.25">
      <c r="A52" s="4" t="s">
        <v>219</v>
      </c>
      <c r="B52" s="37">
        <f t="shared" ref="B52:AB52" si="14">B32*B15*$F$8</f>
        <v>8.5103676717728138</v>
      </c>
      <c r="C52" s="37">
        <f t="shared" si="14"/>
        <v>8.5485552303843768</v>
      </c>
      <c r="D52" s="37">
        <f t="shared" si="14"/>
        <v>8.5515669162455605</v>
      </c>
      <c r="E52" s="37">
        <f t="shared" si="14"/>
        <v>8.5654498895462936</v>
      </c>
      <c r="F52" s="37">
        <f t="shared" si="14"/>
        <v>8.5803984025570976</v>
      </c>
      <c r="G52" s="37">
        <f t="shared" si="14"/>
        <v>8.5964573762113261</v>
      </c>
      <c r="H52" s="37">
        <f t="shared" si="14"/>
        <v>8.6137190866458102</v>
      </c>
      <c r="I52" s="37">
        <f t="shared" si="14"/>
        <v>8.6264543761295354</v>
      </c>
      <c r="J52" s="37">
        <f t="shared" si="14"/>
        <v>8.6406329795638097</v>
      </c>
      <c r="K52" s="37">
        <f t="shared" si="14"/>
        <v>8.6753234630370599</v>
      </c>
      <c r="L52" s="37">
        <f t="shared" si="14"/>
        <v>8.6918291244373691</v>
      </c>
      <c r="M52" s="37">
        <f t="shared" si="14"/>
        <v>8.7095787651652454</v>
      </c>
      <c r="N52" s="37">
        <f t="shared" si="14"/>
        <v>8.728598389136355</v>
      </c>
      <c r="O52" s="37">
        <f t="shared" si="14"/>
        <v>8.748915125462462</v>
      </c>
      <c r="P52" s="37">
        <f t="shared" si="14"/>
        <v>8.7609814508050246</v>
      </c>
      <c r="Q52" s="37">
        <f t="shared" si="14"/>
        <v>8.7839423405582693</v>
      </c>
      <c r="R52" s="37">
        <f t="shared" si="14"/>
        <v>8.7891394740678361</v>
      </c>
      <c r="S52" s="37">
        <f t="shared" si="14"/>
        <v>8.7948664150560756</v>
      </c>
      <c r="T52" s="37">
        <f t="shared" si="14"/>
        <v>8.8113203924643493</v>
      </c>
      <c r="U52" s="37">
        <f t="shared" si="14"/>
        <v>8.8099774109177265</v>
      </c>
      <c r="V52" s="37">
        <f t="shared" si="14"/>
        <v>8.8191921576845633</v>
      </c>
      <c r="W52" s="37">
        <f t="shared" si="14"/>
        <v>8.8293653762343585</v>
      </c>
      <c r="X52" s="37">
        <f t="shared" si="14"/>
        <v>8.83097362132618</v>
      </c>
      <c r="Y52" s="37">
        <f t="shared" si="14"/>
        <v>8.8521559633823994</v>
      </c>
      <c r="Z52" s="37">
        <f t="shared" si="14"/>
        <v>8.8552141310594106</v>
      </c>
      <c r="AA52" s="37">
        <f t="shared" si="14"/>
        <v>8.858838982150349</v>
      </c>
      <c r="AB52" s="37">
        <f t="shared" si="14"/>
        <v>8.8629137027499834</v>
      </c>
    </row>
    <row r="53" spans="1:28" x14ac:dyDescent="0.25">
      <c r="A53" s="4" t="s">
        <v>220</v>
      </c>
      <c r="B53" s="37">
        <f t="shared" ref="B53:AB53" si="15">B33*B15*$F$9</f>
        <v>20.470247640755108</v>
      </c>
      <c r="C53" s="37">
        <f t="shared" si="15"/>
        <v>20.666185505390537</v>
      </c>
      <c r="D53" s="37">
        <f t="shared" si="15"/>
        <v>20.736496987175727</v>
      </c>
      <c r="E53" s="37">
        <f t="shared" si="15"/>
        <v>20.835773739059153</v>
      </c>
      <c r="F53" s="37">
        <f t="shared" si="15"/>
        <v>20.923883935165325</v>
      </c>
      <c r="G53" s="37">
        <f t="shared" si="15"/>
        <v>20.987732245809649</v>
      </c>
      <c r="H53" s="37">
        <f t="shared" si="15"/>
        <v>21.107623402434694</v>
      </c>
      <c r="I53" s="37">
        <f t="shared" si="15"/>
        <v>21.162918068448569</v>
      </c>
      <c r="J53" s="37">
        <f t="shared" si="15"/>
        <v>21.234842510601524</v>
      </c>
      <c r="K53" s="37">
        <f t="shared" si="15"/>
        <v>21.269849860411643</v>
      </c>
      <c r="L53" s="37">
        <f t="shared" si="15"/>
        <v>21.320999335788731</v>
      </c>
      <c r="M53" s="37">
        <f t="shared" si="15"/>
        <v>21.335758673243017</v>
      </c>
      <c r="N53" s="37">
        <f t="shared" si="15"/>
        <v>21.379962352552969</v>
      </c>
      <c r="O53" s="37">
        <f t="shared" si="15"/>
        <v>21.401206550111073</v>
      </c>
      <c r="P53" s="37">
        <f t="shared" si="15"/>
        <v>21.399680458427905</v>
      </c>
      <c r="Q53" s="37">
        <f t="shared" si="15"/>
        <v>21.375504975657236</v>
      </c>
      <c r="R53" s="37">
        <f t="shared" si="15"/>
        <v>21.354762283200465</v>
      </c>
      <c r="S53" s="37">
        <f t="shared" si="15"/>
        <v>21.299373077995629</v>
      </c>
      <c r="T53" s="37">
        <f t="shared" si="15"/>
        <v>21.195581202136957</v>
      </c>
      <c r="U53" s="37">
        <f t="shared" si="15"/>
        <v>21.121004373912431</v>
      </c>
      <c r="V53" s="37">
        <f t="shared" si="15"/>
        <v>21.0236557601526</v>
      </c>
      <c r="W53" s="37">
        <f t="shared" si="15"/>
        <v>20.929095133309389</v>
      </c>
      <c r="X53" s="37">
        <f t="shared" si="15"/>
        <v>20.862660450497955</v>
      </c>
      <c r="Y53" s="37">
        <f t="shared" si="15"/>
        <v>20.759960957220951</v>
      </c>
      <c r="Z53" s="37">
        <f t="shared" si="15"/>
        <v>20.69761293664504</v>
      </c>
      <c r="AA53" s="37">
        <f t="shared" si="15"/>
        <v>20.598543486814627</v>
      </c>
      <c r="AB53" s="37">
        <f t="shared" si="15"/>
        <v>20.539104236312166</v>
      </c>
    </row>
    <row r="54" spans="1:28" x14ac:dyDescent="0.25">
      <c r="A54" s="4" t="s">
        <v>221</v>
      </c>
      <c r="B54" s="37">
        <f t="shared" ref="B54:AB54" si="16">B34*B15*$F$10</f>
        <v>36.968549360580234</v>
      </c>
      <c r="C54" s="37">
        <f t="shared" si="16"/>
        <v>37.159644338715552</v>
      </c>
      <c r="D54" s="37">
        <f t="shared" si="16"/>
        <v>37.216989346008816</v>
      </c>
      <c r="E54" s="37">
        <f t="shared" si="16"/>
        <v>37.288155512302893</v>
      </c>
      <c r="F54" s="37">
        <f t="shared" si="16"/>
        <v>37.39254403631346</v>
      </c>
      <c r="G54" s="37">
        <f t="shared" si="16"/>
        <v>37.463463460352926</v>
      </c>
      <c r="H54" s="37">
        <f t="shared" si="16"/>
        <v>37.530120664942054</v>
      </c>
      <c r="I54" s="37">
        <f t="shared" si="16"/>
        <v>37.567633701382526</v>
      </c>
      <c r="J54" s="37">
        <f t="shared" si="16"/>
        <v>37.592651814628404</v>
      </c>
      <c r="K54" s="37">
        <f t="shared" si="16"/>
        <v>37.604123825685313</v>
      </c>
      <c r="L54" s="37">
        <f t="shared" si="16"/>
        <v>37.592949685104472</v>
      </c>
      <c r="M54" s="37">
        <f t="shared" si="16"/>
        <v>37.559449218959955</v>
      </c>
      <c r="N54" s="37">
        <f t="shared" si="16"/>
        <v>37.503881756693943</v>
      </c>
      <c r="O54" s="37">
        <f t="shared" si="16"/>
        <v>37.426483015212277</v>
      </c>
      <c r="P54" s="37">
        <f t="shared" si="16"/>
        <v>37.299476619899743</v>
      </c>
      <c r="Q54" s="37">
        <f t="shared" si="16"/>
        <v>37.15096155892364</v>
      </c>
      <c r="R54" s="37">
        <f t="shared" si="16"/>
        <v>36.9530715711984</v>
      </c>
      <c r="S54" s="37">
        <f t="shared" si="16"/>
        <v>36.718349796262132</v>
      </c>
      <c r="T54" s="37">
        <f t="shared" si="16"/>
        <v>36.453172930098205</v>
      </c>
      <c r="U54" s="37">
        <f t="shared" si="16"/>
        <v>36.157387442202683</v>
      </c>
      <c r="V54" s="37">
        <f t="shared" si="16"/>
        <v>35.867475454489636</v>
      </c>
      <c r="W54" s="37">
        <f t="shared" si="16"/>
        <v>35.536964264154555</v>
      </c>
      <c r="X54" s="37">
        <f t="shared" si="16"/>
        <v>35.257105490765035</v>
      </c>
      <c r="Y54" s="37">
        <f t="shared" si="16"/>
        <v>34.972385768827849</v>
      </c>
      <c r="Z54" s="37">
        <f t="shared" si="16"/>
        <v>34.691437968546957</v>
      </c>
      <c r="AA54" s="37">
        <f t="shared" si="16"/>
        <v>34.422836279085153</v>
      </c>
      <c r="AB54" s="37">
        <f t="shared" si="16"/>
        <v>34.175117333656914</v>
      </c>
    </row>
    <row r="55" spans="1:28" x14ac:dyDescent="0.25">
      <c r="A55" s="4" t="s">
        <v>222</v>
      </c>
      <c r="B55" s="37">
        <f t="shared" ref="B55:AB55" si="17">B35*B15*$F$11</f>
        <v>304.26948985738619</v>
      </c>
      <c r="C55" s="37">
        <f t="shared" si="17"/>
        <v>301.59166581349803</v>
      </c>
      <c r="D55" s="37">
        <f t="shared" si="17"/>
        <v>297.61167588437962</v>
      </c>
      <c r="E55" s="37">
        <f t="shared" si="17"/>
        <v>293.64629556480264</v>
      </c>
      <c r="F55" s="37">
        <f t="shared" si="17"/>
        <v>289.581591569907</v>
      </c>
      <c r="G55" s="37">
        <f t="shared" si="17"/>
        <v>285.62561372831811</v>
      </c>
      <c r="H55" s="37">
        <f t="shared" si="17"/>
        <v>281.68705966083178</v>
      </c>
      <c r="I55" s="37">
        <f t="shared" si="17"/>
        <v>277.60262534899596</v>
      </c>
      <c r="J55" s="37">
        <f t="shared" si="17"/>
        <v>273.54540652770766</v>
      </c>
      <c r="K55" s="37">
        <f t="shared" si="17"/>
        <v>269.48187005408505</v>
      </c>
      <c r="L55" s="37">
        <f t="shared" si="17"/>
        <v>265.45700292567199</v>
      </c>
      <c r="M55" s="37">
        <f t="shared" si="17"/>
        <v>261.44711894350667</v>
      </c>
      <c r="N55" s="37">
        <f t="shared" si="17"/>
        <v>257.49628953434438</v>
      </c>
      <c r="O55" s="37">
        <f t="shared" si="17"/>
        <v>253.51281070730596</v>
      </c>
      <c r="P55" s="37">
        <f t="shared" si="17"/>
        <v>249.5629938357385</v>
      </c>
      <c r="Q55" s="37">
        <f t="shared" si="17"/>
        <v>245.64467042388247</v>
      </c>
      <c r="R55" s="37">
        <f t="shared" si="17"/>
        <v>241.77786259167991</v>
      </c>
      <c r="S55" s="37">
        <f t="shared" si="17"/>
        <v>237.61363154159983</v>
      </c>
      <c r="T55" s="37">
        <f t="shared" si="17"/>
        <v>233.54935410183856</v>
      </c>
      <c r="U55" s="37">
        <f t="shared" si="17"/>
        <v>229.62544235728836</v>
      </c>
      <c r="V55" s="37">
        <f t="shared" si="17"/>
        <v>225.79242883691407</v>
      </c>
      <c r="W55" s="37">
        <f t="shared" si="17"/>
        <v>222.15642005845311</v>
      </c>
      <c r="X55" s="37">
        <f t="shared" si="17"/>
        <v>218.60137829072139</v>
      </c>
      <c r="Y55" s="37">
        <f t="shared" si="17"/>
        <v>215.19029625204521</v>
      </c>
      <c r="Z55" s="37">
        <f t="shared" si="17"/>
        <v>211.89668588701034</v>
      </c>
      <c r="AA55" s="37">
        <f t="shared" si="17"/>
        <v>208.69440289987668</v>
      </c>
      <c r="AB55" s="37">
        <f t="shared" si="17"/>
        <v>205.60168663420498</v>
      </c>
    </row>
    <row r="57" spans="1:28" x14ac:dyDescent="0.25">
      <c r="A57" s="4" t="s">
        <v>327</v>
      </c>
    </row>
    <row r="58" spans="1:28" x14ac:dyDescent="0.25">
      <c r="A58" s="4" t="s">
        <v>215</v>
      </c>
      <c r="B58" s="37">
        <f t="shared" ref="B58:AB58" si="18">B38*B15*$F$4</f>
        <v>30780.993864187338</v>
      </c>
      <c r="C58" s="37">
        <f t="shared" si="18"/>
        <v>31372.993153621021</v>
      </c>
      <c r="D58" s="37">
        <f t="shared" si="18"/>
        <v>31830.312086369991</v>
      </c>
      <c r="E58" s="37">
        <f t="shared" si="18"/>
        <v>32286.523793309912</v>
      </c>
      <c r="F58" s="37">
        <f t="shared" si="18"/>
        <v>32744.428999350639</v>
      </c>
      <c r="G58" s="37">
        <f t="shared" si="18"/>
        <v>33205.014601553477</v>
      </c>
      <c r="H58" s="37">
        <f t="shared" si="18"/>
        <v>33666.031309141217</v>
      </c>
      <c r="I58" s="37">
        <f t="shared" si="18"/>
        <v>34102.480221569516</v>
      </c>
      <c r="J58" s="37">
        <f t="shared" si="18"/>
        <v>34532.225223267706</v>
      </c>
      <c r="K58" s="37">
        <f t="shared" si="18"/>
        <v>34954.743881192873</v>
      </c>
      <c r="L58" s="37">
        <f t="shared" si="18"/>
        <v>35367.164281534206</v>
      </c>
      <c r="M58" s="37">
        <f t="shared" si="18"/>
        <v>35768.988301801903</v>
      </c>
      <c r="N58" s="37">
        <f t="shared" si="18"/>
        <v>36156.658612296647</v>
      </c>
      <c r="O58" s="37">
        <f t="shared" si="18"/>
        <v>36528.921687074086</v>
      </c>
      <c r="P58" s="37">
        <f t="shared" si="18"/>
        <v>36881.203238820352</v>
      </c>
      <c r="Q58" s="37">
        <f t="shared" si="18"/>
        <v>37212.874698592306</v>
      </c>
      <c r="R58" s="37">
        <f t="shared" si="18"/>
        <v>37518.41062799628</v>
      </c>
      <c r="S58" s="37">
        <f t="shared" si="18"/>
        <v>37753.944930946236</v>
      </c>
      <c r="T58" s="37">
        <f t="shared" si="18"/>
        <v>37961.390580284322</v>
      </c>
      <c r="U58" s="37">
        <f t="shared" si="18"/>
        <v>38142.899497981227</v>
      </c>
      <c r="V58" s="37">
        <f t="shared" si="18"/>
        <v>38289.406919287561</v>
      </c>
      <c r="W58" s="37">
        <f t="shared" si="18"/>
        <v>38403.268790673486</v>
      </c>
      <c r="X58" s="37">
        <f t="shared" si="18"/>
        <v>38482.451494966641</v>
      </c>
      <c r="Y58" s="37">
        <f t="shared" si="18"/>
        <v>38542.885625391624</v>
      </c>
      <c r="Z58" s="37">
        <f t="shared" si="18"/>
        <v>38570.513461995266</v>
      </c>
      <c r="AA58" s="37">
        <f t="shared" si="18"/>
        <v>38567.745489725901</v>
      </c>
      <c r="AB58" s="37">
        <f t="shared" si="18"/>
        <v>38538.096598332231</v>
      </c>
    </row>
    <row r="59" spans="1:28" x14ac:dyDescent="0.25">
      <c r="A59" s="4" t="s">
        <v>216</v>
      </c>
      <c r="B59" s="37">
        <f t="shared" ref="B59:AB59" si="19">B39*B15*$F$5</f>
        <v>28878.500542287515</v>
      </c>
      <c r="C59" s="37">
        <f t="shared" si="19"/>
        <v>29357.67356829088</v>
      </c>
      <c r="D59" s="37">
        <f t="shared" si="19"/>
        <v>29713.089964643917</v>
      </c>
      <c r="E59" s="37">
        <f t="shared" si="19"/>
        <v>30083.127105958705</v>
      </c>
      <c r="F59" s="37">
        <f t="shared" si="19"/>
        <v>30476.208623781105</v>
      </c>
      <c r="G59" s="37">
        <f t="shared" si="19"/>
        <v>30893.834040485679</v>
      </c>
      <c r="H59" s="37">
        <f t="shared" si="19"/>
        <v>31338.742166049688</v>
      </c>
      <c r="I59" s="37">
        <f t="shared" si="19"/>
        <v>31786.373228787608</v>
      </c>
      <c r="J59" s="37">
        <f t="shared" si="19"/>
        <v>32256.11951401845</v>
      </c>
      <c r="K59" s="37">
        <f t="shared" si="19"/>
        <v>32739.665063930646</v>
      </c>
      <c r="L59" s="37">
        <f t="shared" si="19"/>
        <v>33236.3007832371</v>
      </c>
      <c r="M59" s="37">
        <f t="shared" si="19"/>
        <v>33743.979070655907</v>
      </c>
      <c r="N59" s="37">
        <f t="shared" si="19"/>
        <v>34255.495607429781</v>
      </c>
      <c r="O59" s="37">
        <f t="shared" si="19"/>
        <v>34764.041369828803</v>
      </c>
      <c r="P59" s="37">
        <f t="shared" si="19"/>
        <v>35268.163147836072</v>
      </c>
      <c r="Q59" s="37">
        <f t="shared" si="19"/>
        <v>35758.226949737305</v>
      </c>
      <c r="R59" s="37">
        <f t="shared" si="19"/>
        <v>36231.619666019491</v>
      </c>
      <c r="S59" s="37">
        <f t="shared" si="19"/>
        <v>36638.85987004255</v>
      </c>
      <c r="T59" s="37">
        <f t="shared" si="19"/>
        <v>37019.527577024506</v>
      </c>
      <c r="U59" s="37">
        <f t="shared" si="19"/>
        <v>37370.359819915939</v>
      </c>
      <c r="V59" s="37">
        <f t="shared" si="19"/>
        <v>37683.057912262375</v>
      </c>
      <c r="W59" s="37">
        <f t="shared" si="19"/>
        <v>37950.206876671509</v>
      </c>
      <c r="X59" s="37">
        <f t="shared" si="19"/>
        <v>38173.986759985244</v>
      </c>
      <c r="Y59" s="37">
        <f t="shared" si="19"/>
        <v>38372.295218703919</v>
      </c>
      <c r="Z59" s="37">
        <f t="shared" si="19"/>
        <v>38528.692222422709</v>
      </c>
      <c r="AA59" s="37">
        <f t="shared" si="19"/>
        <v>38637.339262860522</v>
      </c>
      <c r="AB59" s="37">
        <f t="shared" si="19"/>
        <v>38698.993011918166</v>
      </c>
    </row>
    <row r="60" spans="1:28" x14ac:dyDescent="0.25">
      <c r="A60" s="4" t="s">
        <v>217</v>
      </c>
      <c r="B60" s="37">
        <f t="shared" ref="B60:AB60" si="20">B40*B15*$F$6</f>
        <v>53478.085542710578</v>
      </c>
      <c r="C60" s="37">
        <f t="shared" si="20"/>
        <v>54427.21411866889</v>
      </c>
      <c r="D60" s="37">
        <f t="shared" si="20"/>
        <v>55140.283823412785</v>
      </c>
      <c r="E60" s="37">
        <f t="shared" si="20"/>
        <v>55860.343520732851</v>
      </c>
      <c r="F60" s="37">
        <f t="shared" si="20"/>
        <v>56598.840832118076</v>
      </c>
      <c r="G60" s="37">
        <f t="shared" si="20"/>
        <v>57355.986839328078</v>
      </c>
      <c r="H60" s="37">
        <f t="shared" si="20"/>
        <v>58133.867824000983</v>
      </c>
      <c r="I60" s="37">
        <f t="shared" si="20"/>
        <v>58887.016755654586</v>
      </c>
      <c r="J60" s="37">
        <f t="shared" si="20"/>
        <v>59649.591049967494</v>
      </c>
      <c r="K60" s="37">
        <f t="shared" si="20"/>
        <v>60411.101589716731</v>
      </c>
      <c r="L60" s="37">
        <f t="shared" si="20"/>
        <v>61168.459014675464</v>
      </c>
      <c r="M60" s="37">
        <f t="shared" si="20"/>
        <v>61919.417930765812</v>
      </c>
      <c r="N60" s="37">
        <f t="shared" si="20"/>
        <v>62652.901739620946</v>
      </c>
      <c r="O60" s="37">
        <f t="shared" si="20"/>
        <v>63362.882314519513</v>
      </c>
      <c r="P60" s="37">
        <f t="shared" si="20"/>
        <v>64041.409348972222</v>
      </c>
      <c r="Q60" s="37">
        <f t="shared" si="20"/>
        <v>64680.103068458578</v>
      </c>
      <c r="R60" s="37">
        <f t="shared" si="20"/>
        <v>65270.941101531644</v>
      </c>
      <c r="S60" s="37">
        <f t="shared" si="20"/>
        <v>65731.380286759901</v>
      </c>
      <c r="T60" s="37">
        <f t="shared" si="20"/>
        <v>66134.009796315673</v>
      </c>
      <c r="U60" s="37">
        <f t="shared" si="20"/>
        <v>66478.945705335384</v>
      </c>
      <c r="V60" s="37">
        <f t="shared" si="20"/>
        <v>66748.683704035822</v>
      </c>
      <c r="W60" s="37">
        <f t="shared" si="20"/>
        <v>66938.426724257821</v>
      </c>
      <c r="X60" s="37">
        <f t="shared" si="20"/>
        <v>67049.801627883324</v>
      </c>
      <c r="Y60" s="37">
        <f t="shared" si="20"/>
        <v>67117.170187150245</v>
      </c>
      <c r="Z60" s="37">
        <f t="shared" si="20"/>
        <v>67110.550168685833</v>
      </c>
      <c r="AA60" s="37">
        <f t="shared" si="20"/>
        <v>67025.917546064011</v>
      </c>
      <c r="AB60" s="37">
        <f t="shared" si="20"/>
        <v>66869.104602876192</v>
      </c>
    </row>
    <row r="61" spans="1:28" x14ac:dyDescent="0.25">
      <c r="A61" s="4" t="s">
        <v>218</v>
      </c>
      <c r="B61" s="37">
        <f t="shared" ref="B61:AB61" si="21">B41*B15*$F$7</f>
        <v>5796.829862948437</v>
      </c>
      <c r="C61" s="37">
        <f t="shared" si="21"/>
        <v>5890.160447277507</v>
      </c>
      <c r="D61" s="37">
        <f t="shared" si="21"/>
        <v>5958.9204757628422</v>
      </c>
      <c r="E61" s="37">
        <f t="shared" si="21"/>
        <v>6028.2374264038735</v>
      </c>
      <c r="F61" s="37">
        <f t="shared" si="21"/>
        <v>6100.0895966661146</v>
      </c>
      <c r="G61" s="37">
        <f t="shared" si="21"/>
        <v>6174.6455803827557</v>
      </c>
      <c r="H61" s="37">
        <f t="shared" si="21"/>
        <v>6251.7617964334049</v>
      </c>
      <c r="I61" s="37">
        <f t="shared" si="21"/>
        <v>6327.4414785695581</v>
      </c>
      <c r="J61" s="37">
        <f t="shared" si="21"/>
        <v>6405.5036988344618</v>
      </c>
      <c r="K61" s="37">
        <f t="shared" si="21"/>
        <v>6485.5476899714286</v>
      </c>
      <c r="L61" s="37">
        <f t="shared" si="21"/>
        <v>6567.5920032180939</v>
      </c>
      <c r="M61" s="37">
        <f t="shared" si="21"/>
        <v>6651.3103597153104</v>
      </c>
      <c r="N61" s="37">
        <f t="shared" si="21"/>
        <v>6737.0299664957402</v>
      </c>
      <c r="O61" s="37">
        <f t="shared" si="21"/>
        <v>6823.0578168240272</v>
      </c>
      <c r="P61" s="37">
        <f t="shared" si="21"/>
        <v>6910.1581600635</v>
      </c>
      <c r="Q61" s="37">
        <f t="shared" si="21"/>
        <v>6996.9394658717811</v>
      </c>
      <c r="R61" s="37">
        <f t="shared" si="21"/>
        <v>7083.2475575689859</v>
      </c>
      <c r="S61" s="37">
        <f t="shared" si="21"/>
        <v>7160.7134818922023</v>
      </c>
      <c r="T61" s="37">
        <f t="shared" si="21"/>
        <v>7236.1792388246022</v>
      </c>
      <c r="U61" s="37">
        <f t="shared" si="21"/>
        <v>7309.7619930752935</v>
      </c>
      <c r="V61" s="37">
        <f t="shared" si="21"/>
        <v>7380.614028661018</v>
      </c>
      <c r="W61" s="37">
        <f t="shared" si="21"/>
        <v>7447.3720282681406</v>
      </c>
      <c r="X61" s="37">
        <f t="shared" si="21"/>
        <v>7509.5426503123535</v>
      </c>
      <c r="Y61" s="37">
        <f t="shared" si="21"/>
        <v>7569.0265628853194</v>
      </c>
      <c r="Z61" s="37">
        <f t="shared" si="21"/>
        <v>7623.7370368569736</v>
      </c>
      <c r="AA61" s="37">
        <f t="shared" si="21"/>
        <v>7673.6121592146401</v>
      </c>
      <c r="AB61" s="37">
        <f t="shared" si="21"/>
        <v>7717.8595800371368</v>
      </c>
    </row>
    <row r="62" spans="1:28" x14ac:dyDescent="0.25">
      <c r="A62" s="4" t="s">
        <v>219</v>
      </c>
      <c r="B62" s="37">
        <f t="shared" ref="B62:AB62" si="22">B42*B15*$F$8</f>
        <v>1204.4295376405723</v>
      </c>
      <c r="C62" s="37">
        <f t="shared" si="22"/>
        <v>1234.0195664861112</v>
      </c>
      <c r="D62" s="37">
        <f t="shared" si="22"/>
        <v>1259.3390550546719</v>
      </c>
      <c r="E62" s="37">
        <f t="shared" si="22"/>
        <v>1286.4991044779972</v>
      </c>
      <c r="F62" s="37">
        <f t="shared" si="22"/>
        <v>1315.8702866769506</v>
      </c>
      <c r="G62" s="37">
        <f t="shared" si="22"/>
        <v>1347.423790062448</v>
      </c>
      <c r="H62" s="37">
        <f t="shared" si="22"/>
        <v>1381.2483880356062</v>
      </c>
      <c r="I62" s="37">
        <f t="shared" si="22"/>
        <v>1416.4015658231449</v>
      </c>
      <c r="J62" s="37">
        <f t="shared" si="22"/>
        <v>1453.0615972232581</v>
      </c>
      <c r="K62" s="37">
        <f t="shared" si="22"/>
        <v>1490.937028333185</v>
      </c>
      <c r="L62" s="37">
        <f t="shared" si="22"/>
        <v>1530.4082661355355</v>
      </c>
      <c r="M62" s="37">
        <f t="shared" si="22"/>
        <v>1571.1791377039924</v>
      </c>
      <c r="N62" s="37">
        <f t="shared" si="22"/>
        <v>1613.0526642471746</v>
      </c>
      <c r="O62" s="37">
        <f t="shared" si="22"/>
        <v>1655.7489570463115</v>
      </c>
      <c r="P62" s="37">
        <f t="shared" si="22"/>
        <v>1699.1234887739774</v>
      </c>
      <c r="Q62" s="37">
        <f t="shared" si="22"/>
        <v>1742.8582812911384</v>
      </c>
      <c r="R62" s="37">
        <f t="shared" si="22"/>
        <v>1786.7977373967476</v>
      </c>
      <c r="S62" s="37">
        <f t="shared" si="22"/>
        <v>1828.4955135267719</v>
      </c>
      <c r="T62" s="37">
        <f t="shared" si="22"/>
        <v>1870.0296568558192</v>
      </c>
      <c r="U62" s="37">
        <f t="shared" si="22"/>
        <v>1910.9986017456404</v>
      </c>
      <c r="V62" s="37">
        <f t="shared" si="22"/>
        <v>1951.4681610501354</v>
      </c>
      <c r="W62" s="37">
        <f t="shared" si="22"/>
        <v>1991.3092943088043</v>
      </c>
      <c r="X62" s="37">
        <f t="shared" si="22"/>
        <v>2030.6913186488118</v>
      </c>
      <c r="Y62" s="37">
        <f t="shared" si="22"/>
        <v>2069.4801137003114</v>
      </c>
      <c r="Z62" s="37">
        <f t="shared" si="22"/>
        <v>2107.7377457283856</v>
      </c>
      <c r="AA62" s="37">
        <f t="shared" si="22"/>
        <v>2145.4386761998649</v>
      </c>
      <c r="AB62" s="37">
        <f t="shared" si="22"/>
        <v>2182.4247900036116</v>
      </c>
    </row>
    <row r="63" spans="1:28" x14ac:dyDescent="0.25">
      <c r="A63" s="4" t="s">
        <v>220</v>
      </c>
      <c r="B63" s="37">
        <f t="shared" ref="B63:AB63" si="23">B43*B15*$F$9</f>
        <v>902.592282831793</v>
      </c>
      <c r="C63" s="37">
        <f t="shared" si="23"/>
        <v>923.47207640776151</v>
      </c>
      <c r="D63" s="37">
        <f t="shared" si="23"/>
        <v>941.29701541202405</v>
      </c>
      <c r="E63" s="37">
        <f t="shared" si="23"/>
        <v>960.86055611328936</v>
      </c>
      <c r="F63" s="37">
        <f t="shared" si="23"/>
        <v>980.57293671863329</v>
      </c>
      <c r="G63" s="37">
        <f t="shared" si="23"/>
        <v>1001.8339881810955</v>
      </c>
      <c r="H63" s="37">
        <f t="shared" si="23"/>
        <v>1023.7330437339732</v>
      </c>
      <c r="I63" s="37">
        <f t="shared" si="23"/>
        <v>1045.3685428582178</v>
      </c>
      <c r="J63" s="37">
        <f t="shared" si="23"/>
        <v>1067.4709023569239</v>
      </c>
      <c r="K63" s="37">
        <f t="shared" si="23"/>
        <v>1091.1881598053242</v>
      </c>
      <c r="L63" s="37">
        <f t="shared" si="23"/>
        <v>1115.4699374720826</v>
      </c>
      <c r="M63" s="37">
        <f t="shared" si="23"/>
        <v>1140.6556126133294</v>
      </c>
      <c r="N63" s="37">
        <f t="shared" si="23"/>
        <v>1166.2428851172324</v>
      </c>
      <c r="O63" s="37">
        <f t="shared" si="23"/>
        <v>1192.3230542353269</v>
      </c>
      <c r="P63" s="37">
        <f t="shared" si="23"/>
        <v>1219.207648361994</v>
      </c>
      <c r="Q63" s="37">
        <f t="shared" si="23"/>
        <v>1246.7351201889735</v>
      </c>
      <c r="R63" s="37">
        <f t="shared" si="23"/>
        <v>1274.6660207909626</v>
      </c>
      <c r="S63" s="37">
        <f t="shared" si="23"/>
        <v>1301.0907538624822</v>
      </c>
      <c r="T63" s="37">
        <f t="shared" si="23"/>
        <v>1327.8294047968766</v>
      </c>
      <c r="U63" s="37">
        <f t="shared" si="23"/>
        <v>1354.532872194922</v>
      </c>
      <c r="V63" s="37">
        <f t="shared" si="23"/>
        <v>1380.8110377568853</v>
      </c>
      <c r="W63" s="37">
        <f t="shared" si="23"/>
        <v>1407.5073591341391</v>
      </c>
      <c r="X63" s="37">
        <f t="shared" si="23"/>
        <v>1433.9422320339493</v>
      </c>
      <c r="Y63" s="37">
        <f t="shared" si="23"/>
        <v>1460.5228053568114</v>
      </c>
      <c r="Z63" s="37">
        <f t="shared" si="23"/>
        <v>1486.686909212717</v>
      </c>
      <c r="AA63" s="37">
        <f t="shared" si="23"/>
        <v>1512.6528923365656</v>
      </c>
      <c r="AB63" s="37">
        <f t="shared" si="23"/>
        <v>1538.6490245515245</v>
      </c>
    </row>
    <row r="64" spans="1:28" x14ac:dyDescent="0.25">
      <c r="A64" s="4" t="s">
        <v>221</v>
      </c>
      <c r="B64" s="37">
        <f t="shared" ref="B64:AB64" si="24">B44*B15*$F$10</f>
        <v>2407.0462144200756</v>
      </c>
      <c r="C64" s="37">
        <f t="shared" si="24"/>
        <v>2494.4169966534882</v>
      </c>
      <c r="D64" s="37">
        <f t="shared" si="24"/>
        <v>2572.9857535039291</v>
      </c>
      <c r="E64" s="37">
        <f t="shared" si="24"/>
        <v>2653.3960358310369</v>
      </c>
      <c r="F64" s="37">
        <f t="shared" si="24"/>
        <v>2735.6809177374284</v>
      </c>
      <c r="G64" s="37">
        <f t="shared" si="24"/>
        <v>2820.1779163708079</v>
      </c>
      <c r="H64" s="37">
        <f t="shared" si="24"/>
        <v>2907.8101918685716</v>
      </c>
      <c r="I64" s="37">
        <f t="shared" si="24"/>
        <v>2996.5846223496524</v>
      </c>
      <c r="J64" s="37">
        <f t="shared" si="24"/>
        <v>3087.6400200301273</v>
      </c>
      <c r="K64" s="37">
        <f t="shared" si="24"/>
        <v>3181.687459619367</v>
      </c>
      <c r="L64" s="37">
        <f t="shared" si="24"/>
        <v>3279.2662541655677</v>
      </c>
      <c r="M64" s="37">
        <f t="shared" si="24"/>
        <v>3379.5726267410337</v>
      </c>
      <c r="N64" s="37">
        <f t="shared" si="24"/>
        <v>3483.4850829880606</v>
      </c>
      <c r="O64" s="37">
        <f t="shared" si="24"/>
        <v>3590.4230100951067</v>
      </c>
      <c r="P64" s="37">
        <f t="shared" si="24"/>
        <v>3700.2291526531199</v>
      </c>
      <c r="Q64" s="37">
        <f t="shared" si="24"/>
        <v>3813.0683362997561</v>
      </c>
      <c r="R64" s="37">
        <f t="shared" si="24"/>
        <v>3928.1736998243496</v>
      </c>
      <c r="S64" s="37">
        <f t="shared" si="24"/>
        <v>4040.7960678966715</v>
      </c>
      <c r="T64" s="37">
        <f t="shared" si="24"/>
        <v>4155.3292300622361</v>
      </c>
      <c r="U64" s="37">
        <f t="shared" si="24"/>
        <v>4271.492218917464</v>
      </c>
      <c r="V64" s="37">
        <f t="shared" si="24"/>
        <v>4388.7134033230859</v>
      </c>
      <c r="W64" s="37">
        <f t="shared" si="24"/>
        <v>4506.3861921223761</v>
      </c>
      <c r="X64" s="37">
        <f t="shared" si="24"/>
        <v>4625.0545713477713</v>
      </c>
      <c r="Y64" s="37">
        <f t="shared" si="24"/>
        <v>4743.7856663894136</v>
      </c>
      <c r="Z64" s="37">
        <f t="shared" si="24"/>
        <v>4862.5132672452619</v>
      </c>
      <c r="AA64" s="37">
        <f t="shared" si="24"/>
        <v>4980.1436507086382</v>
      </c>
      <c r="AB64" s="37">
        <f t="shared" si="24"/>
        <v>5096.5394311917726</v>
      </c>
    </row>
    <row r="65" spans="1:28" x14ac:dyDescent="0.25">
      <c r="A65" s="4" t="s">
        <v>222</v>
      </c>
      <c r="B65" s="37">
        <f t="shared" ref="B65:AB65" si="25">B45*B15*$F$11</f>
        <v>61546.638191386599</v>
      </c>
      <c r="C65" s="37">
        <f t="shared" si="25"/>
        <v>62544.86054259495</v>
      </c>
      <c r="D65" s="37">
        <f t="shared" si="25"/>
        <v>63272.544201078912</v>
      </c>
      <c r="E65" s="37">
        <f t="shared" si="25"/>
        <v>64011.048773998788</v>
      </c>
      <c r="F65" s="37">
        <f t="shared" si="25"/>
        <v>64772.974070937278</v>
      </c>
      <c r="G65" s="37">
        <f t="shared" si="25"/>
        <v>65560.312135807428</v>
      </c>
      <c r="H65" s="37">
        <f t="shared" si="25"/>
        <v>66371.387970587137</v>
      </c>
      <c r="I65" s="37">
        <f t="shared" si="25"/>
        <v>67155.058790645446</v>
      </c>
      <c r="J65" s="37">
        <f t="shared" si="25"/>
        <v>67950.642663031947</v>
      </c>
      <c r="K65" s="37">
        <f t="shared" si="25"/>
        <v>68746.43274219695</v>
      </c>
      <c r="L65" s="37">
        <f t="shared" si="25"/>
        <v>69537.08314073419</v>
      </c>
      <c r="M65" s="37">
        <f t="shared" si="25"/>
        <v>70321.661351153874</v>
      </c>
      <c r="N65" s="37">
        <f t="shared" si="25"/>
        <v>71085.887600351794</v>
      </c>
      <c r="O65" s="37">
        <f t="shared" si="25"/>
        <v>71822.056477531689</v>
      </c>
      <c r="P65" s="37">
        <f t="shared" si="25"/>
        <v>72523.744653873859</v>
      </c>
      <c r="Q65" s="37">
        <f t="shared" si="25"/>
        <v>73178.95684804146</v>
      </c>
      <c r="R65" s="37">
        <f t="shared" si="25"/>
        <v>73780.35975131279</v>
      </c>
      <c r="S65" s="37">
        <f t="shared" si="25"/>
        <v>74234.022177937673</v>
      </c>
      <c r="T65" s="37">
        <f t="shared" si="25"/>
        <v>74621.34117644644</v>
      </c>
      <c r="U65" s="37">
        <f t="shared" si="25"/>
        <v>74941.736682723087</v>
      </c>
      <c r="V65" s="37">
        <f t="shared" si="25"/>
        <v>75176.98445950335</v>
      </c>
      <c r="W65" s="37">
        <f t="shared" si="25"/>
        <v>75322.829776972401</v>
      </c>
      <c r="X65" s="37">
        <f t="shared" si="25"/>
        <v>75378.126376463537</v>
      </c>
      <c r="Y65" s="37">
        <f t="shared" si="25"/>
        <v>75383.331246184709</v>
      </c>
      <c r="Z65" s="37">
        <f t="shared" si="25"/>
        <v>75304.163708244567</v>
      </c>
      <c r="AA65" s="37">
        <f t="shared" si="25"/>
        <v>75139.390058207646</v>
      </c>
      <c r="AB65" s="37">
        <f t="shared" si="25"/>
        <v>74894.163563736016</v>
      </c>
    </row>
    <row r="67" spans="1:28" x14ac:dyDescent="0.25">
      <c r="A67" s="4" t="s">
        <v>328</v>
      </c>
    </row>
    <row r="68" spans="1:28" x14ac:dyDescent="0.25">
      <c r="A68" s="4" t="s">
        <v>329</v>
      </c>
      <c r="B68" s="40">
        <f t="shared" ref="B68:AB68" si="26">B48+B49</f>
        <v>348.64437750362515</v>
      </c>
      <c r="C68" s="40">
        <f t="shared" si="26"/>
        <v>346.68172073422556</v>
      </c>
      <c r="D68" s="40">
        <f t="shared" si="26"/>
        <v>343.27936324220605</v>
      </c>
      <c r="E68" s="40">
        <f t="shared" si="26"/>
        <v>339.9195628104676</v>
      </c>
      <c r="F68" s="40">
        <f t="shared" si="26"/>
        <v>336.54295184648299</v>
      </c>
      <c r="G68" s="40">
        <f t="shared" si="26"/>
        <v>333.19093176110528</v>
      </c>
      <c r="H68" s="40">
        <f t="shared" si="26"/>
        <v>329.84520602858652</v>
      </c>
      <c r="I68" s="40">
        <f t="shared" si="26"/>
        <v>326.30800355767326</v>
      </c>
      <c r="J68" s="40">
        <f t="shared" si="26"/>
        <v>322.76799413109723</v>
      </c>
      <c r="K68" s="40">
        <f t="shared" si="26"/>
        <v>319.19350237781907</v>
      </c>
      <c r="L68" s="40">
        <f t="shared" si="26"/>
        <v>315.60464131830014</v>
      </c>
      <c r="M68" s="40">
        <f t="shared" si="26"/>
        <v>311.98135897699251</v>
      </c>
      <c r="N68" s="40">
        <f t="shared" si="26"/>
        <v>308.36323790964843</v>
      </c>
      <c r="O68" s="40">
        <f t="shared" si="26"/>
        <v>304.66919238036678</v>
      </c>
      <c r="P68" s="40">
        <f t="shared" si="26"/>
        <v>300.89894198333167</v>
      </c>
      <c r="Q68" s="40">
        <f t="shared" si="26"/>
        <v>297.1104033585919</v>
      </c>
      <c r="R68" s="40">
        <f t="shared" si="26"/>
        <v>293.2618256243627</v>
      </c>
      <c r="S68" s="40">
        <f t="shared" si="26"/>
        <v>289.07092264949006</v>
      </c>
      <c r="T68" s="40">
        <f t="shared" si="26"/>
        <v>284.90335830775859</v>
      </c>
      <c r="U68" s="40">
        <f t="shared" si="26"/>
        <v>280.79455961388521</v>
      </c>
      <c r="V68" s="40">
        <f t="shared" si="26"/>
        <v>276.77880842103866</v>
      </c>
      <c r="W68" s="40">
        <f t="shared" si="26"/>
        <v>272.85058664955591</v>
      </c>
      <c r="X68" s="40">
        <f t="shared" si="26"/>
        <v>269.10267409453678</v>
      </c>
      <c r="Y68" s="40">
        <f t="shared" si="26"/>
        <v>265.4717801426109</v>
      </c>
      <c r="Z68" s="40">
        <f t="shared" si="26"/>
        <v>261.95308822341951</v>
      </c>
      <c r="AA68" s="40">
        <f t="shared" si="26"/>
        <v>258.54168165164447</v>
      </c>
      <c r="AB68" s="40">
        <f t="shared" si="26"/>
        <v>255.27193057199025</v>
      </c>
    </row>
    <row r="69" spans="1:28" x14ac:dyDescent="0.25">
      <c r="A69" s="4" t="s">
        <v>330</v>
      </c>
      <c r="B69" s="40">
        <f t="shared" ref="B69:AB69" si="27">B50+B51+B52+B53</f>
        <v>328.84997622234545</v>
      </c>
      <c r="C69" s="40">
        <f t="shared" si="27"/>
        <v>326.88867857627594</v>
      </c>
      <c r="D69" s="40">
        <f t="shared" si="27"/>
        <v>323.58790748707895</v>
      </c>
      <c r="E69" s="40">
        <f t="shared" si="27"/>
        <v>320.3065139786612</v>
      </c>
      <c r="F69" s="40">
        <f t="shared" si="27"/>
        <v>317.01920391402547</v>
      </c>
      <c r="G69" s="40">
        <f t="shared" si="27"/>
        <v>313.76740909368499</v>
      </c>
      <c r="H69" s="40">
        <f t="shared" si="27"/>
        <v>310.49523680488358</v>
      </c>
      <c r="I69" s="40">
        <f t="shared" si="27"/>
        <v>307.06670360807306</v>
      </c>
      <c r="J69" s="40">
        <f t="shared" si="27"/>
        <v>303.61369978599834</v>
      </c>
      <c r="K69" s="40">
        <f t="shared" si="27"/>
        <v>300.11415580076527</v>
      </c>
      <c r="L69" s="40">
        <f t="shared" si="27"/>
        <v>296.59142653034115</v>
      </c>
      <c r="M69" s="40">
        <f t="shared" si="27"/>
        <v>293.0276430287733</v>
      </c>
      <c r="N69" s="40">
        <f t="shared" si="27"/>
        <v>289.44114927295533</v>
      </c>
      <c r="O69" s="40">
        <f t="shared" si="27"/>
        <v>285.75927782032863</v>
      </c>
      <c r="P69" s="40">
        <f t="shared" si="27"/>
        <v>282.01357329427736</v>
      </c>
      <c r="Q69" s="40">
        <f t="shared" si="27"/>
        <v>278.2305317562608</v>
      </c>
      <c r="R69" s="40">
        <f t="shared" si="27"/>
        <v>274.3900540632668</v>
      </c>
      <c r="S69" s="40">
        <f t="shared" si="27"/>
        <v>270.21667403487095</v>
      </c>
      <c r="T69" s="40">
        <f t="shared" si="27"/>
        <v>266.07644685289432</v>
      </c>
      <c r="U69" s="40">
        <f t="shared" si="27"/>
        <v>261.99917166425905</v>
      </c>
      <c r="V69" s="40">
        <f t="shared" si="27"/>
        <v>258.00918545470819</v>
      </c>
      <c r="W69" s="40">
        <f t="shared" si="27"/>
        <v>254.1151661786389</v>
      </c>
      <c r="X69" s="40">
        <f t="shared" si="27"/>
        <v>250.39562546933581</v>
      </c>
      <c r="Y69" s="40">
        <f t="shared" si="27"/>
        <v>246.78240925739985</v>
      </c>
      <c r="Z69" s="40">
        <f t="shared" si="27"/>
        <v>243.28611239146929</v>
      </c>
      <c r="AA69" s="40">
        <f t="shared" si="27"/>
        <v>239.91781935233712</v>
      </c>
      <c r="AB69" s="40">
        <f t="shared" si="27"/>
        <v>236.67620817987287</v>
      </c>
    </row>
    <row r="70" spans="1:28" x14ac:dyDescent="0.25">
      <c r="A70" s="4" t="s">
        <v>331</v>
      </c>
      <c r="B70" s="40">
        <f t="shared" ref="B70:AB70" si="28">B54+B55</f>
        <v>341.23803921796645</v>
      </c>
      <c r="C70" s="40">
        <f t="shared" si="28"/>
        <v>338.75131015221359</v>
      </c>
      <c r="D70" s="40">
        <f t="shared" si="28"/>
        <v>334.82866523038842</v>
      </c>
      <c r="E70" s="40">
        <f t="shared" si="28"/>
        <v>330.93445107710556</v>
      </c>
      <c r="F70" s="40">
        <f t="shared" si="28"/>
        <v>326.97413560622044</v>
      </c>
      <c r="G70" s="40">
        <f t="shared" si="28"/>
        <v>323.08907718867101</v>
      </c>
      <c r="H70" s="40">
        <f t="shared" si="28"/>
        <v>319.21718032577382</v>
      </c>
      <c r="I70" s="40">
        <f t="shared" si="28"/>
        <v>315.17025905037849</v>
      </c>
      <c r="J70" s="40">
        <f t="shared" si="28"/>
        <v>311.13805834233608</v>
      </c>
      <c r="K70" s="40">
        <f t="shared" si="28"/>
        <v>307.08599387977034</v>
      </c>
      <c r="L70" s="40">
        <f t="shared" si="28"/>
        <v>303.04995261077647</v>
      </c>
      <c r="M70" s="40">
        <f t="shared" si="28"/>
        <v>299.00656816246664</v>
      </c>
      <c r="N70" s="40">
        <f t="shared" si="28"/>
        <v>295.00017129103833</v>
      </c>
      <c r="O70" s="40">
        <f t="shared" si="28"/>
        <v>290.93929372251824</v>
      </c>
      <c r="P70" s="40">
        <f t="shared" si="28"/>
        <v>286.86247045563823</v>
      </c>
      <c r="Q70" s="40">
        <f t="shared" si="28"/>
        <v>282.79563198280613</v>
      </c>
      <c r="R70" s="40">
        <f t="shared" si="28"/>
        <v>278.73093416287833</v>
      </c>
      <c r="S70" s="40">
        <f t="shared" si="28"/>
        <v>274.33198133786198</v>
      </c>
      <c r="T70" s="40">
        <f t="shared" si="28"/>
        <v>270.00252703193678</v>
      </c>
      <c r="U70" s="40">
        <f t="shared" si="28"/>
        <v>265.78282979949103</v>
      </c>
      <c r="V70" s="40">
        <f t="shared" si="28"/>
        <v>261.65990429140368</v>
      </c>
      <c r="W70" s="40">
        <f t="shared" si="28"/>
        <v>257.69338432260764</v>
      </c>
      <c r="X70" s="40">
        <f t="shared" si="28"/>
        <v>253.85848378148643</v>
      </c>
      <c r="Y70" s="40">
        <f t="shared" si="28"/>
        <v>250.16268202087306</v>
      </c>
      <c r="Z70" s="40">
        <f t="shared" si="28"/>
        <v>246.58812385555728</v>
      </c>
      <c r="AA70" s="40">
        <f t="shared" si="28"/>
        <v>243.11723917896182</v>
      </c>
      <c r="AB70" s="40">
        <f t="shared" si="28"/>
        <v>239.77680396786189</v>
      </c>
    </row>
    <row r="71" spans="1:28" x14ac:dyDescent="0.25">
      <c r="A71" s="4" t="s">
        <v>332</v>
      </c>
      <c r="B71" s="40">
        <f t="shared" ref="B71:AB71" si="29">B58+B59</f>
        <v>59659.494406474856</v>
      </c>
      <c r="C71" s="40">
        <f t="shared" si="29"/>
        <v>60730.666721911897</v>
      </c>
      <c r="D71" s="40">
        <f t="shared" si="29"/>
        <v>61543.402051013909</v>
      </c>
      <c r="E71" s="40">
        <f t="shared" si="29"/>
        <v>62369.650899268614</v>
      </c>
      <c r="F71" s="40">
        <f t="shared" si="29"/>
        <v>63220.637623131741</v>
      </c>
      <c r="G71" s="40">
        <f t="shared" si="29"/>
        <v>64098.848642039156</v>
      </c>
      <c r="H71" s="40">
        <f t="shared" si="29"/>
        <v>65004.773475190901</v>
      </c>
      <c r="I71" s="40">
        <f t="shared" si="29"/>
        <v>65888.853450357128</v>
      </c>
      <c r="J71" s="40">
        <f t="shared" si="29"/>
        <v>66788.344737286156</v>
      </c>
      <c r="K71" s="40">
        <f t="shared" si="29"/>
        <v>67694.40894512352</v>
      </c>
      <c r="L71" s="40">
        <f t="shared" si="29"/>
        <v>68603.465064771299</v>
      </c>
      <c r="M71" s="40">
        <f t="shared" si="29"/>
        <v>69512.967372457817</v>
      </c>
      <c r="N71" s="40">
        <f t="shared" si="29"/>
        <v>70412.154219726421</v>
      </c>
      <c r="O71" s="40">
        <f t="shared" si="29"/>
        <v>71292.963056902896</v>
      </c>
      <c r="P71" s="40">
        <f t="shared" si="29"/>
        <v>72149.366386656417</v>
      </c>
      <c r="Q71" s="40">
        <f t="shared" si="29"/>
        <v>72971.101648329612</v>
      </c>
      <c r="R71" s="40">
        <f t="shared" si="29"/>
        <v>73750.030294015771</v>
      </c>
      <c r="S71" s="40">
        <f t="shared" si="29"/>
        <v>74392.804800988786</v>
      </c>
      <c r="T71" s="40">
        <f t="shared" si="29"/>
        <v>74980.918157308828</v>
      </c>
      <c r="U71" s="40">
        <f t="shared" si="29"/>
        <v>75513.259317897173</v>
      </c>
      <c r="V71" s="40">
        <f t="shared" si="29"/>
        <v>75972.464831549936</v>
      </c>
      <c r="W71" s="40">
        <f t="shared" si="29"/>
        <v>76353.475667344988</v>
      </c>
      <c r="X71" s="40">
        <f t="shared" si="29"/>
        <v>76656.438254951878</v>
      </c>
      <c r="Y71" s="40">
        <f t="shared" si="29"/>
        <v>76915.180844095536</v>
      </c>
      <c r="Z71" s="40">
        <f t="shared" si="29"/>
        <v>77099.205684417975</v>
      </c>
      <c r="AA71" s="40">
        <f t="shared" si="29"/>
        <v>77205.084752586423</v>
      </c>
      <c r="AB71" s="40">
        <f t="shared" si="29"/>
        <v>77237.089610250405</v>
      </c>
    </row>
    <row r="72" spans="1:28" x14ac:dyDescent="0.25">
      <c r="A72" s="4" t="s">
        <v>333</v>
      </c>
      <c r="B72" s="40">
        <f t="shared" ref="B72:AB72" si="30">B60+B61+B62+B63</f>
        <v>61381.937226131377</v>
      </c>
      <c r="C72" s="40">
        <f t="shared" si="30"/>
        <v>62474.866208840271</v>
      </c>
      <c r="D72" s="40">
        <f t="shared" si="30"/>
        <v>63299.840369642319</v>
      </c>
      <c r="E72" s="40">
        <f t="shared" si="30"/>
        <v>64135.940607728007</v>
      </c>
      <c r="F72" s="40">
        <f t="shared" si="30"/>
        <v>64995.373652179776</v>
      </c>
      <c r="G72" s="40">
        <f t="shared" si="30"/>
        <v>65879.890197954373</v>
      </c>
      <c r="H72" s="40">
        <f t="shared" si="30"/>
        <v>66790.611052203967</v>
      </c>
      <c r="I72" s="40">
        <f t="shared" si="30"/>
        <v>67676.22834290551</v>
      </c>
      <c r="J72" s="40">
        <f t="shared" si="30"/>
        <v>68575.627248382152</v>
      </c>
      <c r="K72" s="40">
        <f t="shared" si="30"/>
        <v>69478.774467826675</v>
      </c>
      <c r="L72" s="40">
        <f t="shared" si="30"/>
        <v>70381.929221501166</v>
      </c>
      <c r="M72" s="40">
        <f t="shared" si="30"/>
        <v>71282.563040798457</v>
      </c>
      <c r="N72" s="40">
        <f t="shared" si="30"/>
        <v>72169.227255481092</v>
      </c>
      <c r="O72" s="40">
        <f t="shared" si="30"/>
        <v>73034.012142625172</v>
      </c>
      <c r="P72" s="40">
        <f t="shared" si="30"/>
        <v>73869.898646171685</v>
      </c>
      <c r="Q72" s="40">
        <f t="shared" si="30"/>
        <v>74666.635935810467</v>
      </c>
      <c r="R72" s="40">
        <f t="shared" si="30"/>
        <v>75415.652417288336</v>
      </c>
      <c r="S72" s="40">
        <f t="shared" si="30"/>
        <v>76021.680036041362</v>
      </c>
      <c r="T72" s="40">
        <f t="shared" si="30"/>
        <v>76568.048096792976</v>
      </c>
      <c r="U72" s="40">
        <f t="shared" si="30"/>
        <v>77054.239172351241</v>
      </c>
      <c r="V72" s="40">
        <f t="shared" si="30"/>
        <v>77461.576931503849</v>
      </c>
      <c r="W72" s="40">
        <f t="shared" si="30"/>
        <v>77784.6154059689</v>
      </c>
      <c r="X72" s="40">
        <f t="shared" si="30"/>
        <v>78023.977828878444</v>
      </c>
      <c r="Y72" s="40">
        <f t="shared" si="30"/>
        <v>78216.19966909269</v>
      </c>
      <c r="Z72" s="40">
        <f t="shared" si="30"/>
        <v>78328.711860483905</v>
      </c>
      <c r="AA72" s="40">
        <f t="shared" si="30"/>
        <v>78357.621273815079</v>
      </c>
      <c r="AB72" s="40">
        <f t="shared" si="30"/>
        <v>78308.037997468477</v>
      </c>
    </row>
    <row r="73" spans="1:28" x14ac:dyDescent="0.25">
      <c r="A73" s="4" t="s">
        <v>334</v>
      </c>
      <c r="B73" s="40">
        <f t="shared" ref="B73:AB73" si="31">B64+B65</f>
        <v>63953.684405806678</v>
      </c>
      <c r="C73" s="40">
        <f t="shared" si="31"/>
        <v>65039.27753924844</v>
      </c>
      <c r="D73" s="40">
        <f t="shared" si="31"/>
        <v>65845.529954582846</v>
      </c>
      <c r="E73" s="40">
        <f t="shared" si="31"/>
        <v>66664.444809829831</v>
      </c>
      <c r="F73" s="40">
        <f t="shared" si="31"/>
        <v>67508.654988674709</v>
      </c>
      <c r="G73" s="40">
        <f t="shared" si="31"/>
        <v>68380.49005217824</v>
      </c>
      <c r="H73" s="40">
        <f t="shared" si="31"/>
        <v>69279.198162455708</v>
      </c>
      <c r="I73" s="40">
        <f t="shared" si="31"/>
        <v>70151.643412995094</v>
      </c>
      <c r="J73" s="40">
        <f t="shared" si="31"/>
        <v>71038.282683062076</v>
      </c>
      <c r="K73" s="40">
        <f t="shared" si="31"/>
        <v>71928.120201816317</v>
      </c>
      <c r="L73" s="40">
        <f t="shared" si="31"/>
        <v>72816.349394899764</v>
      </c>
      <c r="M73" s="40">
        <f t="shared" si="31"/>
        <v>73701.23397789491</v>
      </c>
      <c r="N73" s="40">
        <f t="shared" si="31"/>
        <v>74569.372683339854</v>
      </c>
      <c r="O73" s="40">
        <f t="shared" si="31"/>
        <v>75412.479487626799</v>
      </c>
      <c r="P73" s="40">
        <f t="shared" si="31"/>
        <v>76223.973806526978</v>
      </c>
      <c r="Q73" s="40">
        <f t="shared" si="31"/>
        <v>76992.025184341212</v>
      </c>
      <c r="R73" s="40">
        <f t="shared" si="31"/>
        <v>77708.533451137133</v>
      </c>
      <c r="S73" s="40">
        <f t="shared" si="31"/>
        <v>78274.818245834351</v>
      </c>
      <c r="T73" s="40">
        <f t="shared" si="31"/>
        <v>78776.670406508681</v>
      </c>
      <c r="U73" s="40">
        <f t="shared" si="31"/>
        <v>79213.228901640556</v>
      </c>
      <c r="V73" s="40">
        <f t="shared" si="31"/>
        <v>79565.697862826433</v>
      </c>
      <c r="W73" s="40">
        <f t="shared" si="31"/>
        <v>79829.215969094774</v>
      </c>
      <c r="X73" s="40">
        <f t="shared" si="31"/>
        <v>80003.180947811314</v>
      </c>
      <c r="Y73" s="40">
        <f t="shared" si="31"/>
        <v>80127.116912574129</v>
      </c>
      <c r="Z73" s="40">
        <f t="shared" si="31"/>
        <v>80166.676975489827</v>
      </c>
      <c r="AA73" s="40">
        <f t="shared" si="31"/>
        <v>80119.533708916279</v>
      </c>
      <c r="AB73" s="40">
        <f t="shared" si="31"/>
        <v>79990.702994927793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194.11147692805989</v>
      </c>
      <c r="C2" s="37">
        <f>BDbDT_calcs!C48</f>
        <v>192.83955671216148</v>
      </c>
      <c r="D2" s="37">
        <f>BDbDT_calcs!D48</f>
        <v>190.75805905962969</v>
      </c>
      <c r="E2" s="37">
        <f>BDbDT_calcs!E48</f>
        <v>188.71275507461448</v>
      </c>
      <c r="F2" s="37">
        <f>BDbDT_calcs!F48</f>
        <v>186.66364283183634</v>
      </c>
      <c r="G2" s="37">
        <f>BDbDT_calcs!G48</f>
        <v>184.61096451178588</v>
      </c>
      <c r="H2" s="37">
        <f>BDbDT_calcs!H48</f>
        <v>182.55589819551213</v>
      </c>
      <c r="I2" s="37">
        <f>BDbDT_calcs!I48</f>
        <v>180.47924729460735</v>
      </c>
      <c r="J2" s="37">
        <f>BDbDT_calcs!J48</f>
        <v>178.30491897210172</v>
      </c>
      <c r="K2" s="37">
        <f>BDbDT_calcs!K48</f>
        <v>176.1885762372487</v>
      </c>
      <c r="L2" s="37">
        <f>BDbDT_calcs!L48</f>
        <v>173.98875105459325</v>
      </c>
      <c r="M2" s="37">
        <f>BDbDT_calcs!M48</f>
        <v>171.84637392132208</v>
      </c>
      <c r="N2" s="37">
        <f>BDbDT_calcs!N48</f>
        <v>169.78061549007714</v>
      </c>
      <c r="O2" s="37">
        <f>BDbDT_calcs!O48</f>
        <v>167.51056756150055</v>
      </c>
      <c r="P2" s="37">
        <f>BDbDT_calcs!P48</f>
        <v>165.33608364885674</v>
      </c>
      <c r="Q2" s="37">
        <f>BDbDT_calcs!Q48</f>
        <v>163.07620697079446</v>
      </c>
      <c r="R2" s="37">
        <f>BDbDT_calcs!R48</f>
        <v>160.82950612083616</v>
      </c>
      <c r="S2" s="37">
        <f>BDbDT_calcs!S48</f>
        <v>158.3687565697837</v>
      </c>
      <c r="T2" s="37">
        <f>BDbDT_calcs!T48</f>
        <v>155.94327417702178</v>
      </c>
      <c r="U2" s="37">
        <f>BDbDT_calcs!U48</f>
        <v>153.55064130414968</v>
      </c>
      <c r="V2" s="37">
        <f>BDbDT_calcs!V48</f>
        <v>151.18802581857798</v>
      </c>
      <c r="W2" s="37">
        <f>BDbDT_calcs!W48</f>
        <v>148.87213381398351</v>
      </c>
      <c r="X2" s="37">
        <f>BDbDT_calcs!X48</f>
        <v>146.73734088228332</v>
      </c>
      <c r="Y2" s="37">
        <f>BDbDT_calcs!Y48</f>
        <v>144.62404411278231</v>
      </c>
      <c r="Z2" s="37">
        <f>BDbDT_calcs!Z48</f>
        <v>142.62750554208935</v>
      </c>
      <c r="AA2" s="37">
        <f>BDbDT_calcs!AA48</f>
        <v>140.66671829268242</v>
      </c>
      <c r="AB2" s="37">
        <f>BDbDT_calcs!AB48</f>
        <v>138.71983408434156</v>
      </c>
    </row>
    <row r="3" spans="1:28" x14ac:dyDescent="0.25">
      <c r="A3" s="4" t="s">
        <v>216</v>
      </c>
      <c r="B3" s="37">
        <f>BDbDT_calcs!B49</f>
        <v>154.53290057556524</v>
      </c>
      <c r="C3" s="37">
        <f>BDbDT_calcs!C49</f>
        <v>153.84216402206408</v>
      </c>
      <c r="D3" s="37">
        <f>BDbDT_calcs!D49</f>
        <v>152.52130418257639</v>
      </c>
      <c r="E3" s="37">
        <f>BDbDT_calcs!E49</f>
        <v>151.20680773585315</v>
      </c>
      <c r="F3" s="37">
        <f>BDbDT_calcs!F49</f>
        <v>149.87930901464662</v>
      </c>
      <c r="G3" s="37">
        <f>BDbDT_calcs!G49</f>
        <v>148.57996724931942</v>
      </c>
      <c r="H3" s="37">
        <f>BDbDT_calcs!H49</f>
        <v>147.28930783307442</v>
      </c>
      <c r="I3" s="37">
        <f>BDbDT_calcs!I49</f>
        <v>145.82875626306588</v>
      </c>
      <c r="J3" s="37">
        <f>BDbDT_calcs!J49</f>
        <v>144.46307515899554</v>
      </c>
      <c r="K3" s="37">
        <f>BDbDT_calcs!K49</f>
        <v>143.00492614057038</v>
      </c>
      <c r="L3" s="37">
        <f>BDbDT_calcs!L49</f>
        <v>141.61589026370689</v>
      </c>
      <c r="M3" s="37">
        <f>BDbDT_calcs!M49</f>
        <v>140.13498505567046</v>
      </c>
      <c r="N3" s="37">
        <f>BDbDT_calcs!N49</f>
        <v>138.58262241957127</v>
      </c>
      <c r="O3" s="37">
        <f>BDbDT_calcs!O49</f>
        <v>137.15862481886626</v>
      </c>
      <c r="P3" s="37">
        <f>BDbDT_calcs!P49</f>
        <v>135.56285833447492</v>
      </c>
      <c r="Q3" s="37">
        <f>BDbDT_calcs!Q49</f>
        <v>134.03419638779744</v>
      </c>
      <c r="R3" s="37">
        <f>BDbDT_calcs!R49</f>
        <v>132.43231950352657</v>
      </c>
      <c r="S3" s="37">
        <f>BDbDT_calcs!S49</f>
        <v>130.70216607970639</v>
      </c>
      <c r="T3" s="37">
        <f>BDbDT_calcs!T49</f>
        <v>128.96008413073682</v>
      </c>
      <c r="U3" s="37">
        <f>BDbDT_calcs!U49</f>
        <v>127.24391830973552</v>
      </c>
      <c r="V3" s="37">
        <f>BDbDT_calcs!V49</f>
        <v>125.59078260246065</v>
      </c>
      <c r="W3" s="37">
        <f>BDbDT_calcs!W49</f>
        <v>123.97845283557241</v>
      </c>
      <c r="X3" s="37">
        <f>BDbDT_calcs!X49</f>
        <v>122.36533321225345</v>
      </c>
      <c r="Y3" s="37">
        <f>BDbDT_calcs!Y49</f>
        <v>120.84773602982861</v>
      </c>
      <c r="Z3" s="37">
        <f>BDbDT_calcs!Z49</f>
        <v>119.32558268133019</v>
      </c>
      <c r="AA3" s="37">
        <f>BDbDT_calcs!AA49</f>
        <v>117.87496335896206</v>
      </c>
      <c r="AB3" s="37">
        <f>BDbDT_calcs!AB49</f>
        <v>116.55209648764868</v>
      </c>
    </row>
    <row r="4" spans="1:28" x14ac:dyDescent="0.25">
      <c r="A4" s="4" t="s">
        <v>217</v>
      </c>
      <c r="B4" s="37">
        <f>BDbDT_calcs!B50</f>
        <v>224.88935156724321</v>
      </c>
      <c r="C4" s="37">
        <f>BDbDT_calcs!C50</f>
        <v>223.62978207621222</v>
      </c>
      <c r="D4" s="37">
        <f>BDbDT_calcs!D50</f>
        <v>221.47755016253208</v>
      </c>
      <c r="E4" s="37">
        <f>BDbDT_calcs!E50</f>
        <v>219.32033968005157</v>
      </c>
      <c r="F4" s="37">
        <f>BDbDT_calcs!F50</f>
        <v>217.18235910222944</v>
      </c>
      <c r="G4" s="37">
        <f>BDbDT_calcs!G50</f>
        <v>215.08636138287608</v>
      </c>
      <c r="H4" s="37">
        <f>BDbDT_calcs!H50</f>
        <v>212.94341618722862</v>
      </c>
      <c r="I4" s="37">
        <f>BDbDT_calcs!I50</f>
        <v>210.72530809477271</v>
      </c>
      <c r="J4" s="37">
        <f>BDbDT_calcs!J50</f>
        <v>208.44542324910989</v>
      </c>
      <c r="K4" s="37">
        <f>BDbDT_calcs!K50</f>
        <v>206.11899223258987</v>
      </c>
      <c r="L4" s="37">
        <f>BDbDT_calcs!L50</f>
        <v>203.72409138433702</v>
      </c>
      <c r="M4" s="37">
        <f>BDbDT_calcs!M50</f>
        <v>201.26099196740415</v>
      </c>
      <c r="N4" s="37">
        <f>BDbDT_calcs!N50</f>
        <v>198.72966700702085</v>
      </c>
      <c r="O4" s="37">
        <f>BDbDT_calcs!O50</f>
        <v>196.06364505808153</v>
      </c>
      <c r="P4" s="37">
        <f>BDbDT_calcs!P50</f>
        <v>193.35113248159263</v>
      </c>
      <c r="Q4" s="37">
        <f>BDbDT_calcs!Q50</f>
        <v>190.56899188874186</v>
      </c>
      <c r="R4" s="37">
        <f>BDbDT_calcs!R50</f>
        <v>187.71595561567574</v>
      </c>
      <c r="S4" s="37">
        <f>BDbDT_calcs!S50</f>
        <v>184.61768895668982</v>
      </c>
      <c r="T4" s="37">
        <f>BDbDT_calcs!T50</f>
        <v>181.56169009159331</v>
      </c>
      <c r="U4" s="37">
        <f>BDbDT_calcs!U50</f>
        <v>178.54503667095841</v>
      </c>
      <c r="V4" s="37">
        <f>BDbDT_calcs!V50</f>
        <v>175.58612697888881</v>
      </c>
      <c r="W4" s="37">
        <f>BDbDT_calcs!W50</f>
        <v>172.72479567677277</v>
      </c>
      <c r="X4" s="37">
        <f>BDbDT_calcs!X50</f>
        <v>169.97894360654942</v>
      </c>
      <c r="Y4" s="37">
        <f>BDbDT_calcs!Y50</f>
        <v>167.3023603688531</v>
      </c>
      <c r="Z4" s="37">
        <f>BDbDT_calcs!Z50</f>
        <v>164.71346410730584</v>
      </c>
      <c r="AA4" s="37">
        <f>BDbDT_calcs!AA50</f>
        <v>162.25224723126448</v>
      </c>
      <c r="AB4" s="37">
        <f>BDbDT_calcs!AB50</f>
        <v>159.87239971941</v>
      </c>
    </row>
    <row r="5" spans="1:28" x14ac:dyDescent="0.25">
      <c r="A5" s="4" t="s">
        <v>218</v>
      </c>
      <c r="B5" s="37">
        <f>BDbDT_calcs!B51</f>
        <v>74.980009342574292</v>
      </c>
      <c r="C5" s="37">
        <f>BDbDT_calcs!C51</f>
        <v>74.044155764288774</v>
      </c>
      <c r="D5" s="37">
        <f>BDbDT_calcs!D51</f>
        <v>72.822293421125551</v>
      </c>
      <c r="E5" s="37">
        <f>BDbDT_calcs!E51</f>
        <v>71.584950670004162</v>
      </c>
      <c r="F5" s="37">
        <f>BDbDT_calcs!F51</f>
        <v>70.332562474073612</v>
      </c>
      <c r="G5" s="37">
        <f>BDbDT_calcs!G51</f>
        <v>69.096858088787926</v>
      </c>
      <c r="H5" s="37">
        <f>BDbDT_calcs!H51</f>
        <v>67.830478128574498</v>
      </c>
      <c r="I5" s="37">
        <f>BDbDT_calcs!I51</f>
        <v>66.552023068722249</v>
      </c>
      <c r="J5" s="37">
        <f>BDbDT_calcs!J51</f>
        <v>65.292801046723127</v>
      </c>
      <c r="K5" s="37">
        <f>BDbDT_calcs!K51</f>
        <v>64.049990244726743</v>
      </c>
      <c r="L5" s="37">
        <f>BDbDT_calcs!L51</f>
        <v>62.85450668577802</v>
      </c>
      <c r="M5" s="37">
        <f>BDbDT_calcs!M51</f>
        <v>61.721313622960913</v>
      </c>
      <c r="N5" s="37">
        <f>BDbDT_calcs!N51</f>
        <v>60.602921524245119</v>
      </c>
      <c r="O5" s="37">
        <f>BDbDT_calcs!O51</f>
        <v>59.545511086673564</v>
      </c>
      <c r="P5" s="37">
        <f>BDbDT_calcs!P51</f>
        <v>58.501778903451786</v>
      </c>
      <c r="Q5" s="37">
        <f>BDbDT_calcs!Q51</f>
        <v>57.502092551303413</v>
      </c>
      <c r="R5" s="37">
        <f>BDbDT_calcs!R51</f>
        <v>56.530196690322796</v>
      </c>
      <c r="S5" s="37">
        <f>BDbDT_calcs!S51</f>
        <v>55.504745585129427</v>
      </c>
      <c r="T5" s="37">
        <f>BDbDT_calcs!T51</f>
        <v>54.507855166699734</v>
      </c>
      <c r="U5" s="37">
        <f>BDbDT_calcs!U51</f>
        <v>53.523153208470475</v>
      </c>
      <c r="V5" s="37">
        <f>BDbDT_calcs!V51</f>
        <v>52.58021055798222</v>
      </c>
      <c r="W5" s="37">
        <f>BDbDT_calcs!W51</f>
        <v>51.631909992322399</v>
      </c>
      <c r="X5" s="37">
        <f>BDbDT_calcs!X51</f>
        <v>50.723047790962262</v>
      </c>
      <c r="Y5" s="37">
        <f>BDbDT_calcs!Y51</f>
        <v>49.867931967943406</v>
      </c>
      <c r="Z5" s="37">
        <f>BDbDT_calcs!Z51</f>
        <v>49.019821216459</v>
      </c>
      <c r="AA5" s="37">
        <f>BDbDT_calcs!AA51</f>
        <v>48.208189652107642</v>
      </c>
      <c r="AB5" s="37">
        <f>BDbDT_calcs!AB51</f>
        <v>47.40179052140072</v>
      </c>
    </row>
    <row r="6" spans="1:28" x14ac:dyDescent="0.25">
      <c r="A6" s="4" t="s">
        <v>219</v>
      </c>
      <c r="B6" s="37">
        <f>BDbDT_calcs!B52</f>
        <v>8.5103676717728138</v>
      </c>
      <c r="C6" s="37">
        <f>BDbDT_calcs!C52</f>
        <v>8.5485552303843768</v>
      </c>
      <c r="D6" s="37">
        <f>BDbDT_calcs!D52</f>
        <v>8.5515669162455605</v>
      </c>
      <c r="E6" s="37">
        <f>BDbDT_calcs!E52</f>
        <v>8.5654498895462936</v>
      </c>
      <c r="F6" s="37">
        <f>BDbDT_calcs!F52</f>
        <v>8.5803984025570976</v>
      </c>
      <c r="G6" s="37">
        <f>BDbDT_calcs!G52</f>
        <v>8.5964573762113261</v>
      </c>
      <c r="H6" s="37">
        <f>BDbDT_calcs!H52</f>
        <v>8.6137190866458102</v>
      </c>
      <c r="I6" s="37">
        <f>BDbDT_calcs!I52</f>
        <v>8.6264543761295354</v>
      </c>
      <c r="J6" s="37">
        <f>BDbDT_calcs!J52</f>
        <v>8.6406329795638097</v>
      </c>
      <c r="K6" s="37">
        <f>BDbDT_calcs!K52</f>
        <v>8.6753234630370599</v>
      </c>
      <c r="L6" s="37">
        <f>BDbDT_calcs!L52</f>
        <v>8.6918291244373691</v>
      </c>
      <c r="M6" s="37">
        <f>BDbDT_calcs!M52</f>
        <v>8.7095787651652454</v>
      </c>
      <c r="N6" s="37">
        <f>BDbDT_calcs!N52</f>
        <v>8.728598389136355</v>
      </c>
      <c r="O6" s="37">
        <f>BDbDT_calcs!O52</f>
        <v>8.748915125462462</v>
      </c>
      <c r="P6" s="37">
        <f>BDbDT_calcs!P52</f>
        <v>8.7609814508050246</v>
      </c>
      <c r="Q6" s="37">
        <f>BDbDT_calcs!Q52</f>
        <v>8.7839423405582693</v>
      </c>
      <c r="R6" s="37">
        <f>BDbDT_calcs!R52</f>
        <v>8.7891394740678361</v>
      </c>
      <c r="S6" s="37">
        <f>BDbDT_calcs!S52</f>
        <v>8.7948664150560756</v>
      </c>
      <c r="T6" s="37">
        <f>BDbDT_calcs!T52</f>
        <v>8.8113203924643493</v>
      </c>
      <c r="U6" s="37">
        <f>BDbDT_calcs!U52</f>
        <v>8.8099774109177265</v>
      </c>
      <c r="V6" s="37">
        <f>BDbDT_calcs!V52</f>
        <v>8.8191921576845633</v>
      </c>
      <c r="W6" s="37">
        <f>BDbDT_calcs!W52</f>
        <v>8.8293653762343585</v>
      </c>
      <c r="X6" s="37">
        <f>BDbDT_calcs!X52</f>
        <v>8.83097362132618</v>
      </c>
      <c r="Y6" s="37">
        <f>BDbDT_calcs!Y52</f>
        <v>8.8521559633823994</v>
      </c>
      <c r="Z6" s="37">
        <f>BDbDT_calcs!Z52</f>
        <v>8.8552141310594106</v>
      </c>
      <c r="AA6" s="37">
        <f>BDbDT_calcs!AA52</f>
        <v>8.858838982150349</v>
      </c>
      <c r="AB6" s="37">
        <f>BDbDT_calcs!AB52</f>
        <v>8.8629137027499834</v>
      </c>
    </row>
    <row r="7" spans="1:28" x14ac:dyDescent="0.25">
      <c r="A7" s="4" t="s">
        <v>220</v>
      </c>
      <c r="B7" s="37">
        <f>BDbDT_calcs!B53</f>
        <v>20.470247640755108</v>
      </c>
      <c r="C7" s="37">
        <f>BDbDT_calcs!C53</f>
        <v>20.666185505390537</v>
      </c>
      <c r="D7" s="37">
        <f>BDbDT_calcs!D53</f>
        <v>20.736496987175727</v>
      </c>
      <c r="E7" s="37">
        <f>BDbDT_calcs!E53</f>
        <v>20.835773739059153</v>
      </c>
      <c r="F7" s="37">
        <f>BDbDT_calcs!F53</f>
        <v>20.923883935165325</v>
      </c>
      <c r="G7" s="37">
        <f>BDbDT_calcs!G53</f>
        <v>20.987732245809649</v>
      </c>
      <c r="H7" s="37">
        <f>BDbDT_calcs!H53</f>
        <v>21.107623402434694</v>
      </c>
      <c r="I7" s="37">
        <f>BDbDT_calcs!I53</f>
        <v>21.162918068448569</v>
      </c>
      <c r="J7" s="37">
        <f>BDbDT_calcs!J53</f>
        <v>21.234842510601524</v>
      </c>
      <c r="K7" s="37">
        <f>BDbDT_calcs!K53</f>
        <v>21.269849860411643</v>
      </c>
      <c r="L7" s="37">
        <f>BDbDT_calcs!L53</f>
        <v>21.320999335788731</v>
      </c>
      <c r="M7" s="37">
        <f>BDbDT_calcs!M53</f>
        <v>21.335758673243017</v>
      </c>
      <c r="N7" s="37">
        <f>BDbDT_calcs!N53</f>
        <v>21.379962352552969</v>
      </c>
      <c r="O7" s="37">
        <f>BDbDT_calcs!O53</f>
        <v>21.401206550111073</v>
      </c>
      <c r="P7" s="37">
        <f>BDbDT_calcs!P53</f>
        <v>21.399680458427905</v>
      </c>
      <c r="Q7" s="37">
        <f>BDbDT_calcs!Q53</f>
        <v>21.375504975657236</v>
      </c>
      <c r="R7" s="37">
        <f>BDbDT_calcs!R53</f>
        <v>21.354762283200465</v>
      </c>
      <c r="S7" s="37">
        <f>BDbDT_calcs!S53</f>
        <v>21.299373077995629</v>
      </c>
      <c r="T7" s="37">
        <f>BDbDT_calcs!T53</f>
        <v>21.195581202136957</v>
      </c>
      <c r="U7" s="37">
        <f>BDbDT_calcs!U53</f>
        <v>21.121004373912431</v>
      </c>
      <c r="V7" s="37">
        <f>BDbDT_calcs!V53</f>
        <v>21.0236557601526</v>
      </c>
      <c r="W7" s="37">
        <f>BDbDT_calcs!W53</f>
        <v>20.929095133309389</v>
      </c>
      <c r="X7" s="37">
        <f>BDbDT_calcs!X53</f>
        <v>20.862660450497955</v>
      </c>
      <c r="Y7" s="37">
        <f>BDbDT_calcs!Y53</f>
        <v>20.759960957220951</v>
      </c>
      <c r="Z7" s="37">
        <f>BDbDT_calcs!Z53</f>
        <v>20.69761293664504</v>
      </c>
      <c r="AA7" s="37">
        <f>BDbDT_calcs!AA53</f>
        <v>20.598543486814627</v>
      </c>
      <c r="AB7" s="37">
        <f>BDbDT_calcs!AB53</f>
        <v>20.539104236312166</v>
      </c>
    </row>
    <row r="8" spans="1:28" x14ac:dyDescent="0.25">
      <c r="A8" s="4" t="s">
        <v>221</v>
      </c>
      <c r="B8" s="37">
        <f>BDbDT_calcs!B54</f>
        <v>36.968549360580234</v>
      </c>
      <c r="C8" s="37">
        <f>BDbDT_calcs!C54</f>
        <v>37.159644338715552</v>
      </c>
      <c r="D8" s="37">
        <f>BDbDT_calcs!D54</f>
        <v>37.216989346008816</v>
      </c>
      <c r="E8" s="37">
        <f>BDbDT_calcs!E54</f>
        <v>37.288155512302893</v>
      </c>
      <c r="F8" s="37">
        <f>BDbDT_calcs!F54</f>
        <v>37.39254403631346</v>
      </c>
      <c r="G8" s="37">
        <f>BDbDT_calcs!G54</f>
        <v>37.463463460352926</v>
      </c>
      <c r="H8" s="37">
        <f>BDbDT_calcs!H54</f>
        <v>37.530120664942054</v>
      </c>
      <c r="I8" s="37">
        <f>BDbDT_calcs!I54</f>
        <v>37.567633701382526</v>
      </c>
      <c r="J8" s="37">
        <f>BDbDT_calcs!J54</f>
        <v>37.592651814628404</v>
      </c>
      <c r="K8" s="37">
        <f>BDbDT_calcs!K54</f>
        <v>37.604123825685313</v>
      </c>
      <c r="L8" s="37">
        <f>BDbDT_calcs!L54</f>
        <v>37.592949685104472</v>
      </c>
      <c r="M8" s="37">
        <f>BDbDT_calcs!M54</f>
        <v>37.559449218959955</v>
      </c>
      <c r="N8" s="37">
        <f>BDbDT_calcs!N54</f>
        <v>37.503881756693943</v>
      </c>
      <c r="O8" s="37">
        <f>BDbDT_calcs!O54</f>
        <v>37.426483015212277</v>
      </c>
      <c r="P8" s="37">
        <f>BDbDT_calcs!P54</f>
        <v>37.299476619899743</v>
      </c>
      <c r="Q8" s="37">
        <f>BDbDT_calcs!Q54</f>
        <v>37.15096155892364</v>
      </c>
      <c r="R8" s="37">
        <f>BDbDT_calcs!R54</f>
        <v>36.9530715711984</v>
      </c>
      <c r="S8" s="37">
        <f>BDbDT_calcs!S54</f>
        <v>36.718349796262132</v>
      </c>
      <c r="T8" s="37">
        <f>BDbDT_calcs!T54</f>
        <v>36.453172930098205</v>
      </c>
      <c r="U8" s="37">
        <f>BDbDT_calcs!U54</f>
        <v>36.157387442202683</v>
      </c>
      <c r="V8" s="37">
        <f>BDbDT_calcs!V54</f>
        <v>35.867475454489636</v>
      </c>
      <c r="W8" s="37">
        <f>BDbDT_calcs!W54</f>
        <v>35.536964264154555</v>
      </c>
      <c r="X8" s="37">
        <f>BDbDT_calcs!X54</f>
        <v>35.257105490765035</v>
      </c>
      <c r="Y8" s="37">
        <f>BDbDT_calcs!Y54</f>
        <v>34.972385768827849</v>
      </c>
      <c r="Z8" s="37">
        <f>BDbDT_calcs!Z54</f>
        <v>34.691437968546957</v>
      </c>
      <c r="AA8" s="37">
        <f>BDbDT_calcs!AA54</f>
        <v>34.422836279085153</v>
      </c>
      <c r="AB8" s="37">
        <f>BDbDT_calcs!AB54</f>
        <v>34.175117333656914</v>
      </c>
    </row>
    <row r="9" spans="1:28" x14ac:dyDescent="0.25">
      <c r="A9" s="4" t="s">
        <v>222</v>
      </c>
      <c r="B9" s="37">
        <f>BDbDT_calcs!B55</f>
        <v>304.26948985738619</v>
      </c>
      <c r="C9" s="37">
        <f>BDbDT_calcs!C55</f>
        <v>301.59166581349803</v>
      </c>
      <c r="D9" s="37">
        <f>BDbDT_calcs!D55</f>
        <v>297.61167588437962</v>
      </c>
      <c r="E9" s="37">
        <f>BDbDT_calcs!E55</f>
        <v>293.64629556480264</v>
      </c>
      <c r="F9" s="37">
        <f>BDbDT_calcs!F55</f>
        <v>289.581591569907</v>
      </c>
      <c r="G9" s="37">
        <f>BDbDT_calcs!G55</f>
        <v>285.62561372831811</v>
      </c>
      <c r="H9" s="37">
        <f>BDbDT_calcs!H55</f>
        <v>281.68705966083178</v>
      </c>
      <c r="I9" s="37">
        <f>BDbDT_calcs!I55</f>
        <v>277.60262534899596</v>
      </c>
      <c r="J9" s="37">
        <f>BDbDT_calcs!J55</f>
        <v>273.54540652770766</v>
      </c>
      <c r="K9" s="37">
        <f>BDbDT_calcs!K55</f>
        <v>269.48187005408505</v>
      </c>
      <c r="L9" s="37">
        <f>BDbDT_calcs!L55</f>
        <v>265.45700292567199</v>
      </c>
      <c r="M9" s="37">
        <f>BDbDT_calcs!M55</f>
        <v>261.44711894350667</v>
      </c>
      <c r="N9" s="37">
        <f>BDbDT_calcs!N55</f>
        <v>257.49628953434438</v>
      </c>
      <c r="O9" s="37">
        <f>BDbDT_calcs!O55</f>
        <v>253.51281070730596</v>
      </c>
      <c r="P9" s="37">
        <f>BDbDT_calcs!P55</f>
        <v>249.5629938357385</v>
      </c>
      <c r="Q9" s="37">
        <f>BDbDT_calcs!Q55</f>
        <v>245.64467042388247</v>
      </c>
      <c r="R9" s="37">
        <f>BDbDT_calcs!R55</f>
        <v>241.77786259167991</v>
      </c>
      <c r="S9" s="37">
        <f>BDbDT_calcs!S55</f>
        <v>237.61363154159983</v>
      </c>
      <c r="T9" s="37">
        <f>BDbDT_calcs!T55</f>
        <v>233.54935410183856</v>
      </c>
      <c r="U9" s="37">
        <f>BDbDT_calcs!U55</f>
        <v>229.62544235728836</v>
      </c>
      <c r="V9" s="37">
        <f>BDbDT_calcs!V55</f>
        <v>225.79242883691407</v>
      </c>
      <c r="W9" s="37">
        <f>BDbDT_calcs!W55</f>
        <v>222.15642005845311</v>
      </c>
      <c r="X9" s="37">
        <f>BDbDT_calcs!X55</f>
        <v>218.60137829072139</v>
      </c>
      <c r="Y9" s="37">
        <f>BDbDT_calcs!Y55</f>
        <v>215.19029625204521</v>
      </c>
      <c r="Z9" s="37">
        <f>BDbDT_calcs!Z55</f>
        <v>211.89668588701034</v>
      </c>
      <c r="AA9" s="37">
        <f>BDbDT_calcs!AA55</f>
        <v>208.69440289987668</v>
      </c>
      <c r="AB9" s="37">
        <f>BDbDT_calcs!AB55</f>
        <v>205.60168663420498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30780.993864187338</v>
      </c>
      <c r="C2" s="37">
        <f>BDbDT_calcs!C58</f>
        <v>31372.993153621021</v>
      </c>
      <c r="D2" s="37">
        <f>BDbDT_calcs!D58</f>
        <v>31830.312086369991</v>
      </c>
      <c r="E2" s="37">
        <f>BDbDT_calcs!E58</f>
        <v>32286.523793309912</v>
      </c>
      <c r="F2" s="37">
        <f>BDbDT_calcs!F58</f>
        <v>32744.428999350639</v>
      </c>
      <c r="G2" s="37">
        <f>BDbDT_calcs!G58</f>
        <v>33205.014601553477</v>
      </c>
      <c r="H2" s="37">
        <f>BDbDT_calcs!H58</f>
        <v>33666.031309141217</v>
      </c>
      <c r="I2" s="37">
        <f>BDbDT_calcs!I58</f>
        <v>34102.480221569516</v>
      </c>
      <c r="J2" s="37">
        <f>BDbDT_calcs!J58</f>
        <v>34532.225223267706</v>
      </c>
      <c r="K2" s="37">
        <f>BDbDT_calcs!K58</f>
        <v>34954.743881192873</v>
      </c>
      <c r="L2" s="37">
        <f>BDbDT_calcs!L58</f>
        <v>35367.164281534206</v>
      </c>
      <c r="M2" s="37">
        <f>BDbDT_calcs!M58</f>
        <v>35768.988301801903</v>
      </c>
      <c r="N2" s="37">
        <f>BDbDT_calcs!N58</f>
        <v>36156.658612296647</v>
      </c>
      <c r="O2" s="37">
        <f>BDbDT_calcs!O58</f>
        <v>36528.921687074086</v>
      </c>
      <c r="P2" s="37">
        <f>BDbDT_calcs!P58</f>
        <v>36881.203238820352</v>
      </c>
      <c r="Q2" s="37">
        <f>BDbDT_calcs!Q58</f>
        <v>37212.874698592306</v>
      </c>
      <c r="R2" s="37">
        <f>BDbDT_calcs!R58</f>
        <v>37518.41062799628</v>
      </c>
      <c r="S2" s="37">
        <f>BDbDT_calcs!S58</f>
        <v>37753.944930946236</v>
      </c>
      <c r="T2" s="37">
        <f>BDbDT_calcs!T58</f>
        <v>37961.390580284322</v>
      </c>
      <c r="U2" s="37">
        <f>BDbDT_calcs!U58</f>
        <v>38142.899497981227</v>
      </c>
      <c r="V2" s="37">
        <f>BDbDT_calcs!V58</f>
        <v>38289.406919287561</v>
      </c>
      <c r="W2" s="37">
        <f>BDbDT_calcs!W58</f>
        <v>38403.268790673486</v>
      </c>
      <c r="X2" s="37">
        <f>BDbDT_calcs!X58</f>
        <v>38482.451494966641</v>
      </c>
      <c r="Y2" s="37">
        <f>BDbDT_calcs!Y58</f>
        <v>38542.885625391624</v>
      </c>
      <c r="Z2" s="37">
        <f>BDbDT_calcs!Z58</f>
        <v>38570.513461995266</v>
      </c>
      <c r="AA2" s="37">
        <f>BDbDT_calcs!AA58</f>
        <v>38567.745489725901</v>
      </c>
      <c r="AB2" s="37">
        <f>BDbDT_calcs!AB58</f>
        <v>38538.096598332231</v>
      </c>
    </row>
    <row r="3" spans="1:28" x14ac:dyDescent="0.25">
      <c r="A3" s="4" t="s">
        <v>216</v>
      </c>
      <c r="B3" s="37">
        <f>BDbDT_calcs!B59</f>
        <v>28878.500542287515</v>
      </c>
      <c r="C3" s="37">
        <f>BDbDT_calcs!C59</f>
        <v>29357.67356829088</v>
      </c>
      <c r="D3" s="37">
        <f>BDbDT_calcs!D59</f>
        <v>29713.089964643917</v>
      </c>
      <c r="E3" s="37">
        <f>BDbDT_calcs!E59</f>
        <v>30083.127105958705</v>
      </c>
      <c r="F3" s="37">
        <f>BDbDT_calcs!F59</f>
        <v>30476.208623781105</v>
      </c>
      <c r="G3" s="37">
        <f>BDbDT_calcs!G59</f>
        <v>30893.834040485679</v>
      </c>
      <c r="H3" s="37">
        <f>BDbDT_calcs!H59</f>
        <v>31338.742166049688</v>
      </c>
      <c r="I3" s="37">
        <f>BDbDT_calcs!I59</f>
        <v>31786.373228787608</v>
      </c>
      <c r="J3" s="37">
        <f>BDbDT_calcs!J59</f>
        <v>32256.11951401845</v>
      </c>
      <c r="K3" s="37">
        <f>BDbDT_calcs!K59</f>
        <v>32739.665063930646</v>
      </c>
      <c r="L3" s="37">
        <f>BDbDT_calcs!L59</f>
        <v>33236.3007832371</v>
      </c>
      <c r="M3" s="37">
        <f>BDbDT_calcs!M59</f>
        <v>33743.979070655907</v>
      </c>
      <c r="N3" s="37">
        <f>BDbDT_calcs!N59</f>
        <v>34255.495607429781</v>
      </c>
      <c r="O3" s="37">
        <f>BDbDT_calcs!O59</f>
        <v>34764.041369828803</v>
      </c>
      <c r="P3" s="37">
        <f>BDbDT_calcs!P59</f>
        <v>35268.163147836072</v>
      </c>
      <c r="Q3" s="37">
        <f>BDbDT_calcs!Q59</f>
        <v>35758.226949737305</v>
      </c>
      <c r="R3" s="37">
        <f>BDbDT_calcs!R59</f>
        <v>36231.619666019491</v>
      </c>
      <c r="S3" s="37">
        <f>BDbDT_calcs!S59</f>
        <v>36638.85987004255</v>
      </c>
      <c r="T3" s="37">
        <f>BDbDT_calcs!T59</f>
        <v>37019.527577024506</v>
      </c>
      <c r="U3" s="37">
        <f>BDbDT_calcs!U59</f>
        <v>37370.359819915939</v>
      </c>
      <c r="V3" s="37">
        <f>BDbDT_calcs!V59</f>
        <v>37683.057912262375</v>
      </c>
      <c r="W3" s="37">
        <f>BDbDT_calcs!W59</f>
        <v>37950.206876671509</v>
      </c>
      <c r="X3" s="37">
        <f>BDbDT_calcs!X59</f>
        <v>38173.986759985244</v>
      </c>
      <c r="Y3" s="37">
        <f>BDbDT_calcs!Y59</f>
        <v>38372.295218703919</v>
      </c>
      <c r="Z3" s="37">
        <f>BDbDT_calcs!Z59</f>
        <v>38528.692222422709</v>
      </c>
      <c r="AA3" s="37">
        <f>BDbDT_calcs!AA59</f>
        <v>38637.339262860522</v>
      </c>
      <c r="AB3" s="37">
        <f>BDbDT_calcs!AB59</f>
        <v>38698.993011918166</v>
      </c>
    </row>
    <row r="4" spans="1:28" x14ac:dyDescent="0.25">
      <c r="A4" s="4" t="s">
        <v>217</v>
      </c>
      <c r="B4" s="37">
        <f>BDbDT_calcs!B60</f>
        <v>53478.085542710578</v>
      </c>
      <c r="C4" s="37">
        <f>BDbDT_calcs!C60</f>
        <v>54427.21411866889</v>
      </c>
      <c r="D4" s="37">
        <f>BDbDT_calcs!D60</f>
        <v>55140.283823412785</v>
      </c>
      <c r="E4" s="37">
        <f>BDbDT_calcs!E60</f>
        <v>55860.343520732851</v>
      </c>
      <c r="F4" s="37">
        <f>BDbDT_calcs!F60</f>
        <v>56598.840832118076</v>
      </c>
      <c r="G4" s="37">
        <f>BDbDT_calcs!G60</f>
        <v>57355.986839328078</v>
      </c>
      <c r="H4" s="37">
        <f>BDbDT_calcs!H60</f>
        <v>58133.867824000983</v>
      </c>
      <c r="I4" s="37">
        <f>BDbDT_calcs!I60</f>
        <v>58887.016755654586</v>
      </c>
      <c r="J4" s="37">
        <f>BDbDT_calcs!J60</f>
        <v>59649.591049967494</v>
      </c>
      <c r="K4" s="37">
        <f>BDbDT_calcs!K60</f>
        <v>60411.101589716731</v>
      </c>
      <c r="L4" s="37">
        <f>BDbDT_calcs!L60</f>
        <v>61168.459014675464</v>
      </c>
      <c r="M4" s="37">
        <f>BDbDT_calcs!M60</f>
        <v>61919.417930765812</v>
      </c>
      <c r="N4" s="37">
        <f>BDbDT_calcs!N60</f>
        <v>62652.901739620946</v>
      </c>
      <c r="O4" s="37">
        <f>BDbDT_calcs!O60</f>
        <v>63362.882314519513</v>
      </c>
      <c r="P4" s="37">
        <f>BDbDT_calcs!P60</f>
        <v>64041.409348972222</v>
      </c>
      <c r="Q4" s="37">
        <f>BDbDT_calcs!Q60</f>
        <v>64680.103068458578</v>
      </c>
      <c r="R4" s="37">
        <f>BDbDT_calcs!R60</f>
        <v>65270.941101531644</v>
      </c>
      <c r="S4" s="37">
        <f>BDbDT_calcs!S60</f>
        <v>65731.380286759901</v>
      </c>
      <c r="T4" s="37">
        <f>BDbDT_calcs!T60</f>
        <v>66134.009796315673</v>
      </c>
      <c r="U4" s="37">
        <f>BDbDT_calcs!U60</f>
        <v>66478.945705335384</v>
      </c>
      <c r="V4" s="37">
        <f>BDbDT_calcs!V60</f>
        <v>66748.683704035822</v>
      </c>
      <c r="W4" s="37">
        <f>BDbDT_calcs!W60</f>
        <v>66938.426724257821</v>
      </c>
      <c r="X4" s="37">
        <f>BDbDT_calcs!X60</f>
        <v>67049.801627883324</v>
      </c>
      <c r="Y4" s="37">
        <f>BDbDT_calcs!Y60</f>
        <v>67117.170187150245</v>
      </c>
      <c r="Z4" s="37">
        <f>BDbDT_calcs!Z60</f>
        <v>67110.550168685833</v>
      </c>
      <c r="AA4" s="37">
        <f>BDbDT_calcs!AA60</f>
        <v>67025.917546064011</v>
      </c>
      <c r="AB4" s="37">
        <f>BDbDT_calcs!AB60</f>
        <v>66869.104602876192</v>
      </c>
    </row>
    <row r="5" spans="1:28" x14ac:dyDescent="0.25">
      <c r="A5" s="4" t="s">
        <v>218</v>
      </c>
      <c r="B5" s="37">
        <f>BDbDT_calcs!B61</f>
        <v>5796.829862948437</v>
      </c>
      <c r="C5" s="37">
        <f>BDbDT_calcs!C61</f>
        <v>5890.160447277507</v>
      </c>
      <c r="D5" s="37">
        <f>BDbDT_calcs!D61</f>
        <v>5958.9204757628422</v>
      </c>
      <c r="E5" s="37">
        <f>BDbDT_calcs!E61</f>
        <v>6028.2374264038735</v>
      </c>
      <c r="F5" s="37">
        <f>BDbDT_calcs!F61</f>
        <v>6100.0895966661146</v>
      </c>
      <c r="G5" s="37">
        <f>BDbDT_calcs!G61</f>
        <v>6174.6455803827557</v>
      </c>
      <c r="H5" s="37">
        <f>BDbDT_calcs!H61</f>
        <v>6251.7617964334049</v>
      </c>
      <c r="I5" s="37">
        <f>BDbDT_calcs!I61</f>
        <v>6327.4414785695581</v>
      </c>
      <c r="J5" s="37">
        <f>BDbDT_calcs!J61</f>
        <v>6405.5036988344618</v>
      </c>
      <c r="K5" s="37">
        <f>BDbDT_calcs!K61</f>
        <v>6485.5476899714286</v>
      </c>
      <c r="L5" s="37">
        <f>BDbDT_calcs!L61</f>
        <v>6567.5920032180939</v>
      </c>
      <c r="M5" s="37">
        <f>BDbDT_calcs!M61</f>
        <v>6651.3103597153104</v>
      </c>
      <c r="N5" s="37">
        <f>BDbDT_calcs!N61</f>
        <v>6737.0299664957402</v>
      </c>
      <c r="O5" s="37">
        <f>BDbDT_calcs!O61</f>
        <v>6823.0578168240272</v>
      </c>
      <c r="P5" s="37">
        <f>BDbDT_calcs!P61</f>
        <v>6910.1581600635</v>
      </c>
      <c r="Q5" s="37">
        <f>BDbDT_calcs!Q61</f>
        <v>6996.9394658717811</v>
      </c>
      <c r="R5" s="37">
        <f>BDbDT_calcs!R61</f>
        <v>7083.2475575689859</v>
      </c>
      <c r="S5" s="37">
        <f>BDbDT_calcs!S61</f>
        <v>7160.7134818922023</v>
      </c>
      <c r="T5" s="37">
        <f>BDbDT_calcs!T61</f>
        <v>7236.1792388246022</v>
      </c>
      <c r="U5" s="37">
        <f>BDbDT_calcs!U61</f>
        <v>7309.7619930752935</v>
      </c>
      <c r="V5" s="37">
        <f>BDbDT_calcs!V61</f>
        <v>7380.614028661018</v>
      </c>
      <c r="W5" s="37">
        <f>BDbDT_calcs!W61</f>
        <v>7447.3720282681406</v>
      </c>
      <c r="X5" s="37">
        <f>BDbDT_calcs!X61</f>
        <v>7509.5426503123535</v>
      </c>
      <c r="Y5" s="37">
        <f>BDbDT_calcs!Y61</f>
        <v>7569.0265628853194</v>
      </c>
      <c r="Z5" s="37">
        <f>BDbDT_calcs!Z61</f>
        <v>7623.7370368569736</v>
      </c>
      <c r="AA5" s="37">
        <f>BDbDT_calcs!AA61</f>
        <v>7673.6121592146401</v>
      </c>
      <c r="AB5" s="37">
        <f>BDbDT_calcs!AB61</f>
        <v>7717.8595800371368</v>
      </c>
    </row>
    <row r="6" spans="1:28" x14ac:dyDescent="0.25">
      <c r="A6" s="4" t="s">
        <v>219</v>
      </c>
      <c r="B6" s="37">
        <f>BDbDT_calcs!B62</f>
        <v>1204.4295376405723</v>
      </c>
      <c r="C6" s="37">
        <f>BDbDT_calcs!C62</f>
        <v>1234.0195664861112</v>
      </c>
      <c r="D6" s="37">
        <f>BDbDT_calcs!D62</f>
        <v>1259.3390550546719</v>
      </c>
      <c r="E6" s="37">
        <f>BDbDT_calcs!E62</f>
        <v>1286.4991044779972</v>
      </c>
      <c r="F6" s="37">
        <f>BDbDT_calcs!F62</f>
        <v>1315.8702866769506</v>
      </c>
      <c r="G6" s="37">
        <f>BDbDT_calcs!G62</f>
        <v>1347.423790062448</v>
      </c>
      <c r="H6" s="37">
        <f>BDbDT_calcs!H62</f>
        <v>1381.2483880356062</v>
      </c>
      <c r="I6" s="37">
        <f>BDbDT_calcs!I62</f>
        <v>1416.4015658231449</v>
      </c>
      <c r="J6" s="37">
        <f>BDbDT_calcs!J62</f>
        <v>1453.0615972232581</v>
      </c>
      <c r="K6" s="37">
        <f>BDbDT_calcs!K62</f>
        <v>1490.937028333185</v>
      </c>
      <c r="L6" s="37">
        <f>BDbDT_calcs!L62</f>
        <v>1530.4082661355355</v>
      </c>
      <c r="M6" s="37">
        <f>BDbDT_calcs!M62</f>
        <v>1571.1791377039924</v>
      </c>
      <c r="N6" s="37">
        <f>BDbDT_calcs!N62</f>
        <v>1613.0526642471746</v>
      </c>
      <c r="O6" s="37">
        <f>BDbDT_calcs!O62</f>
        <v>1655.7489570463115</v>
      </c>
      <c r="P6" s="37">
        <f>BDbDT_calcs!P62</f>
        <v>1699.1234887739774</v>
      </c>
      <c r="Q6" s="37">
        <f>BDbDT_calcs!Q62</f>
        <v>1742.8582812911384</v>
      </c>
      <c r="R6" s="37">
        <f>BDbDT_calcs!R62</f>
        <v>1786.7977373967476</v>
      </c>
      <c r="S6" s="37">
        <f>BDbDT_calcs!S62</f>
        <v>1828.4955135267719</v>
      </c>
      <c r="T6" s="37">
        <f>BDbDT_calcs!T62</f>
        <v>1870.0296568558192</v>
      </c>
      <c r="U6" s="37">
        <f>BDbDT_calcs!U62</f>
        <v>1910.9986017456404</v>
      </c>
      <c r="V6" s="37">
        <f>BDbDT_calcs!V62</f>
        <v>1951.4681610501354</v>
      </c>
      <c r="W6" s="37">
        <f>BDbDT_calcs!W62</f>
        <v>1991.3092943088043</v>
      </c>
      <c r="X6" s="37">
        <f>BDbDT_calcs!X62</f>
        <v>2030.6913186488118</v>
      </c>
      <c r="Y6" s="37">
        <f>BDbDT_calcs!Y62</f>
        <v>2069.4801137003114</v>
      </c>
      <c r="Z6" s="37">
        <f>BDbDT_calcs!Z62</f>
        <v>2107.7377457283856</v>
      </c>
      <c r="AA6" s="37">
        <f>BDbDT_calcs!AA62</f>
        <v>2145.4386761998649</v>
      </c>
      <c r="AB6" s="37">
        <f>BDbDT_calcs!AB62</f>
        <v>2182.4247900036116</v>
      </c>
    </row>
    <row r="7" spans="1:28" x14ac:dyDescent="0.25">
      <c r="A7" s="4" t="s">
        <v>220</v>
      </c>
      <c r="B7" s="37">
        <f>BDbDT_calcs!B63</f>
        <v>902.592282831793</v>
      </c>
      <c r="C7" s="37">
        <f>BDbDT_calcs!C63</f>
        <v>923.47207640776151</v>
      </c>
      <c r="D7" s="37">
        <f>BDbDT_calcs!D63</f>
        <v>941.29701541202405</v>
      </c>
      <c r="E7" s="37">
        <f>BDbDT_calcs!E63</f>
        <v>960.86055611328936</v>
      </c>
      <c r="F7" s="37">
        <f>BDbDT_calcs!F63</f>
        <v>980.57293671863329</v>
      </c>
      <c r="G7" s="37">
        <f>BDbDT_calcs!G63</f>
        <v>1001.8339881810955</v>
      </c>
      <c r="H7" s="37">
        <f>BDbDT_calcs!H63</f>
        <v>1023.7330437339732</v>
      </c>
      <c r="I7" s="37">
        <f>BDbDT_calcs!I63</f>
        <v>1045.3685428582178</v>
      </c>
      <c r="J7" s="37">
        <f>BDbDT_calcs!J63</f>
        <v>1067.4709023569239</v>
      </c>
      <c r="K7" s="37">
        <f>BDbDT_calcs!K63</f>
        <v>1091.1881598053242</v>
      </c>
      <c r="L7" s="37">
        <f>BDbDT_calcs!L63</f>
        <v>1115.4699374720826</v>
      </c>
      <c r="M7" s="37">
        <f>BDbDT_calcs!M63</f>
        <v>1140.6556126133294</v>
      </c>
      <c r="N7" s="37">
        <f>BDbDT_calcs!N63</f>
        <v>1166.2428851172324</v>
      </c>
      <c r="O7" s="37">
        <f>BDbDT_calcs!O63</f>
        <v>1192.3230542353269</v>
      </c>
      <c r="P7" s="37">
        <f>BDbDT_calcs!P63</f>
        <v>1219.207648361994</v>
      </c>
      <c r="Q7" s="37">
        <f>BDbDT_calcs!Q63</f>
        <v>1246.7351201889735</v>
      </c>
      <c r="R7" s="37">
        <f>BDbDT_calcs!R63</f>
        <v>1274.6660207909626</v>
      </c>
      <c r="S7" s="37">
        <f>BDbDT_calcs!S63</f>
        <v>1301.0907538624822</v>
      </c>
      <c r="T7" s="37">
        <f>BDbDT_calcs!T63</f>
        <v>1327.8294047968766</v>
      </c>
      <c r="U7" s="37">
        <f>BDbDT_calcs!U63</f>
        <v>1354.532872194922</v>
      </c>
      <c r="V7" s="37">
        <f>BDbDT_calcs!V63</f>
        <v>1380.8110377568853</v>
      </c>
      <c r="W7" s="37">
        <f>BDbDT_calcs!W63</f>
        <v>1407.5073591341391</v>
      </c>
      <c r="X7" s="37">
        <f>BDbDT_calcs!X63</f>
        <v>1433.9422320339493</v>
      </c>
      <c r="Y7" s="37">
        <f>BDbDT_calcs!Y63</f>
        <v>1460.5228053568114</v>
      </c>
      <c r="Z7" s="37">
        <f>BDbDT_calcs!Z63</f>
        <v>1486.686909212717</v>
      </c>
      <c r="AA7" s="37">
        <f>BDbDT_calcs!AA63</f>
        <v>1512.6528923365656</v>
      </c>
      <c r="AB7" s="37">
        <f>BDbDT_calcs!AB63</f>
        <v>1538.6490245515245</v>
      </c>
    </row>
    <row r="8" spans="1:28" x14ac:dyDescent="0.25">
      <c r="A8" s="4" t="s">
        <v>221</v>
      </c>
      <c r="B8" s="37">
        <f>BDbDT_calcs!B64</f>
        <v>2407.0462144200756</v>
      </c>
      <c r="C8" s="37">
        <f>BDbDT_calcs!C64</f>
        <v>2494.4169966534882</v>
      </c>
      <c r="D8" s="37">
        <f>BDbDT_calcs!D64</f>
        <v>2572.9857535039291</v>
      </c>
      <c r="E8" s="37">
        <f>BDbDT_calcs!E64</f>
        <v>2653.3960358310369</v>
      </c>
      <c r="F8" s="37">
        <f>BDbDT_calcs!F64</f>
        <v>2735.6809177374284</v>
      </c>
      <c r="G8" s="37">
        <f>BDbDT_calcs!G64</f>
        <v>2820.1779163708079</v>
      </c>
      <c r="H8" s="37">
        <f>BDbDT_calcs!H64</f>
        <v>2907.8101918685716</v>
      </c>
      <c r="I8" s="37">
        <f>BDbDT_calcs!I64</f>
        <v>2996.5846223496524</v>
      </c>
      <c r="J8" s="37">
        <f>BDbDT_calcs!J64</f>
        <v>3087.6400200301273</v>
      </c>
      <c r="K8" s="37">
        <f>BDbDT_calcs!K64</f>
        <v>3181.687459619367</v>
      </c>
      <c r="L8" s="37">
        <f>BDbDT_calcs!L64</f>
        <v>3279.2662541655677</v>
      </c>
      <c r="M8" s="37">
        <f>BDbDT_calcs!M64</f>
        <v>3379.5726267410337</v>
      </c>
      <c r="N8" s="37">
        <f>BDbDT_calcs!N64</f>
        <v>3483.4850829880606</v>
      </c>
      <c r="O8" s="37">
        <f>BDbDT_calcs!O64</f>
        <v>3590.4230100951067</v>
      </c>
      <c r="P8" s="37">
        <f>BDbDT_calcs!P64</f>
        <v>3700.2291526531199</v>
      </c>
      <c r="Q8" s="37">
        <f>BDbDT_calcs!Q64</f>
        <v>3813.0683362997561</v>
      </c>
      <c r="R8" s="37">
        <f>BDbDT_calcs!R64</f>
        <v>3928.1736998243496</v>
      </c>
      <c r="S8" s="37">
        <f>BDbDT_calcs!S64</f>
        <v>4040.7960678966715</v>
      </c>
      <c r="T8" s="37">
        <f>BDbDT_calcs!T64</f>
        <v>4155.3292300622361</v>
      </c>
      <c r="U8" s="37">
        <f>BDbDT_calcs!U64</f>
        <v>4271.492218917464</v>
      </c>
      <c r="V8" s="37">
        <f>BDbDT_calcs!V64</f>
        <v>4388.7134033230859</v>
      </c>
      <c r="W8" s="37">
        <f>BDbDT_calcs!W64</f>
        <v>4506.3861921223761</v>
      </c>
      <c r="X8" s="37">
        <f>BDbDT_calcs!X64</f>
        <v>4625.0545713477713</v>
      </c>
      <c r="Y8" s="37">
        <f>BDbDT_calcs!Y64</f>
        <v>4743.7856663894136</v>
      </c>
      <c r="Z8" s="37">
        <f>BDbDT_calcs!Z64</f>
        <v>4862.5132672452619</v>
      </c>
      <c r="AA8" s="37">
        <f>BDbDT_calcs!AA64</f>
        <v>4980.1436507086382</v>
      </c>
      <c r="AB8" s="37">
        <f>BDbDT_calcs!AB64</f>
        <v>5096.5394311917726</v>
      </c>
    </row>
    <row r="9" spans="1:28" x14ac:dyDescent="0.25">
      <c r="A9" s="4" t="s">
        <v>222</v>
      </c>
      <c r="B9" s="37">
        <f>BDbDT_calcs!B65</f>
        <v>61546.638191386599</v>
      </c>
      <c r="C9" s="37">
        <f>BDbDT_calcs!C65</f>
        <v>62544.86054259495</v>
      </c>
      <c r="D9" s="37">
        <f>BDbDT_calcs!D65</f>
        <v>63272.544201078912</v>
      </c>
      <c r="E9" s="37">
        <f>BDbDT_calcs!E65</f>
        <v>64011.048773998788</v>
      </c>
      <c r="F9" s="37">
        <f>BDbDT_calcs!F65</f>
        <v>64772.974070937278</v>
      </c>
      <c r="G9" s="37">
        <f>BDbDT_calcs!G65</f>
        <v>65560.312135807428</v>
      </c>
      <c r="H9" s="37">
        <f>BDbDT_calcs!H65</f>
        <v>66371.387970587137</v>
      </c>
      <c r="I9" s="37">
        <f>BDbDT_calcs!I65</f>
        <v>67155.058790645446</v>
      </c>
      <c r="J9" s="37">
        <f>BDbDT_calcs!J65</f>
        <v>67950.642663031947</v>
      </c>
      <c r="K9" s="37">
        <f>BDbDT_calcs!K65</f>
        <v>68746.43274219695</v>
      </c>
      <c r="L9" s="37">
        <f>BDbDT_calcs!L65</f>
        <v>69537.08314073419</v>
      </c>
      <c r="M9" s="37">
        <f>BDbDT_calcs!M65</f>
        <v>70321.661351153874</v>
      </c>
      <c r="N9" s="37">
        <f>BDbDT_calcs!N65</f>
        <v>71085.887600351794</v>
      </c>
      <c r="O9" s="37">
        <f>BDbDT_calcs!O65</f>
        <v>71822.056477531689</v>
      </c>
      <c r="P9" s="37">
        <f>BDbDT_calcs!P65</f>
        <v>72523.744653873859</v>
      </c>
      <c r="Q9" s="37">
        <f>BDbDT_calcs!Q65</f>
        <v>73178.95684804146</v>
      </c>
      <c r="R9" s="37">
        <f>BDbDT_calcs!R65</f>
        <v>73780.35975131279</v>
      </c>
      <c r="S9" s="37">
        <f>BDbDT_calcs!S65</f>
        <v>74234.022177937673</v>
      </c>
      <c r="T9" s="37">
        <f>BDbDT_calcs!T65</f>
        <v>74621.34117644644</v>
      </c>
      <c r="U9" s="37">
        <f>BDbDT_calcs!U65</f>
        <v>74941.736682723087</v>
      </c>
      <c r="V9" s="37">
        <f>BDbDT_calcs!V65</f>
        <v>75176.98445950335</v>
      </c>
      <c r="W9" s="37">
        <f>BDbDT_calcs!W65</f>
        <v>75322.829776972401</v>
      </c>
      <c r="X9" s="37">
        <f>BDbDT_calcs!X65</f>
        <v>75378.126376463537</v>
      </c>
      <c r="Y9" s="37">
        <f>BDbDT_calcs!Y65</f>
        <v>75383.331246184709</v>
      </c>
      <c r="Z9" s="37">
        <f>BDbDT_calcs!Z65</f>
        <v>75304.163708244567</v>
      </c>
      <c r="AA9" s="37">
        <f>BDbDT_calcs!AA65</f>
        <v>75139.390058207646</v>
      </c>
      <c r="AB9" s="37">
        <f>BDbDT_calcs!AB65</f>
        <v>74894.163563736016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2026-08-17T20:28:45Z</dcterms:modified>
</cp:coreProperties>
</file>