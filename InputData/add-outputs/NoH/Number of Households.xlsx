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N\add-outputs\NoH\"/>
    </mc:Choice>
  </mc:AlternateContent>
  <xr:revisionPtr revIDLastSave="0" documentId="8_{B7AE8B6B-1C34-4953-AC25-65B7AB90712E}"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M2" i="3"/>
  <c r="O2" i="3"/>
  <c r="R2" i="3"/>
  <c r="S2" i="3"/>
  <c r="D2" i="3"/>
  <c r="Z2" i="3"/>
  <c r="T2" i="3"/>
  <c r="X2" i="3"/>
  <c r="E2" i="3"/>
  <c r="AA2" i="3"/>
  <c r="F2" i="3"/>
  <c r="AB2" i="3"/>
  <c r="AE2" i="3"/>
  <c r="K2" i="3"/>
  <c r="G2" i="3"/>
  <c r="AC2" i="3"/>
  <c r="AD2" i="3"/>
  <c r="B2" i="3"/>
  <c r="L2" i="3"/>
  <c r="N2" i="3"/>
  <c r="P2" i="3"/>
  <c r="Q2" i="3"/>
  <c r="U2" i="3"/>
  <c r="W2" i="3"/>
  <c r="H2" i="3"/>
  <c r="V2" i="3"/>
  <c r="I2" i="3"/>
  <c r="J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<sst xmlns="http://schemas.openxmlformats.org/spreadsheetml/2006/main" count="1069" uniqueCount="448">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</sst>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352</v>
      </c>
      <c r="C1" s="68">
        <v>46185</v>
      </c>
      <c r="H1" t="s">
        <v>324</v>
      </c>
      <c r="I1" t="s">
        <v>325</v>
      </c>
    </row>
    <row r="2" spans="1:9" x14ac:dyDescent="0.25">
      <c r="B2" t="str">
        <f>VLOOKUP(B1,H2:I52,2)</f>
        <v>IN</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2582792.8919032095</v>
      </c>
      <c r="C2">
        <f>SUMIFS('state calcs'!C62:C112,'state calcs'!$A$62:$A$112,About!$B$2)</f>
        <v>2617921.3824594598</v>
      </c>
      <c r="D2">
        <f>SUMIFS('state calcs'!D62:D112,'state calcs'!$A$62:$A$112,About!$B$2)</f>
        <v>2637499.8514488684</v>
      </c>
      <c r="E2">
        <f>SUMIFS('state calcs'!E62:E112,'state calcs'!$A$62:$A$112,About!$B$2)</f>
        <v>2657080.4288775348</v>
      </c>
      <c r="F2">
        <f>SUMIFS('state calcs'!F62:F112,'state calcs'!$A$62:$A$112,About!$B$2)</f>
        <v>2677173.6427429859</v>
      </c>
      <c r="G2">
        <f>SUMIFS('state calcs'!G62:G112,'state calcs'!$A$62:$A$112,About!$B$2)</f>
        <v>2697154.6338367532</v>
      </c>
      <c r="H2">
        <f>SUMIFS('state calcs'!H62:H112,'state calcs'!$A$62:$A$112,About!$B$2)</f>
        <v>2717216.8862313279</v>
      </c>
      <c r="I2">
        <f>SUMIFS('state calcs'!I62:I112,'state calcs'!$A$62:$A$112,About!$B$2)</f>
        <v>2737410.3443801212</v>
      </c>
      <c r="J2">
        <f>SUMIFS('state calcs'!J62:J112,'state calcs'!$A$62:$A$112,About!$B$2)</f>
        <v>2757370.5534416689</v>
      </c>
      <c r="K2">
        <f>SUMIFS('state calcs'!K62:K112,'state calcs'!$A$62:$A$112,About!$B$2)</f>
        <v>2776657.645686341</v>
      </c>
      <c r="L2">
        <f>SUMIFS('state calcs'!L62:L112,'state calcs'!$A$62:$A$112,About!$B$2)</f>
        <v>2792442.9300540462</v>
      </c>
      <c r="M2">
        <f>SUMIFS('state calcs'!M62:M112,'state calcs'!$A$62:$A$112,About!$B$2)</f>
        <v>2807973.3279556632</v>
      </c>
      <c r="N2">
        <f>SUMIFS('state calcs'!N62:N112,'state calcs'!$A$62:$A$112,About!$B$2)</f>
        <v>2822916.8181440271</v>
      </c>
      <c r="O2">
        <f>SUMIFS('state calcs'!O62:O112,'state calcs'!$A$62:$A$112,About!$B$2)</f>
        <v>2837072.5159813054</v>
      </c>
      <c r="P2">
        <f>SUMIFS('state calcs'!P62:P112,'state calcs'!$A$62:$A$112,About!$B$2)</f>
        <v>2850855.5586006334</v>
      </c>
      <c r="Q2">
        <f>SUMIFS('state calcs'!Q62:Q112,'state calcs'!$A$62:$A$112,About!$B$2)</f>
        <v>2864599.6007555621</v>
      </c>
      <c r="R2">
        <f>SUMIFS('state calcs'!R62:R112,'state calcs'!$A$62:$A$112,About!$B$2)</f>
        <v>2878135.5184221403</v>
      </c>
      <c r="S2">
        <f>SUMIFS('state calcs'!S62:S112,'state calcs'!$A$62:$A$112,About!$B$2)</f>
        <v>2891512.9563837363</v>
      </c>
      <c r="T2">
        <f>SUMIFS('state calcs'!T62:T112,'state calcs'!$A$62:$A$112,About!$B$2)</f>
        <v>2904667.5571159571</v>
      </c>
      <c r="U2">
        <f>SUMIFS('state calcs'!U62:U112,'state calcs'!$A$62:$A$112,About!$B$2)</f>
        <v>2917995.9671215499</v>
      </c>
      <c r="V2">
        <f>SUMIFS('state calcs'!V62:V112,'state calcs'!$A$62:$A$112,About!$B$2)</f>
        <v>2930357.9868842056</v>
      </c>
      <c r="W2">
        <f>SUMIFS('state calcs'!W62:W112,'state calcs'!$A$62:$A$112,About!$B$2)</f>
        <v>2942313.3973079049</v>
      </c>
      <c r="X2">
        <f>SUMIFS('state calcs'!X62:X112,'state calcs'!$A$62:$A$112,About!$B$2)</f>
        <v>2954024.0194299109</v>
      </c>
      <c r="Y2">
        <f>SUMIFS('state calcs'!Y62:Y112,'state calcs'!$A$62:$A$112,About!$B$2)</f>
        <v>2965507.1704184967</v>
      </c>
      <c r="Z2">
        <f>SUMIFS('state calcs'!Z62:Z112,'state calcs'!$A$62:$A$112,About!$B$2)</f>
        <v>2976786.0074480348</v>
      </c>
      <c r="AA2">
        <f>SUMIFS('state calcs'!AA62:AA112,'state calcs'!$A$62:$A$112,About!$B$2)</f>
        <v>2987787.7585707363</v>
      </c>
      <c r="AB2">
        <f>SUMIFS('state calcs'!AB62:AB112,'state calcs'!$A$62:$A$112,About!$B$2)</f>
        <v>2998640.5870264214</v>
      </c>
      <c r="AC2">
        <f>SUMIFS('state calcs'!AC62:AC112,'state calcs'!$A$62:$A$112,About!$B$2)</f>
        <v>3009205.6426080475</v>
      </c>
      <c r="AD2">
        <f>SUMIFS('state calcs'!AD62:AD112,'state calcs'!$A$62:$A$112,About!$B$2)</f>
        <v>3019464.8150933012</v>
      </c>
      <c r="AE2">
        <f>SUMIFS('state calcs'!AE62:AE112,'state calcs'!$A$62:$A$112,About!$B$2)</f>
        <v>3029480.0414538817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2026-06-12T19:28:32Z</dcterms:modified>
</cp:coreProperties>
</file>