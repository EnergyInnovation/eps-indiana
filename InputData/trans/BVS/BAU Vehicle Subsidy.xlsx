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trans\BVS\"/>
    </mc:Choice>
  </mc:AlternateContent>
  <xr:revisionPtr revIDLastSave="0" documentId="8_{AE44C7CB-8A0B-4833-AE6E-CB4190279141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L63" i="2" l="1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AB64" i="2"/>
  <c r="AB69" i="2" s="1"/>
  <c r="AA6" i="5" s="1"/>
  <c r="AC64" i="2"/>
  <c r="AC69" i="2" s="1"/>
  <c r="AB6" i="5" s="1"/>
  <c r="S63" i="2"/>
  <c r="S68" i="2" s="1"/>
  <c r="R2" i="5" s="1"/>
  <c r="R8" i="5" s="1"/>
  <c r="T63" i="2"/>
  <c r="T68" i="2" s="1"/>
  <c r="S2" i="5" s="1"/>
  <c r="S8" i="5" s="1"/>
  <c r="AF63" i="2"/>
  <c r="AF68" i="2" s="1"/>
  <c r="AE2" i="5" s="1"/>
  <c r="AE8" i="5" s="1"/>
  <c r="AA64" i="2"/>
  <c r="AA69" i="2" s="1"/>
  <c r="Z6" i="5" s="1"/>
  <c r="P63" i="2"/>
  <c r="P68" i="2" s="1"/>
  <c r="O2" i="5" s="1"/>
  <c r="O8" i="5" s="1"/>
  <c r="Q63" i="2"/>
  <c r="Q68" i="2" s="1"/>
  <c r="P2" i="5" s="1"/>
  <c r="P8" i="5" s="1"/>
  <c r="R63" i="2"/>
  <c r="R68" i="2" s="1"/>
  <c r="Q2" i="5" s="1"/>
  <c r="Q8" i="5" s="1"/>
  <c r="AD64" i="2"/>
  <c r="AD69" i="2" s="1"/>
  <c r="AC6" i="5" s="1"/>
  <c r="AE64" i="2"/>
  <c r="AE69" i="2" s="1"/>
  <c r="AD6" i="5" s="1"/>
  <c r="AD63" i="2"/>
  <c r="AD68" i="2" s="1"/>
  <c r="AC2" i="5" s="1"/>
  <c r="AC8" i="5" s="1"/>
  <c r="C64" i="2"/>
  <c r="C69" i="2" s="1"/>
  <c r="B6" i="5" s="1"/>
  <c r="D64" i="2"/>
  <c r="D69" i="2" s="1"/>
  <c r="C6" i="5" s="1"/>
  <c r="E64" i="2"/>
  <c r="E69" i="2" s="1"/>
  <c r="D6" i="5" s="1"/>
  <c r="F64" i="2"/>
  <c r="F69" i="2" s="1"/>
  <c r="E6" i="5" s="1"/>
  <c r="G64" i="2"/>
  <c r="G69" i="2" s="1"/>
  <c r="F6" i="5" s="1"/>
  <c r="H64" i="2"/>
  <c r="H69" i="2" s="1"/>
  <c r="G6" i="5" s="1"/>
  <c r="I64" i="2"/>
  <c r="I69" i="2" s="1"/>
  <c r="H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<sst xmlns="http://schemas.openxmlformats.org/spreadsheetml/2006/main" count="491" uniqueCount="240">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</sst>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64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IN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0</v>
      </c>
      <c r="F63" s="5">
        <f>SUMIFS('State EV Rebates'!$F$5:$F$24,'State EV Rebates'!$A$5:$A$24,About!$B$2)*$O$79</f>
        <v>0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0</v>
      </c>
      <c r="F64" s="5">
        <f>SUMIFS('State EV Rebates'!$F$28:$F$47,'State EV Rebates'!$A$28:$A$47,About!$B$2)*$O$79</f>
        <v>0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4795.9636566176632</v>
      </c>
      <c r="F68" s="5">
        <f t="shared" si="0"/>
        <v>3555.487701851609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3481.1983222883341</v>
      </c>
      <c r="F69" s="5">
        <f t="shared" si="1"/>
        <v>2846.5223385773729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4795.9636566176632</v>
      </c>
      <c r="E2" s="17">
        <f>'Passenger Vehicle Calculations'!F68</f>
        <v>3555.487701851609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3481.1983222883341</v>
      </c>
      <c r="E6" s="17">
        <f>'Passenger Vehicle Calculations'!F69</f>
        <v>2846.5223385773729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4795.9636566176632</v>
      </c>
      <c r="E8" s="17">
        <f t="shared" si="0"/>
        <v>3555.487701851609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2026-09-09T22:14:22Z</dcterms:modified>
</cp:coreProperties>
</file>